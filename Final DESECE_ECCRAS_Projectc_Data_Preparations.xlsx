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ECCRAS Projec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<sst xmlns="http://schemas.openxmlformats.org/spreadsheetml/2006/main" count="27613" uniqueCount="3270">
  <si>
    <t>Section A: Demographic Information</t>
  </si>
  <si>
    <t>Section B: Adoption of Specific Climate-Resilient Practices Effectiveness. Achievement of Outputs &amp; Outcomes</t>
  </si>
  <si>
    <t xml:space="preserve">Section C: Relevance
</t>
  </si>
  <si>
    <t>Section D: Sustainability</t>
  </si>
  <si>
    <t xml:space="preserve">Section E: Generate Learning
</t>
  </si>
  <si>
    <t>Section F: This section is for Beneficiary Households (HHs) who participated in the cook stove component</t>
  </si>
  <si>
    <t>Other / GPS &amp; Consent</t>
  </si>
  <si>
    <t>Closing</t>
  </si>
  <si>
    <t>B1) Climate-Resilient Practices</t>
  </si>
  <si>
    <t>B2. Source of Knowledge for Adopted Practices</t>
  </si>
  <si>
    <t>B3) Current Use of Practices (Soil Health &amp; Fertility, Water Conservation, Crop Diversification, Agroforestry &amp; Biodiversity)</t>
  </si>
  <si>
    <t>B4) Of all the practices you have adopted, which one do you consider the most important?(Only ask about practices where B3a = Yes)</t>
  </si>
  <si>
    <t>B5) For the most important new practice you have adopted, when did you first start using it?</t>
  </si>
  <si>
    <t>B6) For each of the practices you are currently using, how would you rate its effect on your farm?(Enumerator: Only ask about practices where B3a = Yes)</t>
  </si>
  <si>
    <t>B7) Have you noticed more farmers in this village using these new practices compared to two years ago?</t>
  </si>
  <si>
    <t xml:space="preserve">B8. (Quantitative for RI.1.2) Compared to before the project, how would you describe the diversity of crops you grow now? </t>
  </si>
  <si>
    <t>B9) Do you have TOP 3 crops or products you sold in that season? </t>
  </si>
  <si>
    <t>B10. Now, thinking about the most recent season 2025, do you have TOP 3 crops or products you sold in that season?</t>
  </si>
  <si>
    <t>B11. Compared to [2021 year/start of project], how has your income from agricultural production changed?</t>
  </si>
  <si>
    <t>B12 What are the main reasons for this increase in income?</t>
  </si>
  <si>
    <t>B13) To what extent did the support from ECCRAS PROJECT (e.g., training, seeds, irrigation) contribute to this change in your income?</t>
  </si>
  <si>
    <t>B14) (Quantitative for RI1.4) Do you currently have a functional system to harvest rainwater for irrigation?</t>
  </si>
  <si>
    <t>B15) How prepared do you feel to deal with the impacts of climate change (like drought or erratic rains) on your farm compared to before the ECCRAS project began</t>
  </si>
  <si>
    <t>B16) Capability (Knowledge &amp; Skills): What specific knowledge or skills from the project have most contributed to you feeling more prepared?</t>
  </si>
  <si>
    <t>B17) Which of the following actions have you taken or assets do you now have because of the project that makes you feel more prepared? (Select all that apply)</t>
  </si>
  <si>
    <t>B18) Confidence in the Future: Looking forward to the next season, how confident are you that your farm can withstand climate-related challenges?</t>
  </si>
  <si>
    <t>B19) What climate impacts are you still most worried about and feel least prepared for?</t>
  </si>
  <si>
    <t>B20) What made it easy for you to adopt these new methods? (Select all that apply)</t>
  </si>
  <si>
    <t>B21. What were the biggest challenges or barriers? (Select all that apply)</t>
  </si>
  <si>
    <t xml:space="preserve">B22) Did you receive support from others outside the project to use these practices? </t>
  </si>
  <si>
    <t>B23. In your opinion, how equally were men and women able to participate in project activities?</t>
  </si>
  <si>
    <t>B24) How have the new practices affected decision-making on what to grow or how to use farm income in your household?</t>
  </si>
  <si>
    <t>B25) How well do you think the project considered the needs of youth, women, and the very poor?</t>
  </si>
  <si>
    <t>C1)  Before this project, what was your single biggest problem in farming? </t>
  </si>
  <si>
    <t>C2) How well did the project's activities address this specific problem?</t>
  </si>
  <si>
    <t>C3) Was the training provided relevant to your actual farming conditions?</t>
  </si>
  <si>
    <t xml:space="preserve"> C4) Have you shared knowledge or skills from this project with other farmers?</t>
  </si>
  <si>
    <t>C5) Have you seen neighbours copying any project practices?</t>
  </si>
  <si>
    <t>D1)  Do you think the new farming practices you are using are better than your old ones?</t>
  </si>
  <si>
    <t>D2) Do you plan to continue using these practices in the next growing season?</t>
  </si>
  <si>
    <t>D3) What might stop you from continuing? </t>
  </si>
  <si>
    <t>D4)  How actively is your farmer group functioning now?</t>
  </si>
  <si>
    <t>D5) Does the group have a plan to continue without project support?</t>
  </si>
  <si>
    <t>D6) Where will you go for advice or help with farming problems now</t>
  </si>
  <si>
    <t>D7) What should a future project focus on for bigger impact? </t>
  </si>
  <si>
    <t>E1) What was the most effective part of the project? </t>
  </si>
  <si>
    <t>E2) What was the least effective or most challenging part and what should be done differently?</t>
  </si>
  <si>
    <t xml:space="preserve">E3) How could the project have been more inclusive? </t>
  </si>
  <si>
    <t>E4) What specific support does your group need to be self-reliant? </t>
  </si>
  <si>
    <t>E5) What is the one key piece of advice you would give for a new project?</t>
  </si>
  <si>
    <t>F1)  Awareness and Knowledge (Directly measures RI 4.2)</t>
  </si>
  <si>
    <t xml:space="preserve">  F2) Cook Stove Installation and Receipt</t>
  </si>
  <si>
    <t>F3) Project Participation (Context for Output Delivery)</t>
  </si>
  <si>
    <t>a) Agroforestry (trees on farm)</t>
  </si>
  <si>
    <t>b) Use of drought-tolerant crop varieties</t>
  </si>
  <si>
    <t>c) Crop rotation/intercropping</t>
  </si>
  <si>
    <t>d) Mulching</t>
  </si>
  <si>
    <t>e) composting/making organic manure</t>
  </si>
  <si>
    <t>f) Water harvesting (e.g., small ponds, tanks)</t>
  </si>
  <si>
    <t>g) Drip irrigation / water-saving techniques</t>
  </si>
  <si>
    <t>h) Kitchen gardening</t>
  </si>
  <si>
    <t>i) Establishing a food forest</t>
  </si>
  <si>
    <t>j) Soil conservation (e.g., terraces, cover crops)</t>
  </si>
  <si>
    <t>B2a) Knowledge sources</t>
  </si>
  <si>
    <t>B3a) Soil Health &amp; Fertility</t>
  </si>
  <si>
    <t>B3b) Water Conservation</t>
  </si>
  <si>
    <t>B3c) Crop Diversification &amp; Varieties</t>
  </si>
  <si>
    <t>B3d) Agroforestry &amp; Biodiversity</t>
  </si>
  <si>
    <t>B4) Most important practice adopted</t>
  </si>
  <si>
    <t>B5) Start date of most important practice</t>
  </si>
  <si>
    <t>B6) Perceived effect of each practice</t>
  </si>
  <si>
    <t>B7)More farmers adopting practices</t>
  </si>
  <si>
    <t>B8) Crop diversity now</t>
  </si>
  <si>
    <t>B9) Top 3 crops sold in season 2021</t>
  </si>
  <si>
    <t>B10) Top 3 crops sold in season 2025</t>
  </si>
  <si>
    <t>B11) Change in agricultural income</t>
  </si>
  <si>
    <t>B12a) Reasons for income increase</t>
  </si>
  <si>
    <t>B12b) Reasons for income decrease</t>
  </si>
  <si>
    <t>B13) Contribution of ECCRAS to income change</t>
  </si>
  <si>
    <t>B14) Functional rainwater harvesting system</t>
  </si>
  <si>
    <t>B15) Preparedness for climate shocks</t>
  </si>
  <si>
    <t>B16) Knowledge/skills gained</t>
  </si>
  <si>
    <t>B17) Actions/assets adopted</t>
  </si>
  <si>
    <t>B18) Confidence for next season</t>
  </si>
  <si>
    <t>B19) Climate impacts still worried about</t>
  </si>
  <si>
    <t>B20) Enabling &amp; Constraining Factors</t>
  </si>
  <si>
    <t>B21) Challenges</t>
  </si>
  <si>
    <t>B22) Support from others outside project</t>
  </si>
  <si>
    <t xml:space="preserve">B23) Participation equality </t>
  </si>
  <si>
    <t>B24) Decision-making impact</t>
  </si>
  <si>
    <t>B25) Consideration of youth/women/very poor</t>
  </si>
  <si>
    <t>C1) Biggest problem before project</t>
  </si>
  <si>
    <t>C2) Problem addressed by project</t>
  </si>
  <si>
    <t>C3) Training relevance</t>
  </si>
  <si>
    <t>C3i)  Was anything important missing</t>
  </si>
  <si>
    <t>C3ii) If yes, what was missing from the meeting?</t>
  </si>
  <si>
    <t>C4) Knowledge sharing with others</t>
  </si>
  <si>
    <t>C25) Neighbors copying practices and example of neighbor adoption</t>
  </si>
  <si>
    <t>D1) Practices better than old ones and Reason for above</t>
  </si>
  <si>
    <t>D2) Plan to continue</t>
  </si>
  <si>
    <t>D3) Barriers to continuation</t>
  </si>
  <si>
    <t>D4) Group functioning</t>
  </si>
  <si>
    <t>D5) Group plan for sustainability</t>
  </si>
  <si>
    <t>D6) Sources of advice</t>
  </si>
  <si>
    <t>D7) Future project focus</t>
  </si>
  <si>
    <t>E1) Most effective part of the project</t>
  </si>
  <si>
    <t>E1i) Reason for response above</t>
  </si>
  <si>
    <t>E2a) What was the least effective or most challenging part?</t>
  </si>
  <si>
    <t xml:space="preserve"> E2b) What should be done differently </t>
  </si>
  <si>
    <t>E3)  How could the project have been more inclusive</t>
  </si>
  <si>
    <t>E4) What specific support does your group need to be self-reliant</t>
  </si>
  <si>
    <t>Advanced business training</t>
  </si>
  <si>
    <t>A grant or loan to start a group enterprise</t>
  </si>
  <si>
    <t>Stronger links to buyers / markets</t>
  </si>
  <si>
    <t>Training on leadership and governance</t>
  </si>
  <si>
    <t>Formal registration as a cooperative</t>
  </si>
  <si>
    <t>None, already self-reliant</t>
  </si>
  <si>
    <t>E5) One key piece of advice for a new project</t>
  </si>
  <si>
    <t xml:space="preserve">F1a) Have you ever heard about health risks related to cooking using traditional wood fuel? </t>
  </si>
  <si>
    <t>F1b) If Yes in F1a which impacts are you aware of ?</t>
  </si>
  <si>
    <t xml:space="preserve">F1c) Where did you hear about the impacts selected in F1b? </t>
  </si>
  <si>
    <t>F2a) Did your household receive or construct an improved cook stove through the DESECE project?</t>
  </si>
  <si>
    <t>F2b) How many improved cook stoves did you install/receive from the project?</t>
  </si>
  <si>
    <t>F2c) Can you show me the cook stove(s) provided by the project? </t>
  </si>
  <si>
    <t>F2d) Enumerator Observation: Are there visible signs of recent use of the improved cook stove?</t>
  </si>
  <si>
    <t>F2e) Is the improved cook stove currently being used in your household?</t>
  </si>
  <si>
    <t>F2f) If Yes, How often do you use the improved cook stove?</t>
  </si>
  <si>
    <t xml:space="preserve"> F2g. What are the main reasons for not using the improved cook stove more regularly? </t>
  </si>
  <si>
    <t>F3a) Did you participate in any project training on how to use the cook stoves?</t>
  </si>
  <si>
    <t>F3b) Did you participate in any project training on how to make briquettes?</t>
  </si>
  <si>
    <t>F3c)  Are you currently making your own briquettes?</t>
  </si>
  <si>
    <t>F3d) What is the main reason you did not participate in the project training on how to make briquettes?</t>
  </si>
  <si>
    <t>enumerator_name</t>
  </si>
  <si>
    <t>county_name</t>
  </si>
  <si>
    <t>sublocation_bungoma_trans_nzoia</t>
  </si>
  <si>
    <t>location_name</t>
  </si>
  <si>
    <t>respondent_name</t>
  </si>
  <si>
    <t>gender</t>
  </si>
  <si>
    <t>age</t>
  </si>
  <si>
    <t>primary_livelihood</t>
  </si>
  <si>
    <t>primary_livelihood_other</t>
  </si>
  <si>
    <t>agroforestry_heard</t>
  </si>
  <si>
    <t>agroforestry_adopted</t>
  </si>
  <si>
    <t>drought_varieties_heard</t>
  </si>
  <si>
    <t>drought_varieties_adopted</t>
  </si>
  <si>
    <t>crop_rotation_heard</t>
  </si>
  <si>
    <t>crop_rotation_adopted</t>
  </si>
  <si>
    <t>mulching_heard</t>
  </si>
  <si>
    <t>mulching_adopted</t>
  </si>
  <si>
    <t>composting_heard</t>
  </si>
  <si>
    <t>composting_adopted</t>
  </si>
  <si>
    <t>water_harvesting_heard</t>
  </si>
  <si>
    <t>water_harvesting_adopted</t>
  </si>
  <si>
    <t>drip_irrigation_heard</t>
  </si>
  <si>
    <t>drip_irrigation_adopted</t>
  </si>
  <si>
    <t>kitchen_garden_heard</t>
  </si>
  <si>
    <t>kitchen_garden_adopted</t>
  </si>
  <si>
    <t>food_forest_heard</t>
  </si>
  <si>
    <t>food_forest_adopted</t>
  </si>
  <si>
    <t>soil_conservation_heard</t>
  </si>
  <si>
    <t>soil_conservation_adopted</t>
  </si>
  <si>
    <t>knowledge_sources</t>
  </si>
  <si>
    <t>source_neighbour</t>
  </si>
  <si>
    <t>source_family</t>
  </si>
  <si>
    <t>source_demo_DESECE</t>
  </si>
  <si>
    <t>source_training_DESECE</t>
  </si>
  <si>
    <t>source_training_otherNGO</t>
  </si>
  <si>
    <t>source_gov_officer</t>
  </si>
  <si>
    <t>source_media</t>
  </si>
  <si>
    <t>source_other</t>
  </si>
  <si>
    <t>source_demo_otherNGO_specify</t>
  </si>
  <si>
    <t>source_trainings_otherNGO_specify</t>
  </si>
  <si>
    <t>compost_use_bags</t>
  </si>
  <si>
    <t>compost_use_bags_quantity_per_season</t>
  </si>
  <si>
    <t>manure_use_bags</t>
  </si>
  <si>
    <t>manure_use_bags_quantity_per_season</t>
  </si>
  <si>
    <t>cover_crops_acres</t>
  </si>
  <si>
    <t>acres_under_cover_crops</t>
  </si>
  <si>
    <t>zero_tillage_acres</t>
  </si>
  <si>
    <t>zero_tillage_acres_under_cover</t>
  </si>
  <si>
    <t>crop_rotation_acres</t>
  </si>
  <si>
    <t>acres_under_crop_rotation</t>
  </si>
  <si>
    <t>rain_water_harvesting_roof_ponds</t>
  </si>
  <si>
    <t>rainwater_tanks</t>
  </si>
  <si>
    <t>drip_irrigation</t>
  </si>
  <si>
    <t>drip_irrigation_acres</t>
  </si>
  <si>
    <t>mulching</t>
  </si>
  <si>
    <t>mulching_acres</t>
  </si>
  <si>
    <t>zai_planting_pits</t>
  </si>
  <si>
    <t>zai_pits_number</t>
  </si>
  <si>
    <t>drought_crop_varieties</t>
  </si>
  <si>
    <t>drought_varieties_acres</t>
  </si>
  <si>
    <t>early_crop_varieties</t>
  </si>
  <si>
    <t>early_varieties_acres</t>
  </si>
  <si>
    <t>intercropping</t>
  </si>
  <si>
    <t>intercropping_acres</t>
  </si>
  <si>
    <t>kitchen_garden</t>
  </si>
  <si>
    <t>kitchen_garden_m2</t>
  </si>
  <si>
    <t>food_forest</t>
  </si>
  <si>
    <t>food_forest_acres</t>
  </si>
  <si>
    <t>trees_planted</t>
  </si>
  <si>
    <t>trees_planted_number</t>
  </si>
  <si>
    <t>vegetation_strip</t>
  </si>
  <si>
    <t>vegetation_strip_meters</t>
  </si>
  <si>
    <t>IPM</t>
  </si>
  <si>
    <t>IPM_acres</t>
  </si>
  <si>
    <t>most_important_practice</t>
  </si>
  <si>
    <t>start_date_practice</t>
  </si>
  <si>
    <t>compost_effect</t>
  </si>
  <si>
    <t>manure_effect</t>
  </si>
  <si>
    <t>cover_crops_effect</t>
  </si>
  <si>
    <t>zero_tillage_effect</t>
  </si>
  <si>
    <t>crop_rotation_effect</t>
  </si>
  <si>
    <t>rainwater_effect</t>
  </si>
  <si>
    <t>drip_irrigation_effect</t>
  </si>
  <si>
    <t>mulching_effect</t>
  </si>
  <si>
    <t>zai_pits_effect</t>
  </si>
  <si>
    <t>drought_varieties_effect</t>
  </si>
  <si>
    <t>early_varieties_effect</t>
  </si>
  <si>
    <t>intercropping_effect</t>
  </si>
  <si>
    <t>kitchen_garden_effect</t>
  </si>
  <si>
    <t>food_forest_effect</t>
  </si>
  <si>
    <t>trees_effect</t>
  </si>
  <si>
    <t>vegetation_strip_effect</t>
  </si>
  <si>
    <t>IPM_effect</t>
  </si>
  <si>
    <t>more_farmers_adopting</t>
  </si>
  <si>
    <t>crop_diversity_now</t>
  </si>
  <si>
    <t>new_crops</t>
  </si>
  <si>
    <t>top3_crops_sold_2021_yes_no</t>
  </si>
  <si>
    <t>top3_crops_sold_2021</t>
  </si>
  <si>
    <t>total_qty_sold_2021</t>
  </si>
  <si>
    <t>avg_price_unit_2021</t>
  </si>
  <si>
    <t>est_income_2021</t>
  </si>
  <si>
    <t>sold_2021</t>
  </si>
  <si>
    <t>top3_crops_sold_2025_yes_no</t>
  </si>
  <si>
    <t>top3_crops_sold_2025</t>
  </si>
  <si>
    <t xml:space="preserve"> total_amount_sold</t>
  </si>
  <si>
    <t>total_qty_sold_2025</t>
  </si>
  <si>
    <t>avg_price_unit_2025</t>
  </si>
  <si>
    <t>est_income_2025</t>
  </si>
  <si>
    <t>income_change</t>
  </si>
  <si>
    <t>reasons_income_increase</t>
  </si>
  <si>
    <t>income_increase_sold_more</t>
  </si>
  <si>
    <t>income_increase_new_crops</t>
  </si>
  <si>
    <t>income_increase_better_price</t>
  </si>
  <si>
    <t>income_increase_processed</t>
  </si>
  <si>
    <t>income_increase_seedlings</t>
  </si>
  <si>
    <t>income_increase_other</t>
  </si>
  <si>
    <t>income_increase_other_specify</t>
  </si>
  <si>
    <t>income_decrease_lower_yield</t>
  </si>
  <si>
    <t>income_decrease_pests</t>
  </si>
  <si>
    <t>income_decrease_market</t>
  </si>
  <si>
    <t>income_decrease_price</t>
  </si>
  <si>
    <t>income_decrease_input_costs</t>
  </si>
  <si>
    <t>income_decrease_assets</t>
  </si>
  <si>
    <t>income_decrease_other</t>
  </si>
  <si>
    <t>eccras_contribution_income</t>
  </si>
  <si>
    <t>rainwater_system</t>
  </si>
  <si>
    <t>rainwater_dry_impact</t>
  </si>
  <si>
    <t>climate_preparedness</t>
  </si>
  <si>
    <t>why_less_prepared</t>
  </si>
  <si>
    <t>Knowledge_skills_gained_list</t>
  </si>
  <si>
    <t>skill_rainwater</t>
  </si>
  <si>
    <t>skill_drought_crops</t>
  </si>
  <si>
    <t>skill_soil_conservation</t>
  </si>
  <si>
    <t>skill_agroecology</t>
  </si>
  <si>
    <t>skill_climate_planning</t>
  </si>
  <si>
    <t>skill_weather_access</t>
  </si>
  <si>
    <t>skill_none</t>
  </si>
  <si>
    <t>skill_other</t>
  </si>
  <si>
    <t>skill_other_specify</t>
  </si>
  <si>
    <t>actions_assets_adopted_list</t>
  </si>
  <si>
    <t>action_water_system</t>
  </si>
  <si>
    <t>action_crop_diversify</t>
  </si>
  <si>
    <t>action_soil_improve</t>
  </si>
  <si>
    <t>action_kitchen_garden</t>
  </si>
  <si>
    <t>action_new_practice</t>
  </si>
  <si>
    <t>action_group_join</t>
  </si>
  <si>
    <t>action_drought_plan</t>
  </si>
  <si>
    <t>action_none</t>
  </si>
  <si>
    <t>action_other</t>
  </si>
  <si>
    <t>action_other_specify</t>
  </si>
  <si>
    <t>future_confidence</t>
  </si>
  <si>
    <t>climate_worry</t>
  </si>
  <si>
    <t>climate_worry_other</t>
  </si>
  <si>
    <t>enablers_to_adopt</t>
  </si>
  <si>
    <t>enabler_training</t>
  </si>
  <si>
    <t>enabler_project_support</t>
  </si>
  <si>
    <t>enabler_demo</t>
  </si>
  <si>
    <t>enabler_group_support</t>
  </si>
  <si>
    <t>enabler_results</t>
  </si>
  <si>
    <t>enabler_inputs</t>
  </si>
  <si>
    <t>enabler_other</t>
  </si>
  <si>
    <t>enabler_other_specify</t>
  </si>
  <si>
    <t>challenges_list</t>
  </si>
  <si>
    <t>barrier_cost</t>
  </si>
  <si>
    <t>barrier_labor</t>
  </si>
  <si>
    <t>barrier_knowledge</t>
  </si>
  <si>
    <t>barrier_climate</t>
  </si>
  <si>
    <t>barrier_pests</t>
  </si>
  <si>
    <t>barrier_water</t>
  </si>
  <si>
    <t>barrier_conflict</t>
  </si>
  <si>
    <t>barrier_challenges_other</t>
  </si>
  <si>
    <t>barrier_more_labour_time</t>
  </si>
  <si>
    <t>barrier_challenges_other_specify</t>
  </si>
  <si>
    <t>external_support</t>
  </si>
  <si>
    <t>participation_equality</t>
  </si>
  <si>
    <t>participation_equality_differences </t>
  </si>
  <si>
    <t>decision_making</t>
  </si>
  <si>
    <t>inclusion_vulnerable</t>
  </si>
  <si>
    <t>biggest_problem</t>
  </si>
  <si>
    <t>biggest_problem_other</t>
  </si>
  <si>
    <t>problem_addressed</t>
  </si>
  <si>
    <t>training_relevance</t>
  </si>
  <si>
    <t>training_missing</t>
  </si>
  <si>
    <t>training_what_was_missing</t>
  </si>
  <si>
    <t>shared_knowledge</t>
  </si>
  <si>
    <t>shared_content</t>
  </si>
  <si>
    <t>neighbors_copy</t>
  </si>
  <si>
    <t>neighbors_example</t>
  </si>
  <si>
    <t>better_than_old</t>
  </si>
  <si>
    <t>reason_better</t>
  </si>
  <si>
    <t>continue_practice</t>
  </si>
  <si>
    <t>barrier_continue_list</t>
  </si>
  <si>
    <t>barrier_continue_money</t>
  </si>
  <si>
    <t>barrier_continue_equipment</t>
  </si>
  <si>
    <t>barrier_continue_advice</t>
  </si>
  <si>
    <t>barrier_continue_market</t>
  </si>
  <si>
    <t>barrier_continue_labor</t>
  </si>
  <si>
    <t>barrier_continue_none</t>
  </si>
  <si>
    <t>barrier_continue_other</t>
  </si>
  <si>
    <t>barrier_continue_other_specify</t>
  </si>
  <si>
    <t>group_functioning</t>
  </si>
  <si>
    <t>group_plan</t>
  </si>
  <si>
    <t>sources_of_advice_list</t>
  </si>
  <si>
    <t>advice_group</t>
  </si>
  <si>
    <t>advice_gov</t>
  </si>
  <si>
    <t>advice_agrodealer</t>
  </si>
  <si>
    <t>advice_otherfarmers</t>
  </si>
  <si>
    <t>advice_unknown</t>
  </si>
  <si>
    <t>advice_other</t>
  </si>
  <si>
    <t>advice_other_specify</t>
  </si>
  <si>
    <t>future_project_focus_list</t>
  </si>
  <si>
    <t>future_market</t>
  </si>
  <si>
    <t>future_irrigation</t>
  </si>
  <si>
    <t>future_loans</t>
  </si>
  <si>
    <t>future_training</t>
  </si>
  <si>
    <t>future_youth</t>
  </si>
  <si>
    <t>future_other</t>
  </si>
  <si>
    <t>future_other_specify</t>
  </si>
  <si>
    <t>proj_effective_part</t>
  </si>
  <si>
    <t>proj_effective_part_other</t>
  </si>
  <si>
    <t>proj_effective_reason</t>
  </si>
  <si>
    <t>proj_least_effective_part</t>
  </si>
  <si>
    <t>proj_least_effective_part_other</t>
  </si>
  <si>
    <t>proj_improvement_suggestion</t>
  </si>
  <si>
    <t>project_inclusive_list</t>
  </si>
  <si>
    <t>inclusive_sufficient</t>
  </si>
  <si>
    <t>inclusive_other</t>
  </si>
  <si>
    <t>inclusive_meet_convenient</t>
  </si>
  <si>
    <t>inclusive_childcare</t>
  </si>
  <si>
    <t>inclusive_affordable_materials</t>
  </si>
  <si>
    <t>inclusive_sessions_youth</t>
  </si>
  <si>
    <t>inclusive_other_specify</t>
  </si>
  <si>
    <t>supports_needed_list</t>
  </si>
  <si>
    <t>support_business_training</t>
  </si>
  <si>
    <t>support_grant_or_loan</t>
  </si>
  <si>
    <t>support_market_linkages</t>
  </si>
  <si>
    <t>support_leadership_training</t>
  </si>
  <si>
    <t>support_coop_registration</t>
  </si>
  <si>
    <t>support_none_self_reliant</t>
  </si>
  <si>
    <t>project_advice</t>
  </si>
  <si>
    <t>health_risk_heard</t>
  </si>
  <si>
    <t>impact_awareness_list</t>
  </si>
  <si>
    <t>health_impact_health</t>
  </si>
  <si>
    <t>health_impact_env</t>
  </si>
  <si>
    <t>health_impact_other</t>
  </si>
  <si>
    <t>health_impact_other_specify</t>
  </si>
  <si>
    <t>impact_ource_of_awareness_list</t>
  </si>
  <si>
    <t>health_source_ECCRAS</t>
  </si>
  <si>
    <t>health_source_NGO</t>
  </si>
  <si>
    <t>health_source_gov</t>
  </si>
  <si>
    <t>health_source_media</t>
  </si>
  <si>
    <t>health_source_friend</t>
  </si>
  <si>
    <t>health_source_other</t>
  </si>
  <si>
    <t>health_source_other_specify</t>
  </si>
  <si>
    <t>stove_received</t>
  </si>
  <si>
    <t>stove_number</t>
  </si>
  <si>
    <t>stove_visible</t>
  </si>
  <si>
    <t>stove_used_signs</t>
  </si>
  <si>
    <t>stove_used</t>
  </si>
  <si>
    <t>stove_freq</t>
  </si>
  <si>
    <t>reasons_not_using_stove_list</t>
  </si>
  <si>
    <t>stove_reason_broken</t>
  </si>
  <si>
    <t>stove_reason_fuel</t>
  </si>
  <si>
    <t>stove_reason_pref</t>
  </si>
  <si>
    <t>stove_reason_small</t>
  </si>
  <si>
    <t>stove_reason_other</t>
  </si>
  <si>
    <t>stove_reason_other_specify</t>
  </si>
  <si>
    <t>participated_stove_training</t>
  </si>
  <si>
    <t>participated_briquette_training</t>
  </si>
  <si>
    <t>making_briquettes</t>
  </si>
  <si>
    <t>reasons_not_making_briquettes_list</t>
  </si>
  <si>
    <t>briquette_reason_material</t>
  </si>
  <si>
    <t>briquette_reason_time</t>
  </si>
  <si>
    <t>briquette_reason_equipment</t>
  </si>
  <si>
    <t>briquette_reason_cost</t>
  </si>
  <si>
    <t>briquette_reason_benefit</t>
  </si>
  <si>
    <t>briquette_reason_other</t>
  </si>
  <si>
    <t>briquette_reason_other_specify</t>
  </si>
  <si>
    <t>briquette_no_participation</t>
  </si>
  <si>
    <t>briquette_no_participation_other_specify</t>
  </si>
  <si>
    <t>consent_form_url</t>
  </si>
  <si>
    <t>location_full</t>
  </si>
  <si>
    <t>location_altitude</t>
  </si>
  <si>
    <t>location_longitude</t>
  </si>
  <si>
    <t>_Record your current location_altitude</t>
  </si>
  <si>
    <t>location_precision</t>
  </si>
  <si>
    <t>Closing: "Thank you so much for your time and valuable insights. Your experiences will help improve future projects for other farmers."</t>
  </si>
  <si>
    <t>Roselyne Wanyonyi</t>
  </si>
  <si>
    <t>Bungoma County</t>
  </si>
  <si>
    <t>Mt Elgon</t>
  </si>
  <si>
    <t>Mickel Muketa Natembea</t>
  </si>
  <si>
    <t>Male</t>
  </si>
  <si>
    <t>46-55</t>
  </si>
  <si>
    <t xml:space="preserve">Crop farming </t>
  </si>
  <si>
    <t>Yes</t>
  </si>
  <si>
    <t>Project training – DESECE</t>
  </si>
  <si>
    <t>Use of manure (animal/green)</t>
  </si>
  <si>
    <t>During the first year of this project (2021)</t>
  </si>
  <si>
    <t>Very positive</t>
  </si>
  <si>
    <t>Somewhat positive</t>
  </si>
  <si>
    <t>Yes, many more</t>
  </si>
  <si>
    <t>Greatly increased</t>
  </si>
  <si>
    <t>Maize
Beans
Bananas</t>
  </si>
  <si>
    <t>Maize 
Beans 
Sugarcane</t>
  </si>
  <si>
    <t>Significantly increased</t>
  </si>
  <si>
    <t>Sold more of the same crops (higher yield)</t>
  </si>
  <si>
    <t>It was the main reason</t>
  </si>
  <si>
    <t>Can plant more seasons</t>
  </si>
  <si>
    <t>Much better prepared</t>
  </si>
  <si>
    <t>Knowing how to harvest and store rainwater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</si>
  <si>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</si>
  <si>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Very confident</t>
  </si>
  <si>
    <t>New pests and diseases</t>
  </si>
  <si>
    <t>Learning from demonstration farms</t>
  </si>
  <si>
    <t>High cost of inputs/materials Pests/diseases affected new crops</t>
  </si>
  <si>
    <t xml:space="preserve"> Yes, from other farmers</t>
  </si>
  <si>
    <t>Somewhat equally, but women participated more</t>
  </si>
  <si>
    <t>Much more input from women</t>
  </si>
  <si>
    <t>Very well</t>
  </si>
  <si>
    <t>Poor soil fertility</t>
  </si>
  <si>
    <t>Somewhat relevant</t>
  </si>
  <si>
    <t>No</t>
  </si>
  <si>
    <t>Yes, with many (5+)</t>
  </si>
  <si>
    <t>Making composit manure and making kitchen garden</t>
  </si>
  <si>
    <t>Yes, many are copying</t>
  </si>
  <si>
    <t>They made their own kitchen garden and established composit manure</t>
  </si>
  <si>
    <t>Yes, much better</t>
  </si>
  <si>
    <t>The yieds has increased</t>
  </si>
  <si>
    <t>Definitely yes</t>
  </si>
  <si>
    <t>Nothing will stop me</t>
  </si>
  <si>
    <t>Somewhat active (meets sometimes)</t>
  </si>
  <si>
    <t>Yes, but the plan is not clear</t>
  </si>
  <si>
    <t>My farmer group</t>
  </si>
  <si>
    <t>More support for irrigation</t>
  </si>
  <si>
    <t>The demonstration farms</t>
  </si>
  <si>
    <t>New farming techniques was applied and done by the farmers</t>
  </si>
  <si>
    <t>Inputs/ materials were delivered late</t>
  </si>
  <si>
    <t>Materials should be delivered on time for good results</t>
  </si>
  <si>
    <t>Ensure materials are affordable for the poorest</t>
  </si>
  <si>
    <t>To make follow ups on the small farmers and make sure they have received guality trainings on the project</t>
  </si>
  <si>
    <t>Health impacts (e.g., smoke-related illness)</t>
  </si>
  <si>
    <t>ECCRAS project activities</t>
  </si>
  <si>
    <t>Confirmed Present</t>
  </si>
  <si>
    <t>Yes (e.g., ash, soot, warmth, cooking utensils nearby)</t>
  </si>
  <si>
    <t>Always (for all main meals)</t>
  </si>
  <si>
    <t>Did not hear about the training</t>
  </si>
  <si>
    <t>https://kf.kobotoolbox.org/api/v2/assets/a2jMyW8dsvtwpYHzQMRFCn/data/588058792/attachments/attYEzWQC9xSkSxvN36hQwa4/</t>
  </si>
  <si>
    <t>0.833635 34.747328 1709.7 5.0</t>
  </si>
  <si>
    <t>Mercy Kiplagat</t>
  </si>
  <si>
    <t>Masindet</t>
  </si>
  <si>
    <t>Phyllis Naliaka</t>
  </si>
  <si>
    <t>Female</t>
  </si>
  <si>
    <t xml:space="preserve">26-35 </t>
  </si>
  <si>
    <t>Before this project began</t>
  </si>
  <si>
    <t>Neither positive nor negative</t>
  </si>
  <si>
    <t>Not Applicable</t>
  </si>
  <si>
    <t>No changes</t>
  </si>
  <si>
    <t>Sold more of the same crops (higher yield) Sold new/different types of crops Sold crops for a better price</t>
  </si>
  <si>
    <t>Higher yields in dry season</t>
  </si>
  <si>
    <t>Somewhat better prepared</t>
  </si>
  <si>
    <t>Knowledge of agroecological methods (e.g., intercropping) Skills in planning for climate risks Knowing how to harvest and store rainwater Knowing which drought-tolerant or early-maturing crops to plant</t>
  </si>
  <si>
    <t>Implemented a water harvesting system (e.g., water pan, tank) Diversified the crops I grow Started a kitchen garden for household food Joined a group that provides support/shared resources</t>
  </si>
  <si>
    <t>Somewhat confident</t>
  </si>
  <si>
    <t>Prolonged drought</t>
  </si>
  <si>
    <t>Support from project staff Learning from demonstration farms Seeing good results quickly</t>
  </si>
  <si>
    <t>High cost of inputs/materials Requires more labour/time</t>
  </si>
  <si>
    <t>No support at all</t>
  </si>
  <si>
    <t xml:space="preserve"> Very equally</t>
  </si>
  <si>
    <t>Unreliable rainfall/Drought</t>
  </si>
  <si>
    <t>Very relevant</t>
  </si>
  <si>
    <t>No, not that I've seen</t>
  </si>
  <si>
    <t>Many crops</t>
  </si>
  <si>
    <t>Better market access Access to loans/credit Advanced business training More support for irrigation</t>
  </si>
  <si>
    <t>The practical, on-farm training</t>
  </si>
  <si>
    <t>learnt a lot</t>
  </si>
  <si>
    <t>Deliver early</t>
  </si>
  <si>
    <t>Hold meetings at more convenient times</t>
  </si>
  <si>
    <t>Chicken farming</t>
  </si>
  <si>
    <t>Not Present / Can't show</t>
  </si>
  <si>
    <t>Training was held at an inconvenient time</t>
  </si>
  <si>
    <t>https://kf.kobotoolbox.org/api/v2/assets/a2jMyW8dsvtwpYHzQMRFCn/data/588065842/attachments/attZjoXsPCm7dnhaJDjtemMk/</t>
  </si>
  <si>
    <t>0.8355639 34.7346469 1730.193115234375 4.869</t>
  </si>
  <si>
    <t>Bahati Laureen</t>
  </si>
  <si>
    <t>Chemoge</t>
  </si>
  <si>
    <t>Mercy Ndiema</t>
  </si>
  <si>
    <t>Crop &amp; Livestock</t>
  </si>
  <si>
    <t>Use of compost (from farm waste)</t>
  </si>
  <si>
    <t>Beans maize soyabean</t>
  </si>
  <si>
    <t>Cowpeas ,sukuma, spinach</t>
  </si>
  <si>
    <t>Slightly increase</t>
  </si>
  <si>
    <t>Sold new/different types of crops</t>
  </si>
  <si>
    <t>It was one of several important reasons</t>
  </si>
  <si>
    <t>Knowledge of agroecological methods (e.g., intercropping)</t>
  </si>
  <si>
    <t>Implemented a water harvesting system (e.g., water pan, tank) Started a kitchen garden for household food Joined a group that provides support/shared resources</t>
  </si>
  <si>
    <t>High-quality, practical training Support from project staff Learning from demonstration farms Support and sharing within my farmer group</t>
  </si>
  <si>
    <t>Climate conditions were too harsh (drought/floods) Lack of access to water</t>
  </si>
  <si>
    <t>Somewhat well</t>
  </si>
  <si>
    <t>Low crop yields</t>
  </si>
  <si>
    <t>How to control pests</t>
  </si>
  <si>
    <t>Composting</t>
  </si>
  <si>
    <t>Available food</t>
  </si>
  <si>
    <t>It takes too much labour/time</t>
  </si>
  <si>
    <t>Very active (meets regularly, has plans)</t>
  </si>
  <si>
    <t>Better market access</t>
  </si>
  <si>
    <t>New farming methods were taught</t>
  </si>
  <si>
    <t>Other</t>
  </si>
  <si>
    <t>None</t>
  </si>
  <si>
    <t>Nothing</t>
  </si>
  <si>
    <t>It was inclusive enough</t>
  </si>
  <si>
    <t>Stronger links to buyers/markets</t>
  </si>
  <si>
    <t>Group participation</t>
  </si>
  <si>
    <t>Environmental impacts (e.g., deforestation, land degradation)</t>
  </si>
  <si>
    <t>Household responsibilities/other commitments prevented attendance</t>
  </si>
  <si>
    <t>https://kf.kobotoolbox.org/api/v2/assets/a2jMyW8dsvtwpYHzQMRFCn/data/588084237/attachments/attXwhq9ntyyTyVWhPajefGj/</t>
  </si>
  <si>
    <t>0.8471153 34.7355545 1893.356 1.189</t>
  </si>
  <si>
    <t>Jane Andeso</t>
  </si>
  <si>
    <t>Chemogei</t>
  </si>
  <si>
    <t>Lydia cheptum Tiriongo</t>
  </si>
  <si>
    <t>Crop rotation (changing crops seasonally)</t>
  </si>
  <si>
    <t>beans,bananas, vegetables</t>
  </si>
  <si>
    <t>vegetables</t>
  </si>
  <si>
    <t>Adopted a new farming practice (e.g., zai pits, contour farming)</t>
  </si>
  <si>
    <t>Erratic rainfall / Unpredictable seasons</t>
  </si>
  <si>
    <t>Requires more labour/time</t>
  </si>
  <si>
    <t>No, only from the project</t>
  </si>
  <si>
    <t>about farming</t>
  </si>
  <si>
    <t>high yieds</t>
  </si>
  <si>
    <t>No plan</t>
  </si>
  <si>
    <t>can do alone</t>
  </si>
  <si>
    <t>Group management was difficult</t>
  </si>
  <si>
    <t>should have cooperate</t>
  </si>
  <si>
    <t>continue with the spirit</t>
  </si>
  <si>
    <t>https://kf.kobotoolbox.org/api/v2/assets/a2jMyW8dsvtwpYHzQMRFCn/data/588090999/attachments/attrPtR83yMi8m5EGvNGYNjo/</t>
  </si>
  <si>
    <t>0.8464187 34.7353747 1888.7 4.866</t>
  </si>
  <si>
    <t>Wycliffe wanjala kwani</t>
  </si>
  <si>
    <t>56+</t>
  </si>
  <si>
    <t>Maize
Soyapeas
Beans</t>
  </si>
  <si>
    <t>Maize
Beans 
Bananas</t>
  </si>
  <si>
    <t>Knowing how to harvest and store rainwater Knowledge of agroecological methods (e.g., intercropping)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</si>
  <si>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</si>
  <si>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High cost of inputs/materials Pests/diseases affected new crops Climate conditions were too harsh (drought/floods)</t>
  </si>
  <si>
    <t>Establishing food forest and doing crop rotation</t>
  </si>
  <si>
    <t>Establishing food forest and doing crop rotation on their farm</t>
  </si>
  <si>
    <t>The production on the farm has increased</t>
  </si>
  <si>
    <t>The more yields was harvested in a small piece of land</t>
  </si>
  <si>
    <t>Materials should be delivered on time for good results and production</t>
  </si>
  <si>
    <t>To have more trainings so that the farmers can gain more skills</t>
  </si>
  <si>
    <t>https://kf.kobotoolbox.org/api/v2/assets/a2jMyW8dsvtwpYHzQMRFCn/data/588110123/attachments/attKSaqdNqFrWpuJAQnSAPWB/</t>
  </si>
  <si>
    <t>0.8345675 34.7482022 1734.3 3.9</t>
  </si>
  <si>
    <t>Faith Ann Juma</t>
  </si>
  <si>
    <t>Lily Chemos</t>
  </si>
  <si>
    <t>Kales,Beans,casava</t>
  </si>
  <si>
    <t>Millet,managu,sweetpotatoes</t>
  </si>
  <si>
    <t>Sold crops for a better price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</si>
  <si>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</si>
  <si>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</si>
  <si>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I am not worried about any</t>
  </si>
  <si>
    <t>High-quality, practical training Support from project staff Learning from demonstration farms Support and sharing within my farmer group Seeing good results quickly The inputs provided were affordable/useful</t>
  </si>
  <si>
    <t>Lack of access to water Pests/diseases affected new crops High cost of inputs/materials Lack of knowledge/confidence to do it alone Climate conditions were too harsh (drought/floods)</t>
  </si>
  <si>
    <t>Kitchen gardening ,and compositing</t>
  </si>
  <si>
    <t>Yes, a few are copying</t>
  </si>
  <si>
    <t>Kitchen garden</t>
  </si>
  <si>
    <t>From the trainings ,have learned more</t>
  </si>
  <si>
    <t>Yes, a clear plan (if yes, what plans; savings, registered co-op etc.)</t>
  </si>
  <si>
    <t>Better market access More support for irrigation Access to loans/credit Advanced business training</t>
  </si>
  <si>
    <t>Gained more knowledge from the trainings</t>
  </si>
  <si>
    <t>Work on leadership</t>
  </si>
  <si>
    <t>Hold meetings at more convenient times Ensure materials are affordable for the poorest It was inclusive enough</t>
  </si>
  <si>
    <t>Advanced business training A grant or loan to start a group enterprise Training on leadership and governance Stronger links to buyers/markets</t>
  </si>
  <si>
    <t>Put more effort on such a project , there's no other better project unlike this</t>
  </si>
  <si>
    <t>Health impacts (e.g., smoke-related illness) Environmental impacts (e.g., deforestation, land degradation)</t>
  </si>
  <si>
    <t>ECCRAS project activities Radio/TV/social media Friend/family/community member Government officer/health worker</t>
  </si>
  <si>
    <t xml:space="preserve"> No visible signs</t>
  </si>
  <si>
    <t xml:space="preserve">No </t>
  </si>
  <si>
    <t>https://kf.kobotoolbox.org/api/v2/assets/a2jMyW8dsvtwpYHzQMRFCn/data/588112755/attachments/att8bpn55BZhGxQW3vkMYJkr/</t>
  </si>
  <si>
    <t>0.8469092 34.7354319 1868.5 4.8</t>
  </si>
  <si>
    <t>Annette wandati</t>
  </si>
  <si>
    <t xml:space="preserve">Not Applicable </t>
  </si>
  <si>
    <t>Potatoes
Beans
Bananas</t>
  </si>
  <si>
    <t>Sold more of the same crops (higher yield) Sold new/different types of crops</t>
  </si>
  <si>
    <t xml:space="preserve">Less prepared </t>
  </si>
  <si>
    <t>The drought and much rainfall brings  a lot of complications in the farm.</t>
  </si>
  <si>
    <t>Skills in planning for climate risks None / I don't feel I gained new knowledge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</si>
  <si>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</si>
  <si>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Floods / Waterlogging</t>
  </si>
  <si>
    <t>High-quality, practical training Support from project staff</t>
  </si>
  <si>
    <t>Climate conditions were too harsh (drought/floods)</t>
  </si>
  <si>
    <t>Lack of income</t>
  </si>
  <si>
    <t>About kitchen gardening</t>
  </si>
  <si>
    <t>Now she earns money much better than before because she sells more</t>
  </si>
  <si>
    <t>Not active (seldom meets, no plans)</t>
  </si>
  <si>
    <t>Don't know</t>
  </si>
  <si>
    <t>Local agro-dealer Other successful farmers</t>
  </si>
  <si>
    <t>More support for irrigation Better market access Access to loans/credit Advanced business training Youth-specific programs</t>
  </si>
  <si>
    <t>She saw it herself practically and did it so she learnt fast</t>
  </si>
  <si>
    <t>Individual training is better</t>
  </si>
  <si>
    <t>Have separate sessions for youth Ensure materials are affordable for the poorest Hold meetings at more convenient times</t>
  </si>
  <si>
    <t>Training on leadership and governance Formal registration as a cooperative</t>
  </si>
  <si>
    <t>Radio/TV/social media</t>
  </si>
  <si>
    <t>https://kf.kobotoolbox.org/api/v2/assets/a2jMyW8dsvtwpYHzQMRFCn/data/588119500/attachments/attwkSHKFokQuzsf8hd42LTQ/</t>
  </si>
  <si>
    <t>0.8326866 34.7330426 1707.8681640625 4.956</t>
  </si>
  <si>
    <t>William  Wanjala</t>
  </si>
  <si>
    <t>Elgon</t>
  </si>
  <si>
    <t>Mary Gitongo</t>
  </si>
  <si>
    <t>Yes, a few more</t>
  </si>
  <si>
    <t>Maize 
Banana
Beans</t>
  </si>
  <si>
    <t>Maize
Banana
Beans</t>
  </si>
  <si>
    <t>Knowing which drought-tolerant or early-maturing crops to plant Knowing how to harvest and store rainwater</t>
  </si>
  <si>
    <t>Implemented a water harvesting system (e.g., water pan, tank) Improved my soil (with compost, cover crops) Adopted a new farming practice (e.g., zai pits, contour farming)</t>
  </si>
  <si>
    <t>High temperatures / Heat stress on crops</t>
  </si>
  <si>
    <t>Yes, with a few (1-4)</t>
  </si>
  <si>
    <t>Crop farming and livestock keeping</t>
  </si>
  <si>
    <t>Farmers remain  productive during  rainy season</t>
  </si>
  <si>
    <t>Higher yields</t>
  </si>
  <si>
    <t>Access to loans/credit</t>
  </si>
  <si>
    <t>Farmers have become productive</t>
  </si>
  <si>
    <t>Not enough follow-up after training</t>
  </si>
  <si>
    <t>Advanced training  and door to door activities</t>
  </si>
  <si>
    <t>Seek support and training  to farmers</t>
  </si>
  <si>
    <t>Often (most meals)</t>
  </si>
  <si>
    <t>https://kf.kobotoolbox.org/api/v2/assets/a2jMyW8dsvtwpYHzQMRFCn/data/588130279/attachments/attH6BJifjbx5uxRqCMzmHGW/</t>
  </si>
  <si>
    <t>0.8361009 34.7347432 1733.0 6.5</t>
  </si>
  <si>
    <t>Chemsesi</t>
  </si>
  <si>
    <t>Janet Cheptuke</t>
  </si>
  <si>
    <t>2</t>
  </si>
  <si>
    <t>0.4</t>
  </si>
  <si>
    <t>1</t>
  </si>
  <si>
    <t>Maize beans sweet potatoes</t>
  </si>
  <si>
    <t>100</t>
  </si>
  <si>
    <t>550</t>
  </si>
  <si>
    <t>5000</t>
  </si>
  <si>
    <t>Bananas, sweet potatoes ,beans</t>
  </si>
  <si>
    <t>10,000</t>
  </si>
  <si>
    <t>370</t>
  </si>
  <si>
    <t>770</t>
  </si>
  <si>
    <t>25,000</t>
  </si>
  <si>
    <t>Started a kitchen garden for household food Joined a group that provides support/shared resources</t>
  </si>
  <si>
    <t>Support from project staff</t>
  </si>
  <si>
    <t>Lack of access to water</t>
  </si>
  <si>
    <t>Lack of skills</t>
  </si>
  <si>
    <t>Agroecology</t>
  </si>
  <si>
    <t>Increased production of crops</t>
  </si>
  <si>
    <t>Equipment breaks, no way to repair Lack of money for inputs</t>
  </si>
  <si>
    <t>Provisions of seeds</t>
  </si>
  <si>
    <t>The support for irrigation/water</t>
  </si>
  <si>
    <t>The tanks provided</t>
  </si>
  <si>
    <t>Provided More education on agroecology</t>
  </si>
  <si>
    <t>Encourage members to be hardworking</t>
  </si>
  <si>
    <t>https://kf.kobotoolbox.org/api/v2/assets/a2jMyW8dsvtwpYHzQMRFCn/data/588171842/attachments/attEsdEyxQKRyh9XQfW78KtW/</t>
  </si>
  <si>
    <t>0.84471 34.7330707 1924.346 4.244</t>
  </si>
  <si>
    <t>Sabina Sikuku</t>
  </si>
  <si>
    <t>10</t>
  </si>
  <si>
    <t>0.8</t>
  </si>
  <si>
    <t>0.2</t>
  </si>
  <si>
    <t>Somewhat increased</t>
  </si>
  <si>
    <t>Maize
Yams
Bananas</t>
  </si>
  <si>
    <t>40</t>
  </si>
  <si>
    <t>30000</t>
  </si>
  <si>
    <t>120000</t>
  </si>
  <si>
    <t>Maize
Bananas 
Yams</t>
  </si>
  <si>
    <t>3500</t>
  </si>
  <si>
    <t>55</t>
  </si>
  <si>
    <t>19,225</t>
  </si>
  <si>
    <t>Sold seedlings or other farming inputs</t>
  </si>
  <si>
    <t>Knowing how to harvest and store rainwater Skills in soil conservation (e.g., composting, mulching) Knowledge of agroecological methods (e.g., intercropping) Knowing which drought-tolerant or early-maturing crops to plant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</si>
  <si>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</si>
  <si>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Pests/diseases affected new crops High cost of inputs/materials Climate conditions were too harsh (drought/floods)</t>
  </si>
  <si>
    <t>Doing crop rotation and establishing kitchen garden</t>
  </si>
  <si>
    <t>Making their own organic manure and doing aggroforestry</t>
  </si>
  <si>
    <t xml:space="preserve"> Yes, a little better</t>
  </si>
  <si>
    <t>The yields has somewhat increased</t>
  </si>
  <si>
    <t>Probably yes</t>
  </si>
  <si>
    <t>No market for the produce</t>
  </si>
  <si>
    <t>The tanks were provided to store water for irrigation</t>
  </si>
  <si>
    <t>Follow ups should be done to ensure the trainings is done for the project</t>
  </si>
  <si>
    <t>Open links and good market for the produce of the small farmers</t>
  </si>
  <si>
    <t>https://kf.kobotoolbox.org/api/v2/assets/a2jMyW8dsvtwpYHzQMRFCn/data/588173524/attachments/attuiwkeJybp3cVnPixhMtMw/</t>
  </si>
  <si>
    <t>0.8385786 34.7524008 1723.1 2.58</t>
  </si>
  <si>
    <t>Andrew Okanyamiti</t>
  </si>
  <si>
    <t>Radio/TV Project training – DESECE</t>
  </si>
  <si>
    <t>Beans 
Vegetables
Fruits</t>
  </si>
  <si>
    <t>Sold more of the same crops (higher yield) Sold crops for a better price Sold new/different types of crops Sold seedlings or other farming inputs</t>
  </si>
  <si>
    <t>Knowing how to harvest and store rainwater Knowing which drought-tolerant or early-maturing crops to plant Skills in soil conservation (e.g., composting, mulching)</t>
  </si>
  <si>
    <t>Implemented a water harvesting system (e.g., water pan, tank) Diversified the crops I grow Started a kitchen garden for household food Improved my soil (with compost, cover crops)</t>
  </si>
  <si>
    <t>Seeing good results quickly Learning from demonstration farms</t>
  </si>
  <si>
    <t>Yes, from local agro-dealers</t>
  </si>
  <si>
    <t>Mulching</t>
  </si>
  <si>
    <t>Because it yields more</t>
  </si>
  <si>
    <t>Lack of money for inputs</t>
  </si>
  <si>
    <t>My farmer group Other successful farmers</t>
  </si>
  <si>
    <t>Better market access Access to loans/credit More support for irrigation</t>
  </si>
  <si>
    <t>You see the practical and then implement</t>
  </si>
  <si>
    <t>They should come frequently</t>
  </si>
  <si>
    <t>Hold meetings at more convenient times Have separate sessions for youth Ensure materials are affordable for the poorest</t>
  </si>
  <si>
    <t>Advanced business training A grant or loan to start a group enterprise Stronger links to buyers/markets</t>
  </si>
  <si>
    <t>Financial trainings
Dairy farming 
Chicken farming</t>
  </si>
  <si>
    <t>https://kf.kobotoolbox.org/api/v2/assets/a2jMyW8dsvtwpYHzQMRFCn/data/588178138/attachments/attEFFidQksx2hq3xqsng79w/</t>
  </si>
  <si>
    <t>0.8341248 34.7373081 1735.016357421875 3.79</t>
  </si>
  <si>
    <t>Judith Namalwa</t>
  </si>
  <si>
    <t>36-45</t>
  </si>
  <si>
    <t>Banana
Coffee
Beans</t>
  </si>
  <si>
    <t>200</t>
  </si>
  <si>
    <t>250</t>
  </si>
  <si>
    <t>50000</t>
  </si>
  <si>
    <t>20000</t>
  </si>
  <si>
    <t>300</t>
  </si>
  <si>
    <t>60000</t>
  </si>
  <si>
    <t>Sold new/different types of crops Sold processed products (e.g., flour, jam)</t>
  </si>
  <si>
    <t>Skills in soil conservation (e.g., composting, mulching) Knowing how to harvest and store rainwater</t>
  </si>
  <si>
    <t>Implemented a water harvesting system (e.g., water pan, tank) Improved my soil (with compost, cover crops) Started a kitchen garden for household food</t>
  </si>
  <si>
    <t>High cost of inputs/materials Pests/diseases affected new crops Lack of access to water</t>
  </si>
  <si>
    <t>Not equally at all</t>
  </si>
  <si>
    <t>Females are more flexible</t>
  </si>
  <si>
    <t>How to improve  on crop productivity  and using compost manure</t>
  </si>
  <si>
    <t>The community has improve yields and reduce soil erosion</t>
  </si>
  <si>
    <t>Increased crop productivity than before</t>
  </si>
  <si>
    <t>Access to loans/credit Advanced business training</t>
  </si>
  <si>
    <t>Farmers learnt to apply skills in real situations  and help  understand  process better</t>
  </si>
  <si>
    <t>Adequate  monitoring and follow up</t>
  </si>
  <si>
    <t>A grant or loan to start a group enterprise Stronger links to buyers/markets</t>
  </si>
  <si>
    <t>Choosing  of new techniques</t>
  </si>
  <si>
    <t>https://kf.kobotoolbox.org/api/v2/assets/a2jMyW8dsvtwpYHzQMRFCn/data/588191100/attachments/att6uucpDdxUnS4ep4gGZYAN/</t>
  </si>
  <si>
    <t>0.8380285 34.7363984 1735.0 4.833</t>
  </si>
  <si>
    <t>Mukhongo Luke</t>
  </si>
  <si>
    <t>Kaptama</t>
  </si>
  <si>
    <t>Sarah Nelima</t>
  </si>
  <si>
    <t>15</t>
  </si>
  <si>
    <t>Somewhat negative</t>
  </si>
  <si>
    <t>Bean 
Bananas
Sweet potatoes</t>
  </si>
  <si>
    <t>17</t>
  </si>
  <si>
    <t>5500</t>
  </si>
  <si>
    <t>93500</t>
  </si>
  <si>
    <t>Beans
Bananas
Sweet potatoes</t>
  </si>
  <si>
    <t>96000</t>
  </si>
  <si>
    <t>20</t>
  </si>
  <si>
    <t>4800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</si>
  <si>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</si>
  <si>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</si>
  <si>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High-quality, practical training Support from project staff Learning from demonstration farms</t>
  </si>
  <si>
    <t>High cost of inputs/materials Climate conditions were too harsh (drought/floods)</t>
  </si>
  <si>
    <t>Climate change</t>
  </si>
  <si>
    <t>Methods</t>
  </si>
  <si>
    <t>Methods in farming</t>
  </si>
  <si>
    <t>High products</t>
  </si>
  <si>
    <t>I have skills and knowledge</t>
  </si>
  <si>
    <t>More education</t>
  </si>
  <si>
    <t>Hold meetings at more convenient times Ensure materials are affordable for the poorest</t>
  </si>
  <si>
    <t>More farm inputs</t>
  </si>
  <si>
    <t>https://kf.kobotoolbox.org/api/v2/assets/a2jMyW8dsvtwpYHzQMRFCn/data/588192120/attachments/attnTpPAobuZrmA6qkiGDXM5/</t>
  </si>
  <si>
    <t>0.8403976 34.7524133 1701.439 1.601</t>
  </si>
  <si>
    <t>Chemogen</t>
  </si>
  <si>
    <t>Emanuel Murambe</t>
  </si>
  <si>
    <t>Radio/TV Project training – DESECE Neighbour or friend Family member</t>
  </si>
  <si>
    <t>0.5</t>
  </si>
  <si>
    <t>During the second year of this project (2022)</t>
  </si>
  <si>
    <t>Casava,Bananas,kales ,managu</t>
  </si>
  <si>
    <t>190</t>
  </si>
  <si>
    <t>350</t>
  </si>
  <si>
    <t>50,000</t>
  </si>
  <si>
    <t>Sold new/different types of crops Sold crops for a better price</t>
  </si>
  <si>
    <t>Lack of access to water Climate conditions were too harsh (drought/floods) Pests/diseases affected new crops Lack of knowledge/confidence to do it alone Requires more labour/time High cost of inputs/materials</t>
  </si>
  <si>
    <t>Kitchen gardening,mulching</t>
  </si>
  <si>
    <t>Have harvested more crops , reduced cost of purchasing seedlings</t>
  </si>
  <si>
    <t>Advanced business training Better market access Access to loans/credit More support for irrigation</t>
  </si>
  <si>
    <t>Got more knowledge of harvesting rainwater</t>
  </si>
  <si>
    <t>The group should  strictly be monitored</t>
  </si>
  <si>
    <t>Advanced business training A grant or loan to start a group enterprise Stronger links to buyers/markets Training on leadership and governance Formal registration as a cooperative</t>
  </si>
  <si>
    <t>Bring more trainings</t>
  </si>
  <si>
    <t>ECCRAS project activities Radio/TV/social media Friend/family/community member</t>
  </si>
  <si>
    <t>https://kf.kobotoolbox.org/api/v2/assets/a2jMyW8dsvtwpYHzQMRFCn/data/588202461/attachments/attGRGuJP8JfgZ9m828FPcmj/</t>
  </si>
  <si>
    <t>0.8469917 34.7340983 1902.6 4.3</t>
  </si>
  <si>
    <t>Chemoi</t>
  </si>
  <si>
    <t>Rose Ngeiyo Kipgut</t>
  </si>
  <si>
    <t>7</t>
  </si>
  <si>
    <t>Growing drought-tolerant crop varieties</t>
  </si>
  <si>
    <t>bananas,beans, vegetables</t>
  </si>
  <si>
    <t>18000</t>
  </si>
  <si>
    <t>50</t>
  </si>
  <si>
    <t>Knowing which drought-tolerant or early-maturing crops to plant</t>
  </si>
  <si>
    <t>Implemented a water harvesting system (e.g., water pan, tank)</t>
  </si>
  <si>
    <t>High cost of inputs/materials</t>
  </si>
  <si>
    <t>about the project</t>
  </si>
  <si>
    <t>making kitchen garden</t>
  </si>
  <si>
    <t>high yields</t>
  </si>
  <si>
    <t>I'm able to do on my own</t>
  </si>
  <si>
    <t>nothing</t>
  </si>
  <si>
    <t>satisfied</t>
  </si>
  <si>
    <t>train more,and give support</t>
  </si>
  <si>
    <t>https://kf.kobotoolbox.org/api/v2/assets/a2jMyW8dsvtwpYHzQMRFCn/data/588203864/attachments/attCchWP7n5MadAg5vyw5ghg/</t>
  </si>
  <si>
    <t>0.8455571 34.7332602 1910.1 3.86</t>
  </si>
  <si>
    <t>Lydia Omuse</t>
  </si>
  <si>
    <t>5</t>
  </si>
  <si>
    <t>Sukumawiki
Beans 
Maize</t>
  </si>
  <si>
    <t>80</t>
  </si>
  <si>
    <t>40000</t>
  </si>
  <si>
    <t>320,000</t>
  </si>
  <si>
    <t>Yams
Bananas 
Greengrams</t>
  </si>
  <si>
    <t>4500</t>
  </si>
  <si>
    <t>90kgs</t>
  </si>
  <si>
    <t>405,000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</si>
  <si>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</si>
  <si>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Pests/diseases affected new crops High cost of inputs/materials</t>
  </si>
  <si>
    <t>Establishing a composit and green manure,Establishing food forest</t>
  </si>
  <si>
    <t>Making kitchen gardens and doing crop rotation</t>
  </si>
  <si>
    <t>The production has somehow increased</t>
  </si>
  <si>
    <t>The new farming techniques were copied from the demonstration farms</t>
  </si>
  <si>
    <t>The materials and inputs should be delivered on time for better results</t>
  </si>
  <si>
    <t>Give grants and loans for young farmers to boost their inputs on the farm</t>
  </si>
  <si>
    <t>https://kf.kobotoolbox.org/api/v2/assets/a2jMyW8dsvtwpYHzQMRFCn/data/588217132/attachments/attLt9oqySv5q4vvGt8pWJvP/</t>
  </si>
  <si>
    <t>0.840035 34.7538884 1720.5 2.2</t>
  </si>
  <si>
    <t>Kapchiria A</t>
  </si>
  <si>
    <t>Patrick Masika</t>
  </si>
  <si>
    <t>Maize
Beans
Banana</t>
  </si>
  <si>
    <t>500</t>
  </si>
  <si>
    <t>4200</t>
  </si>
  <si>
    <t>58800</t>
  </si>
  <si>
    <t>Maize
Beans</t>
  </si>
  <si>
    <t>76500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</si>
  <si>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</si>
  <si>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</si>
  <si>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High cost of inputs/materials Requires more labour/time Lack of knowledge/confidence to do it alone Climate conditions were too harsh (drought/floods)</t>
  </si>
  <si>
    <t>More training</t>
  </si>
  <si>
    <t>Training</t>
  </si>
  <si>
    <t>Methods of farming</t>
  </si>
  <si>
    <t>Increase yield</t>
  </si>
  <si>
    <t>Equipment breaks, no way to repair</t>
  </si>
  <si>
    <t>Easy to learn</t>
  </si>
  <si>
    <t>More educatiin</t>
  </si>
  <si>
    <t>Hold meetings at more convenient times Ensure materials are affordable for the poorest Provide childcare during activities</t>
  </si>
  <si>
    <t>Financial support</t>
  </si>
  <si>
    <t>https://kf.kobotoolbox.org/api/v2/assets/a2jMyW8dsvtwpYHzQMRFCn/data/588218585/attachments/attWuiLPYsLGui6uALKoD2Hp/</t>
  </si>
  <si>
    <t>0.8403886 34.7542841 1701.439 1.194</t>
  </si>
  <si>
    <t>Alex Cherop</t>
  </si>
  <si>
    <t>Amani</t>
  </si>
  <si>
    <t>Eunice Murunga</t>
  </si>
  <si>
    <t>380</t>
  </si>
  <si>
    <t>60</t>
  </si>
  <si>
    <t>22800</t>
  </si>
  <si>
    <t>High-quality, practical training Seeing good results quickly</t>
  </si>
  <si>
    <t>She copied on how to make manure</t>
  </si>
  <si>
    <t>High yield</t>
  </si>
  <si>
    <t>The quality of the project staff</t>
  </si>
  <si>
    <t>Our teacher are friendly</t>
  </si>
  <si>
    <t>Increase the number of teachers</t>
  </si>
  <si>
    <t>Provide more tools and equipments</t>
  </si>
  <si>
    <t>https://kf.kobotoolbox.org/api/v2/assets/a2jMyW8dsvtwpYHzQMRFCn/data/588219851/attachments/attKC8RRcDjnszBNXJp2DUPj/</t>
  </si>
  <si>
    <t>0.8362556 34.7416903 1719.232 9.417</t>
  </si>
  <si>
    <t>Judith Marango</t>
  </si>
  <si>
    <t>Rainwater harvesting (e.g., roof catchment, ponds)</t>
  </si>
  <si>
    <t>1.Maize
2.Bananas
3.Sukuma wiki</t>
  </si>
  <si>
    <t>Maize
Sukuma Wiki
Banana</t>
  </si>
  <si>
    <t>Skills in planning for climate risks</t>
  </si>
  <si>
    <t>Implemented a water harvesting system (e.g., water pan, tank) Started a kitchen garden for household food Adopted a new farming practice (e.g., zai pits, contour farming) Joined a group that provides support/shared resources</t>
  </si>
  <si>
    <t>Seeing good results quickly</t>
  </si>
  <si>
    <t>Not very well</t>
  </si>
  <si>
    <t>How to maintain a kitchen garden</t>
  </si>
  <si>
    <t>We were shown on how to measure distance and how to apply manure</t>
  </si>
  <si>
    <t>No challenge</t>
  </si>
  <si>
    <t>Bring different types of trees</t>
  </si>
  <si>
    <t>Stronger links to buyers/markets A grant or loan to start a group enterprise</t>
  </si>
  <si>
    <t>Provide us with  wheelbarrows and spades</t>
  </si>
  <si>
    <t>ECCRAS project activities Radio/TV/social media</t>
  </si>
  <si>
    <t>Lack of time or labour</t>
  </si>
  <si>
    <t xml:space="preserve">Other (specify) </t>
  </si>
  <si>
    <t>I participated</t>
  </si>
  <si>
    <t>https://kf.kobotoolbox.org/api/v2/assets/a2jMyW8dsvtwpYHzQMRFCn/data/588221513/attachments/atteAujD6NvhU3agVzFjAJGb/</t>
  </si>
  <si>
    <t>0.8409914 34.7163142 0.0 400.0</t>
  </si>
  <si>
    <t>Chemses</t>
  </si>
  <si>
    <t>Matlida Fridah</t>
  </si>
  <si>
    <t>3</t>
  </si>
  <si>
    <t>Fewer</t>
  </si>
  <si>
    <t>Beans ,cowpeas, kales</t>
  </si>
  <si>
    <t>5,500</t>
  </si>
  <si>
    <t>Beans ,kales ,cassava</t>
  </si>
  <si>
    <t>30,000</t>
  </si>
  <si>
    <t>270</t>
  </si>
  <si>
    <t>40,000</t>
  </si>
  <si>
    <t>Pests/diseases affected new crops</t>
  </si>
  <si>
    <t>It has a lot of skills</t>
  </si>
  <si>
    <t>Continuous production of vegetables</t>
  </si>
  <si>
    <t>Prepare before starting the group</t>
  </si>
  <si>
    <t>Lack of raw materials</t>
  </si>
  <si>
    <t>https://kf.kobotoolbox.org/api/v2/assets/a2jMyW8dsvtwpYHzQMRFCn/data/588237526/attachments/attrUTqyizvjRgR32HXTwF6Q/</t>
  </si>
  <si>
    <t>0.8463219 34.7361071 1833.033 1.246</t>
  </si>
  <si>
    <t>Kipchiria B</t>
  </si>
  <si>
    <t>Jennifer Nyongesa</t>
  </si>
  <si>
    <t>Kipchiria</t>
  </si>
  <si>
    <t>Florence cherotich</t>
  </si>
  <si>
    <t>6</t>
  </si>
  <si>
    <t>High-quality, practical training Support from project staff Learning from demonstration farms Seeing good results quickly</t>
  </si>
  <si>
    <t>High cost of inputs/materials Lack of knowledge/confidence to do it alone</t>
  </si>
  <si>
    <t>Crop rotation 
Use of Manure</t>
  </si>
  <si>
    <t xml:space="preserve">Many have tried to use this method </t>
  </si>
  <si>
    <t>It has brought sustainability in the household. 
Reduce the pest and diseases</t>
  </si>
  <si>
    <t>Youth-specific programs Access to loans/credit</t>
  </si>
  <si>
    <t>Its easy to do to practical and come do it in your house</t>
  </si>
  <si>
    <t>Have separate sessions for youth Ensure materials are affordable for the poorest</t>
  </si>
  <si>
    <t>A grant or loan to start a group enterprise Formal registration as a cooperative</t>
  </si>
  <si>
    <t xml:space="preserve">Poultry and dairy farming </t>
  </si>
  <si>
    <t>https://kf.kobotoolbox.org/api/v2/assets/a2jMyW8dsvtwpYHzQMRFCn/data/588258121/attachments/attWRdcVQFSkFVpZsMdddZAS/</t>
  </si>
  <si>
    <t>0.8404918 34.7437652 1751.41943359375 3.79</t>
  </si>
  <si>
    <t>Angela Mulongo Sikuku</t>
  </si>
  <si>
    <t>Maize
Beans
Sukumawiki</t>
  </si>
  <si>
    <t>2000</t>
  </si>
  <si>
    <t>160000</t>
  </si>
  <si>
    <t>Maize
Sugarcane 
Sweetpotatoes</t>
  </si>
  <si>
    <t>3000</t>
  </si>
  <si>
    <t>120,000</t>
  </si>
  <si>
    <t>Knowing how to harvest and store rainwater Knowing which drought-tolerant or early-maturing crops to plant Skills in soil conservation (e.g., composting, mulching) Knowledge of agroecological methods (e.g., intercropping)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</si>
  <si>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</si>
  <si>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Establishing kitchen garden and making organic manure</t>
  </si>
  <si>
    <t>Establishing kitchen garden and doing crop rotation</t>
  </si>
  <si>
    <t>The pests has stopped attacking crops hence more yields has acquired</t>
  </si>
  <si>
    <t>The farmers were able to get skills from the demonstration farms hence they applied on their farms</t>
  </si>
  <si>
    <t>The materials and inputs should be delivered on time for good results</t>
  </si>
  <si>
    <t>Stronger links to buyers/markets Advanced business training</t>
  </si>
  <si>
    <t>To offer more trainings for the farmers</t>
  </si>
  <si>
    <t>https://kf.kobotoolbox.org/api/v2/assets/a2jMyW8dsvtwpYHzQMRFCn/data/588260820/attachments/attkNDGQaYbYLUJwx5cpcLJ3/</t>
  </si>
  <si>
    <t>0.8391637 34.7534738 1726.4 5.0</t>
  </si>
  <si>
    <t>Salome kwaram</t>
  </si>
  <si>
    <t>Project training – DESECE Radio/TV</t>
  </si>
  <si>
    <t>Use of cover crops (e.g., beans, peas)</t>
  </si>
  <si>
    <t>Knowing how to harvest and store rainwater Skills in planning for climate risks</t>
  </si>
  <si>
    <t>Neutral</t>
  </si>
  <si>
    <t>How to make compost manure</t>
  </si>
  <si>
    <t>Maintaining kitchen garden</t>
  </si>
  <si>
    <t>It's cheaper</t>
  </si>
  <si>
    <t>Lack of money for inputs Equipment breaks, no way to repair</t>
  </si>
  <si>
    <t>Group is no longer together</t>
  </si>
  <si>
    <t>I don't know where to go</t>
  </si>
  <si>
    <t>Better market access Advanced business training</t>
  </si>
  <si>
    <t>We are able to irrigation during dry season</t>
  </si>
  <si>
    <t>Revive our group</t>
  </si>
  <si>
    <t>Training on leadership and governance Advanced business training</t>
  </si>
  <si>
    <t>Need more follow up from our Spencers</t>
  </si>
  <si>
    <t>https://kf.kobotoolbox.org/api/v2/assets/a2jMyW8dsvtwpYHzQMRFCn/data/588273628/attachments/atthhzXhCa8yPgdvfL9RKRRV/</t>
  </si>
  <si>
    <t>0.841579 34.7439097 1749.817 3.858</t>
  </si>
  <si>
    <t>Anthony Malala</t>
  </si>
  <si>
    <t>Beans 
Maize
Coffee</t>
  </si>
  <si>
    <t>700</t>
  </si>
  <si>
    <t>70000</t>
  </si>
  <si>
    <t>Maize
Beans 
Coffee</t>
  </si>
  <si>
    <t>70,000</t>
  </si>
  <si>
    <t>Stayed the same</t>
  </si>
  <si>
    <t>Making of cone gardens</t>
  </si>
  <si>
    <t>They have mad cone gardens on their own</t>
  </si>
  <si>
    <t>Because the yields has increased and less input cost has done</t>
  </si>
  <si>
    <t>Majority of the activities was done on the demonstration farm then transferred to the farmers farms</t>
  </si>
  <si>
    <t>To ensure most farmers from the group are exposed to business trainings</t>
  </si>
  <si>
    <t>https://kf.kobotoolbox.org/api/v2/assets/a2jMyW8dsvtwpYHzQMRFCn/data/588344577/attachments/attxmi3yraJdsJbz6wbWcHuz/</t>
  </si>
  <si>
    <t>0.8397391 34.7501649 1726.0 4.96</t>
  </si>
  <si>
    <t>Kipchiria A</t>
  </si>
  <si>
    <t>Rose Masika</t>
  </si>
  <si>
    <t>4</t>
  </si>
  <si>
    <t>Maize 
Beans
Cassava</t>
  </si>
  <si>
    <t>70</t>
  </si>
  <si>
    <t>7000</t>
  </si>
  <si>
    <t>Maize
Beans
Sorghum</t>
  </si>
  <si>
    <t>8000</t>
  </si>
  <si>
    <t>Knowing how to harvest and store rainwater Knowing which drought-tolerant or early-maturing crops to plant</t>
  </si>
  <si>
    <t>Learning from demonstration farms High-quality, practical training</t>
  </si>
  <si>
    <t>Climate conditions were too harsh (drought/floods) Pests/diseases affected new crops</t>
  </si>
  <si>
    <t xml:space="preserve">Womens are flexible </t>
  </si>
  <si>
    <t>How to prepare  compost manure</t>
  </si>
  <si>
    <t xml:space="preserve">Their has been increased productivity  </t>
  </si>
  <si>
    <t xml:space="preserve">How to prepare organic manure  for planting </t>
  </si>
  <si>
    <t>Advanced business training Access to loans/credit</t>
  </si>
  <si>
    <t>Gained enough  skills</t>
  </si>
  <si>
    <t xml:space="preserve">Advanced  bussiness  training and provision of farm equipments to farmers </t>
  </si>
  <si>
    <t xml:space="preserve">Effective  follow up and monitoring </t>
  </si>
  <si>
    <t xml:space="preserve"> Other (specify): </t>
  </si>
  <si>
    <t xml:space="preserve">Oneself </t>
  </si>
  <si>
    <t>https://kf.kobotoolbox.org/api/v2/assets/a2jMyW8dsvtwpYHzQMRFCn/data/588367925/attachments/attvAVafvqY5mrDxTDzBZPW3/</t>
  </si>
  <si>
    <t>0.8332371 34.7476538 1704.0 4.9</t>
  </si>
  <si>
    <t xml:space="preserve">Kipchiria </t>
  </si>
  <si>
    <t>Joseph Kwani</t>
  </si>
  <si>
    <t>Beans
Maize
Sukuma wiki</t>
  </si>
  <si>
    <t>118</t>
  </si>
  <si>
    <t>46</t>
  </si>
  <si>
    <t>Knowing which drought-tolerant or early-maturing crops to plant Skills in planning for climate risks</t>
  </si>
  <si>
    <t>Pests/Diseases</t>
  </si>
  <si>
    <t xml:space="preserve">Enough learning materials </t>
  </si>
  <si>
    <t>Making organic manure</t>
  </si>
  <si>
    <t xml:space="preserve">High yield </t>
  </si>
  <si>
    <t>The group approach (farmer groups)</t>
  </si>
  <si>
    <t xml:space="preserve">We have good teachers </t>
  </si>
  <si>
    <t xml:space="preserve">Add more teachers </t>
  </si>
  <si>
    <t>We need farm tools like wheelbarrows</t>
  </si>
  <si>
    <t>https://kf.kobotoolbox.org/api/v2/assets/a2jMyW8dsvtwpYHzQMRFCn/data/588403137/attachments/attwng4nLaLZdA7NbuYkXnAn/</t>
  </si>
  <si>
    <t>0.8348608 34.7492195 1775.206 2.405</t>
  </si>
  <si>
    <t>Rebecca Mwele</t>
  </si>
  <si>
    <t>Project training – DESECE Family member</t>
  </si>
  <si>
    <t>25</t>
  </si>
  <si>
    <t>Vegetable
Beans
Bananas</t>
  </si>
  <si>
    <t>23</t>
  </si>
  <si>
    <t>69000</t>
  </si>
  <si>
    <t>Beans 
Vegetable
Bananas</t>
  </si>
  <si>
    <t>42000</t>
  </si>
  <si>
    <t>14</t>
  </si>
  <si>
    <t>High-quality, practical training Support from project staff Support and sharing within my farmer group</t>
  </si>
  <si>
    <t>High cost of inputs/materials Requires more labour/time Lack of knowledge/confidence to do it alone Climate conditions were too harsh (drought/floods) Pests/diseases affected new crops</t>
  </si>
  <si>
    <t>Training of TFT course for facilitation</t>
  </si>
  <si>
    <t>Crop rotation</t>
  </si>
  <si>
    <t>Improved produce</t>
  </si>
  <si>
    <t>More support for irrigation Advanced business training</t>
  </si>
  <si>
    <t>Clear plans and learning</t>
  </si>
  <si>
    <t xml:space="preserve">Follow up on groups </t>
  </si>
  <si>
    <t>Hold meetings at more convenient times It was inclusive enough</t>
  </si>
  <si>
    <t>A grant or loan to start a group enterprise Advanced business training Stronger links to buyers/markets</t>
  </si>
  <si>
    <t>Complete training on ground</t>
  </si>
  <si>
    <t>Equipment/tools not available</t>
  </si>
  <si>
    <t>https://kf.kobotoolbox.org/api/v2/assets/a2jMyW8dsvtwpYHzQMRFCn/data/588404272/attachments/attBg2DaXqHMmNybiBU6RU4b/</t>
  </si>
  <si>
    <t>0.8404438 34.753022 1702.8 2.071</t>
  </si>
  <si>
    <t>Jackline Tata Osulu</t>
  </si>
  <si>
    <t>Beans
Sweet potatoes
Maize</t>
  </si>
  <si>
    <t>4300</t>
  </si>
  <si>
    <t>21500</t>
  </si>
  <si>
    <t>16800</t>
  </si>
  <si>
    <t>Implemented a water harvesting system (e.g., water pan, tank) Diversified the crops I grow Improved my soil (with compost, cover crops) Started a kitchen garden for household food</t>
  </si>
  <si>
    <t>High-quality, practical training Support from project staff Learning from demonstration farms Support and sharing within my farmer group Seeing good results quickly</t>
  </si>
  <si>
    <t>Farming activities</t>
  </si>
  <si>
    <t>Increased goods</t>
  </si>
  <si>
    <t>Lack of money for inputs Nothing will stop me</t>
  </si>
  <si>
    <t>Better market access Access to loans/credit</t>
  </si>
  <si>
    <t>Imroved soil fertility</t>
  </si>
  <si>
    <t>Hold meetings at more convenient times Provide childcare during activities Ensure materials are affordable for the poorest Have separate sessions for youth</t>
  </si>
  <si>
    <t>Advanced business training A grant or loan to start a group enterprise Training on leadership and governance Formal registration as a cooperative</t>
  </si>
  <si>
    <t xml:space="preserve">Increase wheelbarrows for fetching water in dry season </t>
  </si>
  <si>
    <t>https://kf.kobotoolbox.org/api/v2/assets/a2jMyW8dsvtwpYHzQMRFCn/data/588404312/attachments/att3jkk2XxYoWUtiWhkUqT6V/</t>
  </si>
  <si>
    <t>0.8346781 34.7472855 1693.279 2.882</t>
  </si>
  <si>
    <t>Evans Wafula</t>
  </si>
  <si>
    <t>Project training – DESECE Neighbour or friend</t>
  </si>
  <si>
    <t>During the third year of this project (2023)</t>
  </si>
  <si>
    <t xml:space="preserve">Maize 
Beans 
Vegetables </t>
  </si>
  <si>
    <t>310</t>
  </si>
  <si>
    <t>36.1</t>
  </si>
  <si>
    <t>11200</t>
  </si>
  <si>
    <t>The same level of preparedness</t>
  </si>
  <si>
    <t>Skills in soil conservation (e.g., composting, mulching) Knowledge of agroecological methods (e.g., intercropping)</t>
  </si>
  <si>
    <t>High-quality, practical training Support from project staff Seeing good results quickly</t>
  </si>
  <si>
    <t xml:space="preserve">Men are very few </t>
  </si>
  <si>
    <t>How to make a terrace</t>
  </si>
  <si>
    <t xml:space="preserve">Kitchen garden </t>
  </si>
  <si>
    <t xml:space="preserve">In the last session I harvested more </t>
  </si>
  <si>
    <t>Better market access More support for irrigation Access to loans/credit</t>
  </si>
  <si>
    <t xml:space="preserve">They are very friendly </t>
  </si>
  <si>
    <t>Training was well</t>
  </si>
  <si>
    <t>Create awareness for men</t>
  </si>
  <si>
    <t>A grant or loan to start a group enterprise Training on leadership and governance Stronger links to buyers/markets Advanced business training</t>
  </si>
  <si>
    <t xml:space="preserve">We need wheelbarrows in the next project </t>
  </si>
  <si>
    <t>https://kf.kobotoolbox.org/api/v2/assets/a2jMyW8dsvtwpYHzQMRFCn/data/590586791/attachments/attqeYzePLjwQVW4hQAyWaHj/</t>
  </si>
  <si>
    <t>0.8370205 34.7259039 0.0 2000.0</t>
  </si>
  <si>
    <t>Catherine  makokha</t>
  </si>
  <si>
    <t>16</t>
  </si>
  <si>
    <t xml:space="preserve">Maize 
Beans
Vegetables </t>
  </si>
  <si>
    <t>90</t>
  </si>
  <si>
    <t>6000</t>
  </si>
  <si>
    <t xml:space="preserve">Maize
Cassava
Vegetables </t>
  </si>
  <si>
    <t>10000</t>
  </si>
  <si>
    <t>150</t>
  </si>
  <si>
    <t>12000</t>
  </si>
  <si>
    <t>Sold new/different types of crops Sold more of the same crops (higher yield)</t>
  </si>
  <si>
    <t>Implemented a water harvesting system (e.g., water pan, tank) Improved my soil (with compost, cover crops) Started a kitchen garden for household food Adopted a new farming practice (e.g., zai pits, contour farming)</t>
  </si>
  <si>
    <t>High-quality, practical training Learning from demonstration farms</t>
  </si>
  <si>
    <t>High cost of inputs/materials Climate conditions were too harsh (drought/floods) Pests/diseases affected new crops</t>
  </si>
  <si>
    <t>Advised  them on how to make Vegetables  beds</t>
  </si>
  <si>
    <t xml:space="preserve">Theirs increase in yields </t>
  </si>
  <si>
    <t xml:space="preserve">The farmer now is able to change crops seasonally </t>
  </si>
  <si>
    <t>Nothing will stop me Equipment breaks, no way to repair Lack of money for inputs</t>
  </si>
  <si>
    <t>My farmer group  Other</t>
  </si>
  <si>
    <t xml:space="preserve">Field officer </t>
  </si>
  <si>
    <t xml:space="preserve">The farmer  gained  enough  skills </t>
  </si>
  <si>
    <t xml:space="preserve">Project should  focus on Advanced  training   and early  delivery  of materials </t>
  </si>
  <si>
    <t>Advanced business training A grant or loan to start a group enterprise</t>
  </si>
  <si>
    <t>Continue supporting  farmers  and giving farmers loans</t>
  </si>
  <si>
    <t>https://kf.kobotoolbox.org/api/v2/assets/a2jMyW8dsvtwpYHzQMRFCn/data/590593295/attachments/attn9TKKoHNA8vFqnGVAhXGC/</t>
  </si>
  <si>
    <t>0.834545 34.7483178 1704.0 5.0</t>
  </si>
  <si>
    <t>Glender kitongi</t>
  </si>
  <si>
    <t>Beans 
Cassava
Maize</t>
  </si>
  <si>
    <t>25000</t>
  </si>
  <si>
    <t xml:space="preserve">How to make food forest ,kitchen garden and compost </t>
  </si>
  <si>
    <t xml:space="preserve">Their's  increase  in yields </t>
  </si>
  <si>
    <t>The farmer  has gained  more farming skills</t>
  </si>
  <si>
    <t xml:space="preserve">Field  officer </t>
  </si>
  <si>
    <t>The farmer  gained  enough  skills</t>
  </si>
  <si>
    <t>Advanced  follow  up</t>
  </si>
  <si>
    <t xml:space="preserve">Has helped  farmers  gained  enough  skills and should  also focus on more training  to farmers </t>
  </si>
  <si>
    <t>https://kf.kobotoolbox.org/api/v2/assets/a2jMyW8dsvtwpYHzQMRFCn/data/590604271/attachments/att4TSg55XTRVoVhHAU6gfBW/</t>
  </si>
  <si>
    <t>0.834565 34.7482547 1720.0 4.9</t>
  </si>
  <si>
    <t>John kwemoi</t>
  </si>
  <si>
    <t>maize beans sweat potatoes</t>
  </si>
  <si>
    <t>High-quality, practical training</t>
  </si>
  <si>
    <t>No change</t>
  </si>
  <si>
    <t>how to make and use compost</t>
  </si>
  <si>
    <t>compost using</t>
  </si>
  <si>
    <t>improved livehood</t>
  </si>
  <si>
    <t>Can do it alone</t>
  </si>
  <si>
    <t>mobilize people early</t>
  </si>
  <si>
    <t>no market at all</t>
  </si>
  <si>
    <t>https://kf.kobotoolbox.org/api/v2/assets/a2jMyW8dsvtwpYHzQMRFCn/data/590604945/attachments/attkXKzKqRpvDzewyKgYtEyY/</t>
  </si>
  <si>
    <t>0.8471483 34.73571 1655.8 4.65</t>
  </si>
  <si>
    <t>Joyline Kwalia</t>
  </si>
  <si>
    <t xml:space="preserve">Beans 
Sukumawiki
Cassava </t>
  </si>
  <si>
    <t>35</t>
  </si>
  <si>
    <t>Beans 
Sukumawiki 
Yams</t>
  </si>
  <si>
    <t>15000</t>
  </si>
  <si>
    <t>21000</t>
  </si>
  <si>
    <t>Learning from demonstration farms Support and sharing within my farmer group</t>
  </si>
  <si>
    <t>High cost of inputs/materials Pests/diseases affected new crops Other</t>
  </si>
  <si>
    <t xml:space="preserve">Small piece of land hence production time is limited </t>
  </si>
  <si>
    <t>Use of beds in planting is good  because people with small farms are able to produce different varieties of crops at that small piece of land</t>
  </si>
  <si>
    <t xml:space="preserve">The  beds are establishing both sunken and raised </t>
  </si>
  <si>
    <t xml:space="preserve">The production has increased </t>
  </si>
  <si>
    <t xml:space="preserve">Production of different varieties of crops in the demonstration farm </t>
  </si>
  <si>
    <t>The materials and inputs should be delivered  on time to enable farmers meet their target</t>
  </si>
  <si>
    <t>Provision of wheelbarrow for easier transportation of manure to the farm and knapsack sprayer to use in the farm</t>
  </si>
  <si>
    <t>https://kf.kobotoolbox.org/api/v2/assets/a2jMyW8dsvtwpYHzQMRFCn/data/590605747/attachments/att7SnRrVTaCPY5y7bxnsiWh/</t>
  </si>
  <si>
    <t>0.8468468 34.7353248 1931.2 4.85</t>
  </si>
  <si>
    <t>Chemogi</t>
  </si>
  <si>
    <t>Milka Nasimiyu</t>
  </si>
  <si>
    <t xml:space="preserve">Neither positive nor negative 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</si>
  <si>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</si>
  <si>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Implemented a water harvesting system (e.g., water pan, tank) Improved my soil (with compost, cover crops) Joined a group that provides support/shared resources Diversified the crops I grow</t>
  </si>
  <si>
    <t>High-quality, practical training Support and sharing within my farmer group The inputs provided were affordable/useful Seeing good results quickly</t>
  </si>
  <si>
    <t>Lack of access to water Requires more labour/time Lack of knowledge/confidence to do it alone</t>
  </si>
  <si>
    <t xml:space="preserve">Making of beds </t>
  </si>
  <si>
    <t xml:space="preserve">The neighbors are asking the project to come educate them too. </t>
  </si>
  <si>
    <t xml:space="preserve">Now she has food on her table, the children don't lack it. </t>
  </si>
  <si>
    <t>Better market access More support for irrigation Access to loans/credit Youth-specific programs Advanced business training</t>
  </si>
  <si>
    <t xml:space="preserve">Many farmers learnt it and they appreciate it. </t>
  </si>
  <si>
    <t>Should deliver early</t>
  </si>
  <si>
    <t>Hold meetings at more convenient times Have separate sessions for youth</t>
  </si>
  <si>
    <t>Advanced business training Stronger links to buyers/markets Training on leadership and governance Formal registration as a cooperative</t>
  </si>
  <si>
    <t xml:space="preserve">Chicken farming 
Cows </t>
  </si>
  <si>
    <t>https://kf.kobotoolbox.org/api/v2/assets/a2jMyW8dsvtwpYHzQMRFCn/data/590606356/attachments/attUeCApxjmieonpa8ZdH7hj/</t>
  </si>
  <si>
    <t>0.8471824 34.7358367 1872.28173828125 4.846</t>
  </si>
  <si>
    <t>Humphrey Limo</t>
  </si>
  <si>
    <t xml:space="preserve">Veges,Beans, Groundnuts </t>
  </si>
  <si>
    <t>45,000</t>
  </si>
  <si>
    <t>Other (please specify)</t>
  </si>
  <si>
    <t>Waiting for a better market</t>
  </si>
  <si>
    <t>High-quality, practical training Seeing good results quickly Support and sharing within my farmer group Learning from demonstration farms Support from project staff The inputs provided were affordable/useful</t>
  </si>
  <si>
    <t>High cost of inputs/materials Lack of access to water Lack of knowledge/confidence to do it alone Climate conditions were too harsh (drought/floods)</t>
  </si>
  <si>
    <t xml:space="preserve">Mulching ,and zaipits </t>
  </si>
  <si>
    <t xml:space="preserve">Kitchen gardening </t>
  </si>
  <si>
    <t xml:space="preserve">Much more affordable </t>
  </si>
  <si>
    <t>Better market access Access to loans/credit More support for irrigation Advanced business training</t>
  </si>
  <si>
    <t xml:space="preserve">Gained more knowledge on practical hence adopted on my farm and harvested more yields </t>
  </si>
  <si>
    <t>Holding trainings at convenient time</t>
  </si>
  <si>
    <t>Work on time plan</t>
  </si>
  <si>
    <t>Hold meetings at more convenient times It was inclusive enough Ensure materials are affordable for the poorest</t>
  </si>
  <si>
    <t xml:space="preserve">To continue with the program </t>
  </si>
  <si>
    <t xml:space="preserve">Was trained </t>
  </si>
  <si>
    <t>https://kf.kobotoolbox.org/api/v2/assets/a2jMyW8dsvtwpYHzQMRFCn/data/590608010/attachments/attKkPo3idoMNuca6rYhm4Je/</t>
  </si>
  <si>
    <t>0.8469557 34.7354487 1901.3 4.0</t>
  </si>
  <si>
    <t>Rachael Wanyama</t>
  </si>
  <si>
    <t>8</t>
  </si>
  <si>
    <t>Very negative</t>
  </si>
  <si>
    <t>Don't Know</t>
  </si>
  <si>
    <t>Beans
Sweet potato 
Sukuma wiki</t>
  </si>
  <si>
    <t>230</t>
  </si>
  <si>
    <t>41.7</t>
  </si>
  <si>
    <t>9600</t>
  </si>
  <si>
    <t>No big change yet</t>
  </si>
  <si>
    <t>Knowing how to harvest and store rainwater Skills in soil conservation (e.g., composting, mulching)</t>
  </si>
  <si>
    <t>About our project and where we learn</t>
  </si>
  <si>
    <t xml:space="preserve">Copying on how to make kitchen garden </t>
  </si>
  <si>
    <t xml:space="preserve">Because we make our own pest site </t>
  </si>
  <si>
    <t xml:space="preserve">Now I can plant even in dry season </t>
  </si>
  <si>
    <t xml:space="preserve">Nothing </t>
  </si>
  <si>
    <t xml:space="preserve">Hold more seminars </t>
  </si>
  <si>
    <t xml:space="preserve">We thank you for what you are doing. </t>
  </si>
  <si>
    <t>ECCRAS project activities Friend/family/community member</t>
  </si>
  <si>
    <t xml:space="preserve">I was sick </t>
  </si>
  <si>
    <t>https://kf.kobotoolbox.org/api/v2/assets/a2jMyW8dsvtwpYHzQMRFCn/data/590615393/attachments/attcVmkidR2JDjxT8CFbPKeH/</t>
  </si>
  <si>
    <t>0.8347043 34.7483026 1718.969 3.534</t>
  </si>
  <si>
    <t>Pamela Wafula</t>
  </si>
  <si>
    <t>730</t>
  </si>
  <si>
    <t>52.1</t>
  </si>
  <si>
    <t>38050</t>
  </si>
  <si>
    <t>Less crop loss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</si>
  <si>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</si>
  <si>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 xml:space="preserve">I share with them things that we do as a group </t>
  </si>
  <si>
    <t xml:space="preserve">Making a kitchen garden </t>
  </si>
  <si>
    <t xml:space="preserve">In the past I didn't know how to make compost manure </t>
  </si>
  <si>
    <t xml:space="preserve">It was enjoyable </t>
  </si>
  <si>
    <t>It's well</t>
  </si>
  <si>
    <t>A grant or loan to start a group enterprise Advanced business training</t>
  </si>
  <si>
    <t xml:space="preserve">Provide us with farming equipment </t>
  </si>
  <si>
    <t>https://kf.kobotoolbox.org/api/v2/assets/a2jMyW8dsvtwpYHzQMRFCn/data/590615613/attachments/att9HgassfxcsrJmcrr5fdGk/</t>
  </si>
  <si>
    <t>0.8346016 34.7483503 1751.412 6.042</t>
  </si>
  <si>
    <t>Andrew wanjala</t>
  </si>
  <si>
    <t>Banana 
Maize
Beans</t>
  </si>
  <si>
    <t>400</t>
  </si>
  <si>
    <t>75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</si>
  <si>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</si>
  <si>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 xml:space="preserve">How to make manure using readily  available  resources </t>
  </si>
  <si>
    <t>Their's increase in yields</t>
  </si>
  <si>
    <t xml:space="preserve">Yes because  their's increase  in yields </t>
  </si>
  <si>
    <t>Lack of money for inputs Equipment breaks, no way to repair Nothing will stop me</t>
  </si>
  <si>
    <t>The farmer learnt more skills</t>
  </si>
  <si>
    <t xml:space="preserve">Materials  to be delivered early </t>
  </si>
  <si>
    <t xml:space="preserve">Farmers  to get loans and advanced  bussiness  training </t>
  </si>
  <si>
    <t>https://kf.kobotoolbox.org/api/v2/assets/a2jMyW8dsvtwpYHzQMRFCn/data/590617314/attachments/attkCP7oPBH7gsaUvcnSpNVB/</t>
  </si>
  <si>
    <t>0.8345198 34.7482697 1715.0 4.916</t>
  </si>
  <si>
    <t>chemoge</t>
  </si>
  <si>
    <t>Violet kipchana</t>
  </si>
  <si>
    <t>vegetables,bananas</t>
  </si>
  <si>
    <t>Vegetables,bananas</t>
  </si>
  <si>
    <t>4000</t>
  </si>
  <si>
    <t>Joined a group that provides support/shared resources</t>
  </si>
  <si>
    <t>Lack of knowledge/confidence to do it alone</t>
  </si>
  <si>
    <t>know how to do alone</t>
  </si>
  <si>
    <t>everything is ok</t>
  </si>
  <si>
    <t>continue supporting</t>
  </si>
  <si>
    <t>attended</t>
  </si>
  <si>
    <t>https://kf.kobotoolbox.org/api/v2/assets/a2jMyW8dsvtwpYHzQMRFCn/data/590617798/attachments/att9Ubsayj3fwMyJERw6KLhN/</t>
  </si>
  <si>
    <t>0.847025 34.7358183 1925.9 4.9</t>
  </si>
  <si>
    <t xml:space="preserve">Chemises </t>
  </si>
  <si>
    <t>Daniel Ngeywa</t>
  </si>
  <si>
    <t xml:space="preserve">Somewhat positive </t>
  </si>
  <si>
    <t>Knowing how to harvest and store rainwater Knowing which drought-tolerant or early-maturing crops to plant Skills in soil conservation (e.g., composting, mulching) Knowing how to access weather information</t>
  </si>
  <si>
    <t>Implemented a water harvesting system (e.g., water pan, tank) Diversified the crops I grow Improved my soil (with compost, cover crops)</t>
  </si>
  <si>
    <t>High-quality, practical training Support and sharing within my farmer group Learning from demonstration farms</t>
  </si>
  <si>
    <t xml:space="preserve">About mulching </t>
  </si>
  <si>
    <t xml:space="preserve">Neighbors are interested in tanks because one can now plant crops frequently </t>
  </si>
  <si>
    <t>No more buying maize and anything else in the market. You have all in the farm</t>
  </si>
  <si>
    <t>My farmer group Government extension officer Local agro-dealer Other successful farmers</t>
  </si>
  <si>
    <t>Better market access More support for irrigation Access to loans/credit Youth-specific programs</t>
  </si>
  <si>
    <t xml:space="preserve">Now she can do it all by himself </t>
  </si>
  <si>
    <t>Should visit more</t>
  </si>
  <si>
    <t>Ensure materials are affordable for the poorest It was inclusive enough Have separate sessions for youth</t>
  </si>
  <si>
    <t>A grant or loan to start a group enterprise Stronger links to buyers/markets Advanced business training Training on leadership and governance</t>
  </si>
  <si>
    <t xml:space="preserve">Open a business for farmers
Loans to start up a project
Chicken farming </t>
  </si>
  <si>
    <t>Environmental impacts (e.g., deforestation, land degradation) Health impacts (e.g., smoke-related illness)</t>
  </si>
  <si>
    <t>https://kf.kobotoolbox.org/api/v2/assets/a2jMyW8dsvtwpYHzQMRFCn/data/590618121/attachments/attLTmZDvFux3mNy9p2WqbGV/</t>
  </si>
  <si>
    <t>0.8471402 34.7358516 1880.17138671875 4.11</t>
  </si>
  <si>
    <t>Emily Chepkemoi</t>
  </si>
  <si>
    <t>9</t>
  </si>
  <si>
    <t>Veges,Irish potatoes,Beans</t>
  </si>
  <si>
    <t>220</t>
  </si>
  <si>
    <t>600</t>
  </si>
  <si>
    <t>132,000</t>
  </si>
  <si>
    <t xml:space="preserve">Kept for food consumption 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</si>
  <si>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</si>
  <si>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Lack of access to water High cost of inputs/materials Lack of knowledge/confidence to do it alone Requires more labour/time</t>
  </si>
  <si>
    <t>How to make pestside liquid use to spray my farm</t>
  </si>
  <si>
    <t>Kitchen garden ,compost manure</t>
  </si>
  <si>
    <t xml:space="preserve">They more much affordable </t>
  </si>
  <si>
    <t>Better market access Access to loans/credit Advanced business training</t>
  </si>
  <si>
    <t xml:space="preserve">From practicals gained knowledge to do farming </t>
  </si>
  <si>
    <t xml:space="preserve">Everything was inclusive </t>
  </si>
  <si>
    <t>Advanced business training A grant or loan to start a group enterprise Stronger links to buyers/markets Training on leadership and governance</t>
  </si>
  <si>
    <t>More traings to gain More knowledge</t>
  </si>
  <si>
    <t>https://kf.kobotoolbox.org/api/v2/assets/a2jMyW8dsvtwpYHzQMRFCn/data/590619573/attachments/att6Dz8dpzPrVkEv3JSdoDbJ/</t>
  </si>
  <si>
    <t>0.8469124 34.7355485 1881.8 4.02</t>
  </si>
  <si>
    <t>Very Chepkurui</t>
  </si>
  <si>
    <t>Maize
Soya peas
Beans</t>
  </si>
  <si>
    <t xml:space="preserve">Millet
Groundnuts 
Greengrams </t>
  </si>
  <si>
    <t>45000</t>
  </si>
  <si>
    <t>85</t>
  </si>
  <si>
    <t>34000</t>
  </si>
  <si>
    <t>Establishment of zai pits and making of composit manure</t>
  </si>
  <si>
    <t xml:space="preserve">Establishing of kithen gardens and food forest </t>
  </si>
  <si>
    <t xml:space="preserve">The different varieties of crops is produced </t>
  </si>
  <si>
    <t xml:space="preserve">The materials and inputs should be delivered on time for good results and production </t>
  </si>
  <si>
    <t xml:space="preserve">Apart from trainings, he needs wheelbarrow,rake, more tanks to do more irrigation </t>
  </si>
  <si>
    <t>https://kf.kobotoolbox.org/api/v2/assets/a2jMyW8dsvtwpYHzQMRFCn/data/590621347/attachments/att5A7HejWosrsHKwFYMDCDB/</t>
  </si>
  <si>
    <t>0.8469498 34.7355718 1901.6 4.798</t>
  </si>
  <si>
    <t>Adrian Simiyu</t>
  </si>
  <si>
    <t>Chemuses</t>
  </si>
  <si>
    <t>Destine Juma</t>
  </si>
  <si>
    <t>Beans and beans</t>
  </si>
  <si>
    <t>1600</t>
  </si>
  <si>
    <t>Beans and maize</t>
  </si>
  <si>
    <t>160</t>
  </si>
  <si>
    <t>Sold more of the same crops (higher yield) Sold crops for a better price</t>
  </si>
  <si>
    <t>Knowing how to harvest and store rainwater Knowing which drought-tolerant or early-maturing crops to plant Knowledge of agroecological methods (e.g., intercropping) Skills in planning for climate risks</t>
  </si>
  <si>
    <t>Kitchen garden and crop rotation</t>
  </si>
  <si>
    <t>My currently has a good kitchen garden and composite manure</t>
  </si>
  <si>
    <t>Improved yield of crops and farming more seasons</t>
  </si>
  <si>
    <t>We understood different farming methods</t>
  </si>
  <si>
    <t>Leadership training</t>
  </si>
  <si>
    <t>Hold meetings at more convenient times Ensure materials are affordable for the poorest Have separate sessions for youth</t>
  </si>
  <si>
    <t>Advanced business training Training on leadership and governance Stronger links to buyers/markets</t>
  </si>
  <si>
    <t>Integration of poultry farming to add more income to households</t>
  </si>
  <si>
    <t>https://kf.kobotoolbox.org/api/v2/assets/a2jMyW8dsvtwpYHzQMRFCn/data/590625779/attachments/attqLrDGqfeyGp4QPGmBf76A/</t>
  </si>
  <si>
    <t>0.8470421 34.7355514 1883.50732421875 4.502</t>
  </si>
  <si>
    <t>EMILLY NANJALA</t>
  </si>
  <si>
    <t>Maize
Bananas
Beans</t>
  </si>
  <si>
    <t>35000</t>
  </si>
  <si>
    <t>Bananas
Maize
Beans</t>
  </si>
  <si>
    <t>Water pumping machine and pipes.</t>
  </si>
  <si>
    <t>Aided in training farmers and water tank support.</t>
  </si>
  <si>
    <t>Methods of farming and how to manage kitchen garden.</t>
  </si>
  <si>
    <t>Higher farm products.</t>
  </si>
  <si>
    <t>Better market access More support for irrigation Access to loans/credit Advanced business training Youth-specific programs</t>
  </si>
  <si>
    <t>Improved soil fertility</t>
  </si>
  <si>
    <t>Increase follow ups after training.</t>
  </si>
  <si>
    <t>Hold meetings at more convenient times Provide childcare during activities Ensure materials are affordable for the poorest</t>
  </si>
  <si>
    <t>To base on farm inputs like wheelbarrows and Jembe</t>
  </si>
  <si>
    <t>https://kf.kobotoolbox.org/api/v2/assets/a2jMyW8dsvtwpYHzQMRFCn/data/590628157/attachments/attNUYgrXfLt3cH4GQgxbXUW/</t>
  </si>
  <si>
    <t>0.8471112 34.7357094 1833.501 1.548</t>
  </si>
  <si>
    <t>Edisia adebe</t>
  </si>
  <si>
    <t xml:space="preserve">Maize
Beans
Vegetables </t>
  </si>
  <si>
    <t>22000</t>
  </si>
  <si>
    <t>Knowing how to harvest and store rainwater Knowing which drought-tolerant or early-maturing crops to plant Knowledge of agroecological methods (e.g., intercropping) Skills in soil conservation (e.g., composting, mulching)</t>
  </si>
  <si>
    <t>High cost of inputs/materials Lack of knowledge/confidence to do it alone Climate conditions were too harsh (drought/floods) Pests/diseases affected new crops</t>
  </si>
  <si>
    <t xml:space="preserve">On how make food forest and compost </t>
  </si>
  <si>
    <t>Their's increase  in yields</t>
  </si>
  <si>
    <t xml:space="preserve">Their's increase  in yields </t>
  </si>
  <si>
    <t>Lack of money for inputs Nothing will stop me Equipment breaks, no way to repair</t>
  </si>
  <si>
    <t xml:space="preserve">Advanced  training and monitoring </t>
  </si>
  <si>
    <t xml:space="preserve">Advanced bussiness  training </t>
  </si>
  <si>
    <t>https://kf.kobotoolbox.org/api/v2/assets/a2jMyW8dsvtwpYHzQMRFCn/data/590628703/attachments/attzchrqjc6pTeuKHd5Muw2y/</t>
  </si>
  <si>
    <t>0.8345389 34.7482685 1714.0 5.0</t>
  </si>
  <si>
    <t>CHEMOGE</t>
  </si>
  <si>
    <t>DAVID MATIRA</t>
  </si>
  <si>
    <t>Maize
Irish potatoes
Beans</t>
  </si>
  <si>
    <t>80000</t>
  </si>
  <si>
    <t>Maize
Beans
Irish potatoes</t>
  </si>
  <si>
    <t>Sold more of the same crops (higher yield) Sold new/different types of crops Sold processed products (e.g., flour, jam) Sold crops for a better price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</si>
  <si>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</si>
  <si>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Tree seedlings</t>
  </si>
  <si>
    <t>My knowledge has increased</t>
  </si>
  <si>
    <t>Farming techniques</t>
  </si>
  <si>
    <t>High produce</t>
  </si>
  <si>
    <t>Best to learn</t>
  </si>
  <si>
    <t>Visit regularly</t>
  </si>
  <si>
    <t>To provide storage trainings</t>
  </si>
  <si>
    <t xml:space="preserve">Other (specify): </t>
  </si>
  <si>
    <t>I was sick</t>
  </si>
  <si>
    <t>https://kf.kobotoolbox.org/api/v2/assets/a2jMyW8dsvtwpYHzQMRFCn/data/590629233/attachments/attvnk6B9k5onSn9dnDA5RUd/</t>
  </si>
  <si>
    <t>0.8471877 34.735775 1920.327 1.828</t>
  </si>
  <si>
    <t>LINUS SMOTWO</t>
  </si>
  <si>
    <t>30</t>
  </si>
  <si>
    <t>Maize
Cassava Beans</t>
  </si>
  <si>
    <t>Beans
Maize
Cassava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</si>
  <si>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</si>
  <si>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More training on loan</t>
  </si>
  <si>
    <t>Assisted in knowledge delivery</t>
  </si>
  <si>
    <t>Methods of farming and mulching</t>
  </si>
  <si>
    <t>Higher yield</t>
  </si>
  <si>
    <t>To new seedlings of trees</t>
  </si>
  <si>
    <t>https://kf.kobotoolbox.org/api/v2/assets/a2jMyW8dsvtwpYHzQMRFCn/data/590629398/attachments/attZcwBMiiCpBGW2FPN4Mzwp/</t>
  </si>
  <si>
    <t>0.8473498 34.7356606 1879.764 2.41</t>
  </si>
  <si>
    <t>Kelvin Maniga</t>
  </si>
  <si>
    <t xml:space="preserve">Arrowroots, Irish potatos, bananas </t>
  </si>
  <si>
    <t>2500</t>
  </si>
  <si>
    <t xml:space="preserve">Sweet potatoes, beans, cassava </t>
  </si>
  <si>
    <t>Implemented a water harvesting system (e.g., water pan, tank) Started a kitchen garden for household food Adopted a new farming practice (e.g., zai pits, contour farming)</t>
  </si>
  <si>
    <t xml:space="preserve">How to practice farming with little cash </t>
  </si>
  <si>
    <t xml:space="preserve">Composting </t>
  </si>
  <si>
    <t xml:space="preserve">Increased crop production </t>
  </si>
  <si>
    <t xml:space="preserve">We were able to help each other learn new skills </t>
  </si>
  <si>
    <t xml:space="preserve">They should seek advice from decese </t>
  </si>
  <si>
    <t xml:space="preserve">Trained </t>
  </si>
  <si>
    <t>https://kf.kobotoolbox.org/api/v2/assets/a2jMyW8dsvtwpYHzQMRFCn/data/590630498/attachments/attGTSegfFKecqZKZSHY9neq/</t>
  </si>
  <si>
    <t>0.8775533 34.7884717 7786.858 3.732</t>
  </si>
  <si>
    <t>Shim Ngoria</t>
  </si>
  <si>
    <t>360</t>
  </si>
  <si>
    <t>28800</t>
  </si>
  <si>
    <t>Maize and beans</t>
  </si>
  <si>
    <t>900</t>
  </si>
  <si>
    <t>144000</t>
  </si>
  <si>
    <t>Implemented a water harvesting system (e.g., water pan, tank) Started a kitchen garden for household food Improved my soil (with compost, cover crops)</t>
  </si>
  <si>
    <t>Pests/diseases affected new crops Lack of access to water High cost of inputs/materials</t>
  </si>
  <si>
    <t>Composite manure and crop rotation</t>
  </si>
  <si>
    <t>Use of zai pits and use of composite manure has increased</t>
  </si>
  <si>
    <t>My farm produce has currently increased</t>
  </si>
  <si>
    <t>Other successful farmers My farmer group Government extension officer</t>
  </si>
  <si>
    <t>Advanced business training Better market access More support for irrigation Youth-specific programs</t>
  </si>
  <si>
    <t>Learnt how to come up with Zai pits and plant crops .</t>
  </si>
  <si>
    <t>Farmers in the group were not cooperative</t>
  </si>
  <si>
    <t>Advanced business training Training on leadership and governance</t>
  </si>
  <si>
    <t>Introduce training on cooperatives</t>
  </si>
  <si>
    <t>ECCRAS project activities Other NGO project activities Government officer/health worker</t>
  </si>
  <si>
    <t>https://kf.kobotoolbox.org/api/v2/assets/a2jMyW8dsvtwpYHzQMRFCn/data/590631272/attachments/attK6ZVwuEVRfiPC9Keb6fUd/</t>
  </si>
  <si>
    <t>0.8470987 34.7354805 1879.78369140625 4.073</t>
  </si>
  <si>
    <t>Jackline Chepkorum</t>
  </si>
  <si>
    <t>Banana, cassava, sweet potatoes</t>
  </si>
  <si>
    <t>Beans ,maize , soyabeans</t>
  </si>
  <si>
    <t>Learning from demonstration farms Support from project staff</t>
  </si>
  <si>
    <t>Knowledge on kitchen garden</t>
  </si>
  <si>
    <t xml:space="preserve">Learned new skills </t>
  </si>
  <si>
    <t>Better market access Advanced business training Access to loans/credit</t>
  </si>
  <si>
    <t xml:space="preserve">We were taught New skills </t>
  </si>
  <si>
    <t xml:space="preserve">No challenge </t>
  </si>
  <si>
    <t xml:space="preserve">Provision of wires for fencing
Seeds for farming </t>
  </si>
  <si>
    <t xml:space="preserve">Start preparing their own homes before relaying on their groups </t>
  </si>
  <si>
    <t xml:space="preserve">I was trained </t>
  </si>
  <si>
    <t>https://kf.kobotoolbox.org/api/v2/assets/a2jMyW8dsvtwpYHzQMRFCn/data/590635705/attachments/attdtkTFse7kuoyhordkFnHt/</t>
  </si>
  <si>
    <t>0.8467458 34.7357697 1901.981 3.049</t>
  </si>
  <si>
    <t>Mildred Khakasa</t>
  </si>
  <si>
    <t>Beans,maize, banana,</t>
  </si>
  <si>
    <t>120</t>
  </si>
  <si>
    <t xml:space="preserve">Banana, sweet potatoes , onions </t>
  </si>
  <si>
    <t>23000</t>
  </si>
  <si>
    <t>Support and sharing within my farmer group High-quality, practical training Learning from demonstration farms</t>
  </si>
  <si>
    <t>Knowledge on kitchen garden i</t>
  </si>
  <si>
    <t xml:space="preserve">Better harvesting of water </t>
  </si>
  <si>
    <t xml:space="preserve">The education was helpful </t>
  </si>
  <si>
    <t xml:space="preserve">Start small scale farming </t>
  </si>
  <si>
    <t>https://kf.kobotoolbox.org/api/v2/assets/a2jMyW8dsvtwpYHzQMRFCn/data/590635737/attachments/attQHfA4ERx75ww4uT3vBBhT/</t>
  </si>
  <si>
    <t>0.8470149 34.7354832 1852.184 4.249</t>
  </si>
  <si>
    <t>Dona Temko</t>
  </si>
  <si>
    <t>beans,maize</t>
  </si>
  <si>
    <t>maize beans</t>
  </si>
  <si>
    <t>Nothing to worry</t>
  </si>
  <si>
    <t>how to prepare and use compost pit</t>
  </si>
  <si>
    <t>zai pits</t>
  </si>
  <si>
    <t>can do farming alone</t>
  </si>
  <si>
    <t>add staff</t>
  </si>
  <si>
    <t>provide market</t>
  </si>
  <si>
    <t>participated</t>
  </si>
  <si>
    <t>https://kf.kobotoolbox.org/api/v2/assets/a2jMyW8dsvtwpYHzQMRFCn/data/590636650/attachments/attcKG4iX3eKQQAZQ8r2NByT/</t>
  </si>
  <si>
    <t>0.8472117 34.73573 1933.3 4.68</t>
  </si>
  <si>
    <t>Simon sikiryo</t>
  </si>
  <si>
    <t>12</t>
  </si>
  <si>
    <t xml:space="preserve">Beans 
Maize
Bananas </t>
  </si>
  <si>
    <t>460</t>
  </si>
  <si>
    <t>46.9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</si>
  <si>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</si>
  <si>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Support and sharing within my farmer group</t>
  </si>
  <si>
    <t xml:space="preserve">Add more time for training </t>
  </si>
  <si>
    <t xml:space="preserve">I call them to join our group </t>
  </si>
  <si>
    <t xml:space="preserve">Making kitchen garden and compost </t>
  </si>
  <si>
    <t>Access to loans/credit More support for irrigation</t>
  </si>
  <si>
    <t xml:space="preserve">I can plant in Dry season </t>
  </si>
  <si>
    <t xml:space="preserve">Add more days for meeting </t>
  </si>
  <si>
    <t>Ensure materials are affordable for the poorest Hold meetings at more convenient times</t>
  </si>
  <si>
    <t xml:space="preserve">Link us with buyers </t>
  </si>
  <si>
    <t>I was present</t>
  </si>
  <si>
    <t>https://kf.kobotoolbox.org/api/v2/assets/a2jMyW8dsvtwpYHzQMRFCn/data/590645647/attachments/atteaT5wcD8VPNVBjWECPAER/</t>
  </si>
  <si>
    <t>0.8346231 34.7482869 1717.238 2.032</t>
  </si>
  <si>
    <t>MILKA NASIMIYU MWONI</t>
  </si>
  <si>
    <t>Maize
Fruits
Beans</t>
  </si>
  <si>
    <t>Beans
Maize
Fruits</t>
  </si>
  <si>
    <t>High cost of inputs/materials Requires more labour/time Pests/diseases affected new crops Lack of knowledge/confidence to do it alone</t>
  </si>
  <si>
    <t>Specific medicines / training that controls pests and anti hills</t>
  </si>
  <si>
    <t>Benefited from it alot/ knowledge and skills</t>
  </si>
  <si>
    <t>Higher skills</t>
  </si>
  <si>
    <t>Lack of money for inputs Equipment breaks, no way to repair No one to ask for advice No market for the produce</t>
  </si>
  <si>
    <t>Available as its practical</t>
  </si>
  <si>
    <t>More practical training especially traditional pest management</t>
  </si>
  <si>
    <t>https://kf.kobotoolbox.org/api/v2/assets/a2jMyW8dsvtwpYHzQMRFCn/data/590647390/attachments/attu2NuDTjbuEQRWbcgTREuc/</t>
  </si>
  <si>
    <t>0.8473179 34.7354292 2045.461 3.927</t>
  </si>
  <si>
    <t>Esther Ndiwa</t>
  </si>
  <si>
    <t xml:space="preserve">Beans, maize,Irish potatoes </t>
  </si>
  <si>
    <t>290</t>
  </si>
  <si>
    <t>104,500</t>
  </si>
  <si>
    <t>Kept waiting for a better market</t>
  </si>
  <si>
    <t>High-quality, practical training Support from project staff Support and sharing within my farmer group Seeing good results quickly</t>
  </si>
  <si>
    <t>High cost of inputs/materials Lack of access to water Requires more labour/time</t>
  </si>
  <si>
    <t xml:space="preserve">Kitchen gardening, making  compost manure </t>
  </si>
  <si>
    <t xml:space="preserve">Drip irrigation, mulching </t>
  </si>
  <si>
    <t xml:space="preserve">They are much more affordable </t>
  </si>
  <si>
    <t xml:space="preserve">From the trainings have learned more and practiced on my farm </t>
  </si>
  <si>
    <t xml:space="preserve">To my perception I think everything is going well </t>
  </si>
  <si>
    <t>Advanced business training Stronger links to buyers/markets</t>
  </si>
  <si>
    <t xml:space="preserve">Keep on going ,and maintain the same spirit </t>
  </si>
  <si>
    <t>https://kf.kobotoolbox.org/api/v2/assets/a2jMyW8dsvtwpYHzQMRFCn/data/590649809/attachments/attN96eicdDbxbouXxowT33V/</t>
  </si>
  <si>
    <t>0.8469218 34.7355451 1882.3 4.533</t>
  </si>
  <si>
    <t>Jesinta Anagei</t>
  </si>
  <si>
    <t>High cost of inputs/materials Lack of knowledge/confidence to do it alone Climate conditions were too harsh (drought/floods)</t>
  </si>
  <si>
    <t>On how to make compost  manure</t>
  </si>
  <si>
    <t>Their's  increase in yields</t>
  </si>
  <si>
    <t>Gained more skills</t>
  </si>
  <si>
    <t>Field officer</t>
  </si>
  <si>
    <t>The farmer gained  more skills</t>
  </si>
  <si>
    <t>Advanced and enough  follow up</t>
  </si>
  <si>
    <t>Continue  supporting  farmers through  giving  skills and advanced  training  and loans</t>
  </si>
  <si>
    <t>https://kf.kobotoolbox.org/api/v2/assets/a2jMyW8dsvtwpYHzQMRFCn/data/590651203/attachments/attgStr6SfPjYnDfX9MVSaWj/</t>
  </si>
  <si>
    <t>0.8389085 34.7524949 1698.0 4.2</t>
  </si>
  <si>
    <t>Eunice Naibei</t>
  </si>
  <si>
    <t>vegetables,beans</t>
  </si>
  <si>
    <t>beans, vegetables</t>
  </si>
  <si>
    <t>had no knowledge</t>
  </si>
  <si>
    <t>Others want to join</t>
  </si>
  <si>
    <t>making compost</t>
  </si>
  <si>
    <t>can do practices alone</t>
  </si>
  <si>
    <t>Satisfied</t>
  </si>
  <si>
    <t>access to better market</t>
  </si>
  <si>
    <t>https://kf.kobotoolbox.org/api/v2/assets/a2jMyW8dsvtwpYHzQMRFCn/data/590652751/attachments/attYo2Dd7QTdvzmAcbPbAxFy/</t>
  </si>
  <si>
    <t>0.8470367 34.73569 1899.7 4.766</t>
  </si>
  <si>
    <t>Phyllis chepkwemoi</t>
  </si>
  <si>
    <t>180</t>
  </si>
  <si>
    <t>14400</t>
  </si>
  <si>
    <t>21600</t>
  </si>
  <si>
    <t>Knowing how to harvest and store rainwater Knowing which drought-tolerant or early-maturing crops to plant Knowledge of agroecological methods (e.g., intercropping)</t>
  </si>
  <si>
    <t>Implemented a water harvesting system (e.g., water pan, tank) Diversified the crops I grow Started a kitchen garden for household food</t>
  </si>
  <si>
    <t>Learning from demonstration farms Support from project staff Support and sharing within my farmer group Seeing good results quickly</t>
  </si>
  <si>
    <t>Inadequate farm to diversify farming</t>
  </si>
  <si>
    <t>Farm equipment like wheelbarrow was essential to transport manure</t>
  </si>
  <si>
    <t>Making Zai pits and kitchen garden</t>
  </si>
  <si>
    <t>Few have started embracing agroecology</t>
  </si>
  <si>
    <t>Save income since 8 doesn't buy fertiliser</t>
  </si>
  <si>
    <t>My farmer group Other successful farmers Local agro-dealer</t>
  </si>
  <si>
    <t>We practised what we learnt and started farming using the skills learnt</t>
  </si>
  <si>
    <t>Some farmers were cooperative to attend meetings</t>
  </si>
  <si>
    <t xml:space="preserve">Start livestock training and equipping farmers with wheelbarrow </t>
  </si>
  <si>
    <t>https://kf.kobotoolbox.org/api/v2/assets/a2jMyW8dsvtwpYHzQMRFCn/data/590656959/attachments/attd4Ve878XBjvc5BktpteHK/</t>
  </si>
  <si>
    <t>0.8471479 34.7357118 1886.4853515625 4.556</t>
  </si>
  <si>
    <t>Monica isanyu</t>
  </si>
  <si>
    <t>Vegetables 
Banana 
Maize</t>
  </si>
  <si>
    <t>Maize 
Vegetables 
Banana</t>
  </si>
  <si>
    <t>450</t>
  </si>
  <si>
    <t xml:space="preserve">Their's  increase  in productivity </t>
  </si>
  <si>
    <t>Lack of money for inputs Nothing will stop me It takes too much labour/time No market for the produce Equipment breaks, no way to repair</t>
  </si>
  <si>
    <t xml:space="preserve">The farmer  gained  more skills on demonstration </t>
  </si>
  <si>
    <t xml:space="preserve">Effective  follow  up  and early delivery  of materials </t>
  </si>
  <si>
    <t xml:space="preserve">Give loans to farmers   and advanced training </t>
  </si>
  <si>
    <t>https://kf.kobotoolbox.org/api/v2/assets/a2jMyW8dsvtwpYHzQMRFCn/data/590662994/attachments/attrMVzVGh78SNjTASzi87WF/</t>
  </si>
  <si>
    <t>0.8405938 34.7533662 1699.0 4.7</t>
  </si>
  <si>
    <t>Selah Tamnai</t>
  </si>
  <si>
    <t>Family member Project training – DESECE</t>
  </si>
  <si>
    <t xml:space="preserve">Maize
Beans
Avocado </t>
  </si>
  <si>
    <t>920</t>
  </si>
  <si>
    <t>14.9</t>
  </si>
  <si>
    <t>14000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</si>
  <si>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</si>
  <si>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 xml:space="preserve">Knowledge on how to make terraces </t>
  </si>
  <si>
    <t xml:space="preserve">Making manure </t>
  </si>
  <si>
    <t>Now I have enough produce</t>
  </si>
  <si>
    <t xml:space="preserve">The teachers were friendly </t>
  </si>
  <si>
    <t xml:space="preserve">I don't know </t>
  </si>
  <si>
    <t>Provide us with more equipments</t>
  </si>
  <si>
    <t>https://kf.kobotoolbox.org/api/v2/assets/a2jMyW8dsvtwpYHzQMRFCn/data/590680538/attachments/attNsNCH58YwyvsN7o38CZjt/</t>
  </si>
  <si>
    <t>0.8360744 34.7707993 0.0 1799.999</t>
  </si>
  <si>
    <t>Eunice Amoit</t>
  </si>
  <si>
    <t xml:space="preserve">Maize
Beans 
Cassava </t>
  </si>
  <si>
    <t>440</t>
  </si>
  <si>
    <t>29.1</t>
  </si>
  <si>
    <t>12800</t>
  </si>
  <si>
    <t>5000-8000</t>
  </si>
  <si>
    <t>200-250</t>
  </si>
  <si>
    <t>20-25</t>
  </si>
  <si>
    <t>4000-6000</t>
  </si>
  <si>
    <t>Seeing good results quickly Support and sharing within my farmer group Learning from demonstration farms</t>
  </si>
  <si>
    <t>I have not encountered any challenge so far</t>
  </si>
  <si>
    <t xml:space="preserve">About the importance of using natural factors </t>
  </si>
  <si>
    <t xml:space="preserve">Corn garden </t>
  </si>
  <si>
    <t xml:space="preserve">It's simple and cheap </t>
  </si>
  <si>
    <t xml:space="preserve">Piece amongst the group members </t>
  </si>
  <si>
    <t xml:space="preserve">More support on farm inputs and increase follow up </t>
  </si>
  <si>
    <t>Radio/TV/social media ECCRAS project activities</t>
  </si>
  <si>
    <t>https://kf.kobotoolbox.org/api/v2/assets/a2jMyW8dsvtwpYHzQMRFCn/data/590680578/attachments/atthWGygvvevpXLDGBkd7Lgb/</t>
  </si>
  <si>
    <t>0.8362537 34.751189 1719.04 1.78</t>
  </si>
  <si>
    <t>JAMES MURAMBI</t>
  </si>
  <si>
    <t>Maize
Beans
Viazi</t>
  </si>
  <si>
    <t>100000</t>
  </si>
  <si>
    <t>Financial support on project</t>
  </si>
  <si>
    <t>I have benefited alot</t>
  </si>
  <si>
    <t>Methods of planting</t>
  </si>
  <si>
    <t>Easy to learn and implement</t>
  </si>
  <si>
    <t>More awareness</t>
  </si>
  <si>
    <t>To prived farm equipment</t>
  </si>
  <si>
    <t>https://kf.kobotoolbox.org/api/v2/assets/a2jMyW8dsvtwpYHzQMRFCn/data/590734254/attachments/attAsDwFC4XUFUTpw4reg5X4/</t>
  </si>
  <si>
    <t>0.8472098 34.7356565 1885.201 3.907</t>
  </si>
  <si>
    <t>Lucy C Cheprot</t>
  </si>
  <si>
    <t>Demonstration farm or field day – DESECE From a demonstration farm or field day – Other NGO</t>
  </si>
  <si>
    <t>Demonstration farm at Desece</t>
  </si>
  <si>
    <t>Vegetables,cassava and beans</t>
  </si>
  <si>
    <t>Beans and vegetables</t>
  </si>
  <si>
    <t>Herbal tree should be introduced and pawpaw seeds if available</t>
  </si>
  <si>
    <t>Agroforestry and pest management and cheap farm inputs</t>
  </si>
  <si>
    <t>Neighbors have trees in their farms and kitchen garden</t>
  </si>
  <si>
    <t>Easy to manage and cheaper no need to buy fertilizer and pests</t>
  </si>
  <si>
    <t>Practised in the farm and they were able to replicate the methodology.Follow ups from the organization reinforced the methodology</t>
  </si>
  <si>
    <t>Train groups on leadership skills</t>
  </si>
  <si>
    <t>Advanced business training A grant or loan to start a group enterprise Training on leadership and governance</t>
  </si>
  <si>
    <t>Business development training and loans</t>
  </si>
  <si>
    <t>ECCRAS project activities Government officer/health worker Radio/TV/social media</t>
  </si>
  <si>
    <t>https://kf.kobotoolbox.org/api/v2/assets/a2jMyW8dsvtwpYHzQMRFCn/data/588413979/attachments/attPqBuiipf46Q2srUQyRadm/</t>
  </si>
  <si>
    <t>0.8535858 34.7429298 1917.6 3.95</t>
  </si>
  <si>
    <t>Esther Kotet</t>
  </si>
  <si>
    <t>Bumula</t>
  </si>
  <si>
    <t>Lwanja</t>
  </si>
  <si>
    <t>PATRICK M WANYAMA</t>
  </si>
  <si>
    <t>DESECE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</si>
  <si>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</si>
  <si>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Making of composit organic manure and tell them to join the group so that they can gain more</t>
  </si>
  <si>
    <t>Establishing kitchen garden</t>
  </si>
  <si>
    <t>Varieties of crops were produced at a small piece of land</t>
  </si>
  <si>
    <t xml:space="preserve">The materials and inputs should be delivered on time for good results </t>
  </si>
  <si>
    <t xml:space="preserve">Open links and good market for the small farmers to sell their products </t>
  </si>
  <si>
    <t>https://kf.kobotoolbox.org/api/v2/assets/a2jMyW8dsvtwpYHzQMRFCn/data/588901138/attachments/attLd8oGcrTPfZxrsubJQQfh/</t>
  </si>
  <si>
    <t>0.5870907 34.4568252 1325.0 4.8</t>
  </si>
  <si>
    <t>Kibuke</t>
  </si>
  <si>
    <t>Jenifer Wabwoba</t>
  </si>
  <si>
    <t>Project training – DESECE Government agricultural officer Radio/TV Neighbour or friend Family member</t>
  </si>
  <si>
    <t>Beans,maize,kales ,managu</t>
  </si>
  <si>
    <t>54,500</t>
  </si>
  <si>
    <t>Beans,maize,veges</t>
  </si>
  <si>
    <t>60,000</t>
  </si>
  <si>
    <t>600,000</t>
  </si>
  <si>
    <t>Sold more of the same crops (higher yield) Sold new/different types of crops Sold crops for a better price Sold seedlings or other farming inputs</t>
  </si>
  <si>
    <t>Somewhat equally, but men participated more</t>
  </si>
  <si>
    <t>Kitchen gardening,compositing</t>
  </si>
  <si>
    <t xml:space="preserve">Atleast gained more knowledge from the trainings </t>
  </si>
  <si>
    <t xml:space="preserve">From the trainings have learned more </t>
  </si>
  <si>
    <t xml:space="preserve">Put more efforts on leadership </t>
  </si>
  <si>
    <t>Advanced business training Stronger links to buyers/markets Training on leadership and governance Formal registration as a cooperative A grant or loan to start a group enterprise</t>
  </si>
  <si>
    <t>More traings</t>
  </si>
  <si>
    <t>https://kf.kobotoolbox.org/api/v2/assets/a2jMyW8dsvtwpYHzQMRFCn/data/588904300/attachments/attkebSmq4QN5tLqnv9ZHTiF/</t>
  </si>
  <si>
    <t>0.5868817 34.4564783 1249.4 2.95</t>
  </si>
  <si>
    <t>Joseph lunani</t>
  </si>
  <si>
    <t xml:space="preserve">Maize
Beans 
Vegetables </t>
  </si>
  <si>
    <t xml:space="preserve">Banana
Maize
Vegetables </t>
  </si>
  <si>
    <t>800</t>
  </si>
  <si>
    <t>68000</t>
  </si>
  <si>
    <t>Less input from women</t>
  </si>
  <si>
    <t>On how to grow crops using organic  manure</t>
  </si>
  <si>
    <t xml:space="preserve">The farmer reports that their is increased  yields from the neighbour after giving  information </t>
  </si>
  <si>
    <t>Their is increased productivity in the farm</t>
  </si>
  <si>
    <t xml:space="preserve"> Other</t>
  </si>
  <si>
    <t>More support for irrigation Advanced business training Access to loans/credit</t>
  </si>
  <si>
    <t>Farmers have gained  enough  skills</t>
  </si>
  <si>
    <t xml:space="preserve">Early  delivery  of materials </t>
  </si>
  <si>
    <t xml:space="preserve">Ensure advanced training   and delivery of materials to farmers </t>
  </si>
  <si>
    <t xml:space="preserve">His own experience </t>
  </si>
  <si>
    <t>https://kf.kobotoolbox.org/api/v2/assets/a2jMyW8dsvtwpYHzQMRFCn/data/588905381/attachments/attV7gcnTJHKAhjRa3dkfNAe/</t>
  </si>
  <si>
    <t>0.5870131 34.4565693 1293.0 5.0</t>
  </si>
  <si>
    <t>Nang'eni</t>
  </si>
  <si>
    <t>Judith Wekesa</t>
  </si>
  <si>
    <t xml:space="preserve">VI NGO </t>
  </si>
  <si>
    <t>Vegetables 
Avocado
Mangoes</t>
  </si>
  <si>
    <t xml:space="preserve"> 100</t>
  </si>
  <si>
    <t>Implemented a water harvesting system (e.g., water pan, tank) Diversified the crops I grow</t>
  </si>
  <si>
    <t>Support from project staff High-quality, practical training The inputs provided were affordable/useful Seeing good results quickly</t>
  </si>
  <si>
    <t>High cost of inputs/materials Requires more labour/time Pests/diseases affected new crops</t>
  </si>
  <si>
    <t xml:space="preserve">Making beds for vegetables </t>
  </si>
  <si>
    <t>Around ten neighbours copied her</t>
  </si>
  <si>
    <t xml:space="preserve">Now we don't waste seeds because now we plant uniformly </t>
  </si>
  <si>
    <t>Better market access Access to loans/credit Youth-specific programs</t>
  </si>
  <si>
    <t xml:space="preserve">Read the skills and understood. </t>
  </si>
  <si>
    <t>Training was too theoretical</t>
  </si>
  <si>
    <t xml:space="preserve">More practical </t>
  </si>
  <si>
    <t>Advanced business training Stronger links to buyers/markets Formal registration as a cooperative A grant or loan to start a group enterprise</t>
  </si>
  <si>
    <t xml:space="preserve">Chicken farming </t>
  </si>
  <si>
    <t>https://kf.kobotoolbox.org/api/v2/assets/a2jMyW8dsvtwpYHzQMRFCn/data/588924429/attachments/attapRdWsgC7Y6KdwgpBa4SF/</t>
  </si>
  <si>
    <t>0.5826539 34.4694182 1298.1297607421875 4.8</t>
  </si>
  <si>
    <t>SOSPETER WEKESA</t>
  </si>
  <si>
    <t>Sukumawiki 
Sugarcane 
Maize</t>
  </si>
  <si>
    <t>40kgs</t>
  </si>
  <si>
    <t>Bananas
Sukumawiki 
Greengrams</t>
  </si>
  <si>
    <t>1000</t>
  </si>
  <si>
    <t>200000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</si>
  <si>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</si>
  <si>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To make composit manure and join the group to learn more</t>
  </si>
  <si>
    <t>Production of more varieties from a small piece of land</t>
  </si>
  <si>
    <t>New varieties of crops was produced on the farm</t>
  </si>
  <si>
    <t>The materials and trainings should be done and delivered on time</t>
  </si>
  <si>
    <t xml:space="preserve">To provide trainings on the small farmers and make follow ups on thier progress </t>
  </si>
  <si>
    <t>https://kf.kobotoolbox.org/api/v2/assets/a2jMyW8dsvtwpYHzQMRFCn/data/588927613/attachments/attbKjpjY6bH7fheRLSrkstz/</t>
  </si>
  <si>
    <t>0.5869767 34.45659 1323.6 5.0</t>
  </si>
  <si>
    <t>Christine Ngoya</t>
  </si>
  <si>
    <t>Establishing a food forest (multi-layered garden)</t>
  </si>
  <si>
    <t>cassava,bananas,beans</t>
  </si>
  <si>
    <t>31500</t>
  </si>
  <si>
    <t>Improved my soil (with compost, cover crops)</t>
  </si>
  <si>
    <t>High cost of inputs/materials Conflicting advice from other sources</t>
  </si>
  <si>
    <t>had no knowledge on what to grow</t>
  </si>
  <si>
    <t>about crop farming</t>
  </si>
  <si>
    <t>many had tried kitchen garden</t>
  </si>
  <si>
    <t>because no drought</t>
  </si>
  <si>
    <t>have learned alot</t>
  </si>
  <si>
    <t>provide support fully</t>
  </si>
  <si>
    <t>https://kf.kobotoolbox.org/api/v2/assets/a2jMyW8dsvtwpYHzQMRFCn/data/588927902/attachments/atte8TkUfgPC93q3QnEcT5cY/</t>
  </si>
  <si>
    <t>0.5982188 34.4679097 1337.4 4.775</t>
  </si>
  <si>
    <t>Weyeta</t>
  </si>
  <si>
    <t>Tom Simiyu</t>
  </si>
  <si>
    <t>Saya
Pawpaw 
Kunde</t>
  </si>
  <si>
    <t>108</t>
  </si>
  <si>
    <t>58</t>
  </si>
  <si>
    <t>6300</t>
  </si>
  <si>
    <t>Seeing good results quickly Support from project staff Learning from demonstration farms</t>
  </si>
  <si>
    <t>A little more input from women</t>
  </si>
  <si>
    <t xml:space="preserve">How to make organic manure </t>
  </si>
  <si>
    <t xml:space="preserve">My neighbour copied me on how to maintain kitchen garden </t>
  </si>
  <si>
    <t>Now the yield is better than before.</t>
  </si>
  <si>
    <t xml:space="preserve">We learn from each other in a friendly manner </t>
  </si>
  <si>
    <t>Everything is okay with me</t>
  </si>
  <si>
    <t>Separate meetings from that of men and women because we are many</t>
  </si>
  <si>
    <t xml:space="preserve">There is a need for farming equipment </t>
  </si>
  <si>
    <t xml:space="preserve">I participated </t>
  </si>
  <si>
    <t>https://kf.kobotoolbox.org/api/v2/assets/a2jMyW8dsvtwpYHzQMRFCn/data/588932740/attachments/attZYN8rMhMTA73shU4tyBWQ/</t>
  </si>
  <si>
    <t>0.5981517 34.467866 1307.617 1.878</t>
  </si>
  <si>
    <t xml:space="preserve">Kibuke </t>
  </si>
  <si>
    <t>Paslicer Navangala</t>
  </si>
  <si>
    <t>Beans,Maize,Bananas</t>
  </si>
  <si>
    <t>Haven't sold yet .</t>
  </si>
  <si>
    <t>Kitchen gardening, food forest</t>
  </si>
  <si>
    <t xml:space="preserve">Gained more knowledge </t>
  </si>
  <si>
    <t xml:space="preserve">Was taught practically </t>
  </si>
  <si>
    <t xml:space="preserve">Work on leadership </t>
  </si>
  <si>
    <t>Advanced business training Training on leadership and governance Stronger links to buyers/markets A grant or loan to start a group enterprise</t>
  </si>
  <si>
    <t>Continue helping and give quality trainings</t>
  </si>
  <si>
    <t xml:space="preserve">I attended the trainings </t>
  </si>
  <si>
    <t>https://kf.kobotoolbox.org/api/v2/assets/a2jMyW8dsvtwpYHzQMRFCn/data/588933652/attachments/attZtyeAYQdPg8mbA4oyHGdd/</t>
  </si>
  <si>
    <t>0.5870567 34.4564183 1280.0 3.9</t>
  </si>
  <si>
    <t>Muomo</t>
  </si>
  <si>
    <t>Eunice mkamakwa</t>
  </si>
  <si>
    <t>Implemented a water harvesting system (e.g., water pan, tank) Diversified the crops I grow Developed a plan for what to do in case of drought/floods</t>
  </si>
  <si>
    <t>Learning from demonstration farms Seeing good results quickly</t>
  </si>
  <si>
    <t xml:space="preserve">Crop rotation </t>
  </si>
  <si>
    <t>The ones that copied don't have any regrets so far</t>
  </si>
  <si>
    <t>There are benefits now unlike before</t>
  </si>
  <si>
    <t>It was simple</t>
  </si>
  <si>
    <t xml:space="preserve">Train leaders </t>
  </si>
  <si>
    <t>A grant or loan to start a group enterprise Advanced business training Training on leadership and governance Formal registration as a cooperative</t>
  </si>
  <si>
    <t xml:space="preserve">Wheelbarrows 
Chicken farming </t>
  </si>
  <si>
    <t>https://kf.kobotoolbox.org/api/v2/assets/a2jMyW8dsvtwpYHzQMRFCn/data/588945815/attachments/attTuFJiGNPHrqVbR3nRoAx7/</t>
  </si>
  <si>
    <t>0.582651 34.4694225 1305.4051513671875 4.821</t>
  </si>
  <si>
    <t>Catherine namalwa</t>
  </si>
  <si>
    <t>Maize
Beans
Greengrams</t>
  </si>
  <si>
    <t>How to prepare compost manure</t>
  </si>
  <si>
    <t xml:space="preserve">Their have been increased  productivity </t>
  </si>
  <si>
    <t xml:space="preserve">Their have been an increase in vegetables  productivity  and irrigation  has helped  hence increased yields </t>
  </si>
  <si>
    <t>Youth-specific programs Advanced business training Access to loans/credit More support for irrigation</t>
  </si>
  <si>
    <t>The farmer has gained enough  skills</t>
  </si>
  <si>
    <t>Early delivery of materials  and support system to farmers</t>
  </si>
  <si>
    <t>Provide farmers with agricultural loans</t>
  </si>
  <si>
    <t>https://kf.kobotoolbox.org/api/v2/assets/a2jMyW8dsvtwpYHzQMRFCn/data/588946847/attachments/attniNPqWNrqtBFrTjYmMTaN/</t>
  </si>
  <si>
    <t>0.5870953 34.4565999 1270.0 5.0</t>
  </si>
  <si>
    <t>Roselyne Musungu</t>
  </si>
  <si>
    <t xml:space="preserve">Maize
Beans 
Groundnuts </t>
  </si>
  <si>
    <t>Maize 
Cassava 
Sweetpotatoes</t>
  </si>
  <si>
    <t>180000</t>
  </si>
  <si>
    <t>Establishing a kitchen garden</t>
  </si>
  <si>
    <t>Establishing of a kitchen garden</t>
  </si>
  <si>
    <t>Producing more produce at a small piece of land</t>
  </si>
  <si>
    <t xml:space="preserve">To make more follow ups and give trainings regularly </t>
  </si>
  <si>
    <t>https://kf.kobotoolbox.org/api/v2/assets/a2jMyW8dsvtwpYHzQMRFCn/data/588955134/attachments/attC5VsfC3YgQc33qSDZ9dZY/</t>
  </si>
  <si>
    <t>0.5869017 34.4564767 1274.9 4.96</t>
  </si>
  <si>
    <t>Maurice Wafula</t>
  </si>
  <si>
    <t>Project training – DESECE Neighbour or friend Radio/TV Government agricultural officer</t>
  </si>
  <si>
    <t>Maize,Beans, Ground nuts</t>
  </si>
  <si>
    <t>250,000</t>
  </si>
  <si>
    <t>Not yet sold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</si>
  <si>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</si>
  <si>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High-quality, practical training Learning from demonstration farms Support from project staff Seeing good results quickly Support and sharing within my farmer group The inputs provided were affordable/useful</t>
  </si>
  <si>
    <t>Requires more labour/time Lack of knowledge/confidence to do it alone Lack of access to water</t>
  </si>
  <si>
    <t>Mulching and compositing</t>
  </si>
  <si>
    <t xml:space="preserve">Kitchen gardening, compositing </t>
  </si>
  <si>
    <t xml:space="preserve">Taught practically what to go and implement </t>
  </si>
  <si>
    <t>We should focus on dairy farming and poultry also</t>
  </si>
  <si>
    <t>I attended the trainings,and have started implementing</t>
  </si>
  <si>
    <t>https://kf.kobotoolbox.org/api/v2/assets/a2jMyW8dsvtwpYHzQMRFCn/data/588959912/attachments/attKPomgm5hrSpqiNhgzhkqQ/</t>
  </si>
  <si>
    <t>0.5869817 34.4563217 1241.4 3.5</t>
  </si>
  <si>
    <t>Abraham Nyonesa Wafula</t>
  </si>
  <si>
    <t>18</t>
  </si>
  <si>
    <t>Banana
Swreet potartoes
Cassarva</t>
  </si>
  <si>
    <t>3200</t>
  </si>
  <si>
    <t>19200</t>
  </si>
  <si>
    <t>Banana
Cassava
Sweet potatoes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</si>
  <si>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</si>
  <si>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</si>
  <si>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Nurseries for tree seedlings</t>
  </si>
  <si>
    <t>Support from project staff Learning from demonstration farms Seeing good results quickly The inputs provided were affordable/useful High-quality, practical training</t>
  </si>
  <si>
    <t>High cost of inputs/materials Requires more labour/time Climate conditions were too harsh (drought/floods) Lack of access to water</t>
  </si>
  <si>
    <t>Wheelbarrow and spray pump</t>
  </si>
  <si>
    <t>Using my methods of farmining</t>
  </si>
  <si>
    <t>It was practical and easy to understand</t>
  </si>
  <si>
    <t>More training to be done</t>
  </si>
  <si>
    <t>A grant or loan to start a group enterprise Advanced business training Stronger links to buyers/markets Training on leadership and governance Formal registration as a cooperative</t>
  </si>
  <si>
    <t>To provide machines for cutting maize stralks for silage</t>
  </si>
  <si>
    <t>https://kf.kobotoolbox.org/api/v2/assets/a2jMyW8dsvtwpYHzQMRFCn/data/588964535/attachments/attTREcSzA3qQFKCKASmbRaY/</t>
  </si>
  <si>
    <t>0.5870774 34.4564349 1480.252 3.531</t>
  </si>
  <si>
    <t>Agnes Lunyalu</t>
  </si>
  <si>
    <t>Maize
Cassava
Sweet potatoes</t>
  </si>
  <si>
    <t>Cassava
Sweet potatoes
Maize</t>
  </si>
  <si>
    <t>Skills in soil conservation (e.g., composting, mulching)</t>
  </si>
  <si>
    <t>Security measures for products especially land tenure</t>
  </si>
  <si>
    <t>More skills provided</t>
  </si>
  <si>
    <t>Using my methods of farming</t>
  </si>
  <si>
    <t>Increased my products.</t>
  </si>
  <si>
    <t>Advanced business training Access to loans/credit More support for irrigation Better market access</t>
  </si>
  <si>
    <t>It was good</t>
  </si>
  <si>
    <t>Provide input materials</t>
  </si>
  <si>
    <t>Stronger links to buyers/markets A grant or loan to start a group enterprise Advanced business training Training on leadership and governance Formal registration as a cooperative</t>
  </si>
  <si>
    <t>More effort on ground</t>
  </si>
  <si>
    <t>Not interested in briquette making</t>
  </si>
  <si>
    <t>https://kf.kobotoolbox.org/api/v2/assets/a2jMyW8dsvtwpYHzQMRFCn/data/588964599/attachments/att6wKLXkJf7oSDPPJuTy2Ly/</t>
  </si>
  <si>
    <t>0.5869591 34.4563862 1480.252 3.071</t>
  </si>
  <si>
    <t>KIBUKE</t>
  </si>
  <si>
    <t>EMILLY WANYAMA</t>
  </si>
  <si>
    <t>Mulching (covering soil with straw/leaves)</t>
  </si>
  <si>
    <t>Vegetable
Beans
Maize</t>
  </si>
  <si>
    <t>7.5</t>
  </si>
  <si>
    <t>3800</t>
  </si>
  <si>
    <t>28500</t>
  </si>
  <si>
    <t>Maize
Vegetable
Beans</t>
  </si>
  <si>
    <t>19000</t>
  </si>
  <si>
    <t>Climate conditions were too harsh (drought/floods) Lack of knowledge/confidence to do it alone Requires more labour/time High cost of inputs/materials</t>
  </si>
  <si>
    <t>Machine for silage or grinding stalks</t>
  </si>
  <si>
    <t xml:space="preserve">Most best </t>
  </si>
  <si>
    <t>Increases products</t>
  </si>
  <si>
    <t>More techniques</t>
  </si>
  <si>
    <t>More trainings</t>
  </si>
  <si>
    <t>More empowerment</t>
  </si>
  <si>
    <t>https://kf.kobotoolbox.org/api/v2/assets/a2jMyW8dsvtwpYHzQMRFCn/data/588964645/attachments/attp9DJD98zudWeCXRdMjbtW/</t>
  </si>
  <si>
    <t>0.5868231 34.4564518 1480.252 1.872</t>
  </si>
  <si>
    <t xml:space="preserve">Nang'eni </t>
  </si>
  <si>
    <t>Isaac Wanyonyi</t>
  </si>
  <si>
    <t>Sold more of the same crops (higher yield) Sold seedlings or other farming inputs Sold crops for a better price Sold new/different types of crops</t>
  </si>
  <si>
    <t>High-quality, practical training Learning from demonstration farms Support from project staff The inputs provided were affordable/useful Seeing good results quickly Support and sharing within my farmer group</t>
  </si>
  <si>
    <t xml:space="preserve">Knowledge on how to farm </t>
  </si>
  <si>
    <t xml:space="preserve">Beds </t>
  </si>
  <si>
    <t xml:space="preserve">The people he trained are really doing very well. </t>
  </si>
  <si>
    <t xml:space="preserve">Knowledgable now </t>
  </si>
  <si>
    <t>My farmer group Other successful farmers Government extension officer Local agro-dealer</t>
  </si>
  <si>
    <t xml:space="preserve">They trained well. </t>
  </si>
  <si>
    <t xml:space="preserve">Should deliver early </t>
  </si>
  <si>
    <t>A grant or loan to start a group enterprise Training on leadership and governance Formal registration as a cooperative</t>
  </si>
  <si>
    <t xml:space="preserve">Chicken farming 
Loans with low interest </t>
  </si>
  <si>
    <t>Radio/TV/social media Friend/family/community member ECCRAS project activities</t>
  </si>
  <si>
    <t>https://kf.kobotoolbox.org/api/v2/assets/a2jMyW8dsvtwpYHzQMRFCn/data/588965697/attachments/attF2JriLJE3ErVJmfcjM5tc/</t>
  </si>
  <si>
    <t>0.582631 34.4694443 1304.4468994140625 4.656</t>
  </si>
  <si>
    <t>Linet mkenya</t>
  </si>
  <si>
    <t>Growing early-maturing crop varieties</t>
  </si>
  <si>
    <t>cassava,beans</t>
  </si>
  <si>
    <t>Soy beans</t>
  </si>
  <si>
    <t>about food,stove and tank</t>
  </si>
  <si>
    <t>when seeing changes,they also want</t>
  </si>
  <si>
    <t>because of higher yields</t>
  </si>
  <si>
    <t>through demonstrations,can do on my own</t>
  </si>
  <si>
    <t>mobilize groups early</t>
  </si>
  <si>
    <t>Provide childcare during activities Ensure materials are affordable for the poorest</t>
  </si>
  <si>
    <t>continue working like desece</t>
  </si>
  <si>
    <t>https://kf.kobotoolbox.org/api/v2/assets/a2jMyW8dsvtwpYHzQMRFCn/data/588965891/attachments/attRBQynbvQjsuBF6Ca4aRTM/</t>
  </si>
  <si>
    <t>0.598097 34.4679278 1357.0 4.84</t>
  </si>
  <si>
    <t>Florence Gavana</t>
  </si>
  <si>
    <t>Maize
Beans 
Banana</t>
  </si>
  <si>
    <t>9000</t>
  </si>
  <si>
    <t>Maize
Vegetables 
Beans</t>
  </si>
  <si>
    <t>Did not know how to make manure</t>
  </si>
  <si>
    <t>How make compost manure</t>
  </si>
  <si>
    <t xml:space="preserve">Higher outputs from neighbours </t>
  </si>
  <si>
    <t>Thier have been increased  productivity and profit s</t>
  </si>
  <si>
    <t xml:space="preserve">The farmer have gained enough  skills in farming </t>
  </si>
  <si>
    <t xml:space="preserve">Early delivery  of products </t>
  </si>
  <si>
    <t>Advanced  bussiness training  and give more cooking stoves</t>
  </si>
  <si>
    <t>https://kf.kobotoolbox.org/api/v2/assets/a2jMyW8dsvtwpYHzQMRFCn/data/588967171/attachments/attBYUkXCeEh3NPF7Nu3ELSs/</t>
  </si>
  <si>
    <t>0.5870572 34.4565857 1299.0 4.9</t>
  </si>
  <si>
    <t>Nangeni</t>
  </si>
  <si>
    <t>Paulina kiboi</t>
  </si>
  <si>
    <t>Maize
Avocado 
Bananas</t>
  </si>
  <si>
    <t>Knowing how to harvest and store rainwater Skills in soil conservation (e.g., composting, mulching) Knowing which drought-tolerant or early-maturing crops to plant Skills in planning for climate risks</t>
  </si>
  <si>
    <t>Seeing good results quickly Support from project staff Support and sharing within my farmer group High-quality, practical training</t>
  </si>
  <si>
    <t xml:space="preserve">They are coping on how to make a kitchen garden </t>
  </si>
  <si>
    <t>Low imputs</t>
  </si>
  <si>
    <t>I understand more practical than theory</t>
  </si>
  <si>
    <t xml:space="preserve">Add more teachers to help group discussion </t>
  </si>
  <si>
    <t>Formal registration as a cooperative A grant or loan to start a group enterprise Advanced business training</t>
  </si>
  <si>
    <t xml:space="preserve">I need farming tools and equipment like wheelbarrow </t>
  </si>
  <si>
    <t>I was in the training</t>
  </si>
  <si>
    <t>https://kf.kobotoolbox.org/api/v2/assets/a2jMyW8dsvtwpYHzQMRFCn/data/588969720/attachments/attMhYeNwiUANKy9uNVzEMPT/</t>
  </si>
  <si>
    <t>0.5981469 34.4679284 1389.208 1.366</t>
  </si>
  <si>
    <t>Imelda Muchanga</t>
  </si>
  <si>
    <t>Diversified the crops I grow Improved my soil (with compost, cover crops) Joined a group that provides support/shared resources</t>
  </si>
  <si>
    <t xml:space="preserve">The tank has helped a lot, it saves water and you can plant severally </t>
  </si>
  <si>
    <t>Now we use manure the land is becoming fertile. 
We make a lot of profits</t>
  </si>
  <si>
    <t>More support for irrigation Better market access</t>
  </si>
  <si>
    <t>The groups have diversified the project</t>
  </si>
  <si>
    <t xml:space="preserve">Follow ups should be done frequently </t>
  </si>
  <si>
    <t xml:space="preserve">Dairy farm </t>
  </si>
  <si>
    <t>https://kf.kobotoolbox.org/api/v2/assets/a2jMyW8dsvtwpYHzQMRFCn/data/588981059/attachments/attjTXmwXm6buj9cQXPm7cNy/</t>
  </si>
  <si>
    <t>0.5826665 34.4694599 1301.7862548828125 4.529</t>
  </si>
  <si>
    <t>Mwomo</t>
  </si>
  <si>
    <t>Josephine Simiyu</t>
  </si>
  <si>
    <t>Beans, groundnuts, sugarcane</t>
  </si>
  <si>
    <t>320</t>
  </si>
  <si>
    <t>Groundnuts,simsim, sweet potatoes</t>
  </si>
  <si>
    <t>Implemented a water harvesting system (e.g., water pan, tank) Started a kitchen garden for household food</t>
  </si>
  <si>
    <t>Soil conservation</t>
  </si>
  <si>
    <t>Provision of water tanks</t>
  </si>
  <si>
    <t>Teaching each other new skills</t>
  </si>
  <si>
    <t>Provision of lunch and sitting allowance</t>
  </si>
  <si>
    <t>Seek advice from decese</t>
  </si>
  <si>
    <t>Participated</t>
  </si>
  <si>
    <t>https://kf.kobotoolbox.org/api/v2/assets/a2jMyW8dsvtwpYHzQMRFCn/data/588989530/attachments/attTc9S2zaUf75jhWyvkAQRf/</t>
  </si>
  <si>
    <t>0.5871311 34.4564273 1243.478 1.571</t>
  </si>
  <si>
    <t>Violet Nanjekho</t>
  </si>
  <si>
    <t>beans, groundnuts</t>
  </si>
  <si>
    <t>Vegetables</t>
  </si>
  <si>
    <t>3600</t>
  </si>
  <si>
    <t>1200</t>
  </si>
  <si>
    <t>108000</t>
  </si>
  <si>
    <t>Many have admired the kitchen garden</t>
  </si>
  <si>
    <t>food forest,</t>
  </si>
  <si>
    <t>got knowledge from desece</t>
  </si>
  <si>
    <t>practically,can't forget</t>
  </si>
  <si>
    <t>train and do practical</t>
  </si>
  <si>
    <t>employ more field officers to reach many</t>
  </si>
  <si>
    <t>trained</t>
  </si>
  <si>
    <t>https://kf.kobotoolbox.org/api/v2/assets/a2jMyW8dsvtwpYHzQMRFCn/data/589012044/attachments/attHuMEX52RQ7gAWaHhgSsc6/</t>
  </si>
  <si>
    <t>0.5981983 34.4678233 1355.2 3.5</t>
  </si>
  <si>
    <t xml:space="preserve">Janet Wamalwa </t>
  </si>
  <si>
    <t>Maize
Tomato
Managu</t>
  </si>
  <si>
    <t>620</t>
  </si>
  <si>
    <t>39.5</t>
  </si>
  <si>
    <t>24500</t>
  </si>
  <si>
    <t>Knowing how to harvest and store rainwater Skills in soil conservation (e.g., composting, mulching) Knowing which drought-tolerant or early-maturing crops to plant</t>
  </si>
  <si>
    <t>High-quality, practical training Seeing good results quickly Support and sharing within my farmer group Support from project staff</t>
  </si>
  <si>
    <t>Climate conditions were too harsh (drought/floods) Lack of access to water High cost of inputs/materials</t>
  </si>
  <si>
    <t xml:space="preserve">Hold seminar and conference </t>
  </si>
  <si>
    <t>Almost everything</t>
  </si>
  <si>
    <t>Desece has helped me to be self reliant</t>
  </si>
  <si>
    <t>Equipment breaks, no way to repair Lack of money for inputs No market for the produce</t>
  </si>
  <si>
    <t>Access to loans/credit Better market access Advanced business training</t>
  </si>
  <si>
    <t xml:space="preserve">They teach well </t>
  </si>
  <si>
    <t>It is okay</t>
  </si>
  <si>
    <t xml:space="preserve">Offer us with farm equipments </t>
  </si>
  <si>
    <t>Formal registration as a cooperative Stronger links to buyers/markets A grant or loan to start a group enterprise</t>
  </si>
  <si>
    <t xml:space="preserve">Help get more people </t>
  </si>
  <si>
    <t xml:space="preserve">I attended </t>
  </si>
  <si>
    <t>https://kf.kobotoolbox.org/api/v2/assets/a2jMyW8dsvtwpYHzQMRFCn/data/589017979/attachments/attCpNk9VR7KtK7a9Ycygqrb/</t>
  </si>
  <si>
    <t>0.592983 34.4726731 0.0 2200.0</t>
  </si>
  <si>
    <t>Kivuke</t>
  </si>
  <si>
    <t>Roselyne Nachuka</t>
  </si>
  <si>
    <t xml:space="preserve">Sukumawiki 
Maize 
Beans </t>
  </si>
  <si>
    <t xml:space="preserve">Maize 
Sukumawiki 
Cassava </t>
  </si>
  <si>
    <t>Sold more of the same crops (higher yield) Sold seedlings or other farming inputs</t>
  </si>
  <si>
    <t>Applying organic manure on the farm</t>
  </si>
  <si>
    <t>Making of organic manure</t>
  </si>
  <si>
    <t xml:space="preserve">Production of more varieties </t>
  </si>
  <si>
    <t>More farming techniques were copied from the demonstration farm</t>
  </si>
  <si>
    <t xml:space="preserve">The materials should be delivered on time for good results </t>
  </si>
  <si>
    <t>To offer small farmers with wheelbarrow to use them carry manure to the farms</t>
  </si>
  <si>
    <t>https://kf.kobotoolbox.org/api/v2/assets/a2jMyW8dsvtwpYHzQMRFCn/data/589045502/attachments/attGqMNAWbd8zYqW3maJK9TW/</t>
  </si>
  <si>
    <t>0.5981764 34.4678421 1331.1 3.2</t>
  </si>
  <si>
    <t>Emily Sifuna</t>
  </si>
  <si>
    <t>Project training – DESECE Family member Radio/TV</t>
  </si>
  <si>
    <t>Beans,maize, ground nuts</t>
  </si>
  <si>
    <t xml:space="preserve">Stocked waiting for better price 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</si>
  <si>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</si>
  <si>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</si>
  <si>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Support from project staff High-quality, practical training Learning from demonstration farms Support and sharing within my farmer group Seeing good results quickly The inputs provided were affordable/useful</t>
  </si>
  <si>
    <t xml:space="preserve">Zai pits,kitchen gardening </t>
  </si>
  <si>
    <t xml:space="preserve">Compositing,kitchen gardening </t>
  </si>
  <si>
    <t xml:space="preserve">From the trainings have learned more,on how to care for my crop hence to high yield </t>
  </si>
  <si>
    <t>I was trained on how to practice on my farm and it has bring more impact on my farm</t>
  </si>
  <si>
    <t xml:space="preserve">Work on more trainings </t>
  </si>
  <si>
    <t>More traings ,an provide maybe wheel barrows for easier work ,focus on markets</t>
  </si>
  <si>
    <t xml:space="preserve">I got trained ,and started practicing </t>
  </si>
  <si>
    <t>https://kf.kobotoolbox.org/api/v2/assets/a2jMyW8dsvtwpYHzQMRFCn/data/589046906/attachments/att5ANGgiJm9mAJasorhnige/</t>
  </si>
  <si>
    <t>0.5981053 34.4678351 1305.6 4.9</t>
  </si>
  <si>
    <t>Centrix Wanyonyi</t>
  </si>
  <si>
    <t>Cowpeas bananas kales</t>
  </si>
  <si>
    <t>Maize,beans, sugarcane</t>
  </si>
  <si>
    <t>Started a kitchen garden for household food Adopted a new farming practice (e.g., zai pits, contour farming)</t>
  </si>
  <si>
    <t>Food forest</t>
  </si>
  <si>
    <t>Now relay More on farming</t>
  </si>
  <si>
    <t>Able to learn new skills</t>
  </si>
  <si>
    <t>Provision of wheelbarrow</t>
  </si>
  <si>
    <t>Have unity</t>
  </si>
  <si>
    <t>Friend/family/community member</t>
  </si>
  <si>
    <t>Trained</t>
  </si>
  <si>
    <t>https://kf.kobotoolbox.org/api/v2/assets/a2jMyW8dsvtwpYHzQMRFCn/data/589050326/attachments/att6sLxbtoMAQmi8y3rr7p6n/</t>
  </si>
  <si>
    <t>0.5980637 34.4679639 1298.745 1.753</t>
  </si>
  <si>
    <t>ANNA KARUNGANI</t>
  </si>
  <si>
    <t>Sweet potatoes 
Beans
Maize</t>
  </si>
  <si>
    <t xml:space="preserve">Maize
Beans
Sweet potatoes </t>
  </si>
  <si>
    <t>32000</t>
  </si>
  <si>
    <t>Sold new/different types of crops Sold more of the same crops (higher yield) Sold crops for a better price Sold processed products (e.g., flour, jam)</t>
  </si>
  <si>
    <t>High cost of inputs/materials Lack of knowledge/confidence to do it alone Requires more labour/time Climate conditions were too harsh (drought/floods)</t>
  </si>
  <si>
    <t>Wheelbarrows and Jembe for farm work</t>
  </si>
  <si>
    <t>It was available in vegetable management</t>
  </si>
  <si>
    <t>Many techniques</t>
  </si>
  <si>
    <t>Increased my skills and knowledge</t>
  </si>
  <si>
    <t>Lack of money for inputs Equipment breaks, no way to repair No market for the produce</t>
  </si>
  <si>
    <t>Better market access Access to loans/credit More support for irrigation Advanced business training Youth-specific programs</t>
  </si>
  <si>
    <t>Have water tank for water collection</t>
  </si>
  <si>
    <t>Get more advice</t>
  </si>
  <si>
    <t>To bring more farm tools and equipment</t>
  </si>
  <si>
    <t>Am too old for active formal education</t>
  </si>
  <si>
    <t>Old age</t>
  </si>
  <si>
    <t>https://kf.kobotoolbox.org/api/v2/assets/a2jMyW8dsvtwpYHzQMRFCn/data/589050931/attachments/attbYZRnYWiDfTbG9p9ZY7RX/</t>
  </si>
  <si>
    <t>0.5980894 34.4678572 1306.845 1.695</t>
  </si>
  <si>
    <t>West bukusu</t>
  </si>
  <si>
    <t>Patrick pepela kimawachi</t>
  </si>
  <si>
    <t>54000</t>
  </si>
  <si>
    <t>High-quality, practical training Learning from demonstration farms Support and sharing within my farmer group</t>
  </si>
  <si>
    <t>Pests/diseases affected new crops Climate conditions were too harsh (drought/floods) High cost of inputs/materials Requires more labour/time Lack of access to water</t>
  </si>
  <si>
    <t>How to make compost  and how to maintain  food forest</t>
  </si>
  <si>
    <t>Their is increase in yields</t>
  </si>
  <si>
    <t xml:space="preserve">Their's double  productivity </t>
  </si>
  <si>
    <t xml:space="preserve"> Other Government extension officer</t>
  </si>
  <si>
    <t>The farmer gaineed skills</t>
  </si>
  <si>
    <t>Early delivery  of farm inputs</t>
  </si>
  <si>
    <t>Advanced  bussiness trainings</t>
  </si>
  <si>
    <t>https://kf.kobotoolbox.org/api/v2/assets/a2jMyW8dsvtwpYHzQMRFCn/data/589051813/attachments/attBdNw4ehQ7aWKPTiDLspa4/</t>
  </si>
  <si>
    <t>0.5980882 34.4677319 1305.0 5.0</t>
  </si>
  <si>
    <t>Linet Simiyu</t>
  </si>
  <si>
    <t>Beans 
Maize
Vegetables</t>
  </si>
  <si>
    <t>480</t>
  </si>
  <si>
    <t>63.5</t>
  </si>
  <si>
    <t>30500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</si>
  <si>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</si>
  <si>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Support from project staff Learning from demonstration farms High-quality, practical training Support and sharing within my farmer group Seeing good results quickly</t>
  </si>
  <si>
    <t xml:space="preserve">I thought of them on how to plant trees </t>
  </si>
  <si>
    <t xml:space="preserve">Compost manure </t>
  </si>
  <si>
    <t xml:space="preserve">It has a good impact </t>
  </si>
  <si>
    <t xml:space="preserve">Now I can harvest water and use </t>
  </si>
  <si>
    <t xml:space="preserve">No problem </t>
  </si>
  <si>
    <t xml:space="preserve">Provide us with farm equipments </t>
  </si>
  <si>
    <t>A grant or loan to start a group enterprise Formal registration as a cooperative Advanced business training</t>
  </si>
  <si>
    <t xml:space="preserve">I was in training </t>
  </si>
  <si>
    <t>https://kf.kobotoolbox.org/api/v2/assets/a2jMyW8dsvtwpYHzQMRFCn/data/589053299/attachments/attM4iQa7PW5c4CfihuUMUXT/</t>
  </si>
  <si>
    <t>0.5951609 34.4779027 5301.055 1.269</t>
  </si>
  <si>
    <t>Kibuki</t>
  </si>
  <si>
    <t>Margaret kilongi</t>
  </si>
  <si>
    <t>beans</t>
  </si>
  <si>
    <t>12500</t>
  </si>
  <si>
    <t>maize,beans</t>
  </si>
  <si>
    <t>about food forest</t>
  </si>
  <si>
    <t>many are copying the kitchen garden</t>
  </si>
  <si>
    <t>because of high yields</t>
  </si>
  <si>
    <t>demonstrated well</t>
  </si>
  <si>
    <t>train and practice</t>
  </si>
  <si>
    <t>continue supporting farmers</t>
  </si>
  <si>
    <t>https://kf.kobotoolbox.org/api/v2/assets/a2jMyW8dsvtwpYHzQMRFCn/data/589054724/attachments/attw3Qe9es2UEp4aqs5trqLh/</t>
  </si>
  <si>
    <t>0.5981601 34.4679245 1313.4 3.8</t>
  </si>
  <si>
    <t>Joseph Lunani</t>
  </si>
  <si>
    <t>Neighbour or friend Project training – DESECE</t>
  </si>
  <si>
    <t>Maize,beans,sukuma wiki</t>
  </si>
  <si>
    <t>1500</t>
  </si>
  <si>
    <t>225000</t>
  </si>
  <si>
    <t>Beans,maize sukuma wiki</t>
  </si>
  <si>
    <t>Skills in soil conservation (e.g., composting, mulching) Knowing how to harvest and store rainwater Knowledge of agroecological methods (e.g., intercropping)</t>
  </si>
  <si>
    <t>Implemented a water harvesting system (e.g., water pan, tank) Improved my soil (with compost, cover crops) Started a kitchen garden for household food Joined a group that provides support/shared resources</t>
  </si>
  <si>
    <t>Lack of access to water High cost of inputs/materials</t>
  </si>
  <si>
    <t>Use of composite manure and kitchen</t>
  </si>
  <si>
    <t>Making composite manure to minimize cost of farm inputs</t>
  </si>
  <si>
    <t>Has more farm inputs</t>
  </si>
  <si>
    <t>Equipment breaks, no way to repair No one to ask for advice</t>
  </si>
  <si>
    <t>Given tank to farm more</t>
  </si>
  <si>
    <t>Group sometime they boycot meeting</t>
  </si>
  <si>
    <t>Solarization to ensure water accessibility in drought season</t>
  </si>
  <si>
    <t>https://kf.kobotoolbox.org/api/v2/assets/a2jMyW8dsvtwpYHzQMRFCn/data/589071972/attachments/attSyPBhYcNm2QjELaHv2KFz/</t>
  </si>
  <si>
    <t>0.5978481 34.4678297 1309.6999999999998 4.9</t>
  </si>
  <si>
    <t>Siombua</t>
  </si>
  <si>
    <t>Wilfred Wamalwa</t>
  </si>
  <si>
    <t>Minimum or zero tillage</t>
  </si>
  <si>
    <t>Sold more of the same crops (higher yield) Sold new/different types of crops Sold crops for a better price Sold processed products (e.g., flour, jam)</t>
  </si>
  <si>
    <t>Knowing which drought-tolerant or early-maturing crops to plant Knowing how to harvest and store rainwater Skills in soil conservation (e.g., composting, mulching)</t>
  </si>
  <si>
    <t>High-quality, practical training The inputs provided were affordable/useful Seeing good results quickly</t>
  </si>
  <si>
    <t>Lack of knowledge/confidence to do it alone Pests/diseases affected new crops</t>
  </si>
  <si>
    <t xml:space="preserve">Horse pipes to help produce things in high quantity </t>
  </si>
  <si>
    <t xml:space="preserve">Inter cropping </t>
  </si>
  <si>
    <t xml:space="preserve">Encouraged them to go agriculture </t>
  </si>
  <si>
    <t xml:space="preserve">Earned more </t>
  </si>
  <si>
    <t>Access to loans/credit Better market access More support for irrigation</t>
  </si>
  <si>
    <t xml:space="preserve">It helped a lot of the old ones to see and implement. </t>
  </si>
  <si>
    <t>Send more</t>
  </si>
  <si>
    <t>Advanced business training Stronger links to buyers/markets A grant or loan to start a group enterprise Training on leadership and governance</t>
  </si>
  <si>
    <t xml:space="preserve">Dairy farming </t>
  </si>
  <si>
    <t>ECCRAS project activities Radio/TV/social media Government officer/health worker Friend/family/community member Other NGO project activities</t>
  </si>
  <si>
    <t>https://kf.kobotoolbox.org/api/v2/assets/a2jMyW8dsvtwpYHzQMRFCn/data/589077994/attachments/attYavEZt4ATaFgJiew3MCmH/</t>
  </si>
  <si>
    <t>0.6177572 34.4606829 1325.869384765625 4.306</t>
  </si>
  <si>
    <t>Margaret Ambuchi</t>
  </si>
  <si>
    <t>Vegetables 
Beans
Avocado</t>
  </si>
  <si>
    <t>Knowledge of agroecological methods (e.g., intercropping) Knowing how to access weather information None / I don't feel I gained new knowledge</t>
  </si>
  <si>
    <t>Requires more labour/time Climate conditions were too harsh (drought/floods)</t>
  </si>
  <si>
    <t>The tanks</t>
  </si>
  <si>
    <t>The neighbors are interested with the tanks more</t>
  </si>
  <si>
    <t xml:space="preserve">Now she doesn't borrow anyone's veggies. She has it from her farm. </t>
  </si>
  <si>
    <t>We are many and it helps</t>
  </si>
  <si>
    <t>A grant or loan to start a group enterprise Advanced business training Training on leadership and governance Stronger links to buyers/markets Formal registration as a cooperative</t>
  </si>
  <si>
    <t>https://kf.kobotoolbox.org/api/v2/assets/a2jMyW8dsvtwpYHzQMRFCn/data/589104906/attachments/att9YZoRZPXS7J8dQ9oUdXza/</t>
  </si>
  <si>
    <t>0.6177923 34.4607143 1322.2491455078125 7.642</t>
  </si>
  <si>
    <t>Siumbwa</t>
  </si>
  <si>
    <t>Richard Wamakuria Namasaka</t>
  </si>
  <si>
    <t xml:space="preserve">Soya peas
Beans
Groundnuts </t>
  </si>
  <si>
    <t xml:space="preserve">Maize
Beans
Tomatoes </t>
  </si>
  <si>
    <t>Adoption of using new methods of farming and using intergrated pest management system</t>
  </si>
  <si>
    <t>Establishing of a kitchen garden and how to apply organic manure on the farm</t>
  </si>
  <si>
    <t xml:space="preserve">It is easy to manage and the production has increased </t>
  </si>
  <si>
    <t xml:space="preserve">The harvest from the demonstration farms was good and the management was good and easier </t>
  </si>
  <si>
    <t xml:space="preserve">The farmer wishes to be provided enough services on irrigation to improve their production </t>
  </si>
  <si>
    <t>https://kf.kobotoolbox.org/api/v2/assets/a2jMyW8dsvtwpYHzQMRFCn/data/589109723/attachments/attqLvy5RKscxQFqd6uzHTWH/</t>
  </si>
  <si>
    <t>0.6176117 34.4607367 1337.4 4.3</t>
  </si>
  <si>
    <t>Joseph Branham</t>
  </si>
  <si>
    <t>Moses Wanjala</t>
  </si>
  <si>
    <t>Intercropping (mixing crops in same field)</t>
  </si>
  <si>
    <t>Vegetables
Sugarcane 
Maize</t>
  </si>
  <si>
    <t xml:space="preserve">Vegetables 
Sugarcane 
Potatoes </t>
  </si>
  <si>
    <t>How to get the best yields</t>
  </si>
  <si>
    <t>Seedling bed</t>
  </si>
  <si>
    <t xml:space="preserve">Improved yields </t>
  </si>
  <si>
    <t>Learned new skills</t>
  </si>
  <si>
    <t xml:space="preserve">Materials to be delivered earlier </t>
  </si>
  <si>
    <t>https://kf.kobotoolbox.org/api/v2/assets/a2jMyW8dsvtwpYHzQMRFCn/data/589110113/attachments/attAyYwkBHUphvQWBdUf2q2V/</t>
  </si>
  <si>
    <t>0.5827859 34.4694527 1323.94 3.791</t>
  </si>
  <si>
    <t>Isaac Nyongesa</t>
  </si>
  <si>
    <t>Tomatoes 
Vegetables 
Fruits</t>
  </si>
  <si>
    <t>Tomatoes 
Vegetables 
Pawpaw</t>
  </si>
  <si>
    <t>Diversified the crops I grow</t>
  </si>
  <si>
    <t>Organic farming</t>
  </si>
  <si>
    <t>Better organic farming knowledge</t>
  </si>
  <si>
    <t>Improved yields</t>
  </si>
  <si>
    <t>Materials to be brought earlier</t>
  </si>
  <si>
    <t>Consider granting loans to farmers</t>
  </si>
  <si>
    <t>https://kf.kobotoolbox.org/api/v2/assets/a2jMyW8dsvtwpYHzQMRFCn/data/589110190/attachments/attjr3PpBgD3Vs7d7zMqmrZs/</t>
  </si>
  <si>
    <t>0.5827929 34.4693972 1306.561 1.651</t>
  </si>
  <si>
    <t>Nangata</t>
  </si>
  <si>
    <t>Pinsa Namakhelo</t>
  </si>
  <si>
    <t xml:space="preserve">Maize
Sweet potato 
Vegetables </t>
  </si>
  <si>
    <t xml:space="preserve">Maize 
Sweet potato 
Vegetables </t>
  </si>
  <si>
    <t xml:space="preserve">How to use organic farming to control pests </t>
  </si>
  <si>
    <t>Intercroping</t>
  </si>
  <si>
    <t>Increased yields</t>
  </si>
  <si>
    <t xml:space="preserve">Improved income rate </t>
  </si>
  <si>
    <t xml:space="preserve">Check on the elderly who can't manage to go to the meetings regularly </t>
  </si>
  <si>
    <t xml:space="preserve">Provide better farming materials for farmers who can't afford </t>
  </si>
  <si>
    <t>https://kf.kobotoolbox.org/api/v2/assets/a2jMyW8dsvtwpYHzQMRFCn/data/589110224/attachments/att7ueCDfDEGXq3EfS8QAv4s/</t>
  </si>
  <si>
    <t>0.6176386 34.4606516 1317.999 1.015</t>
  </si>
  <si>
    <t>Sikata</t>
  </si>
  <si>
    <t>ROSINA MASINDE</t>
  </si>
  <si>
    <t>33</t>
  </si>
  <si>
    <t>11</t>
  </si>
  <si>
    <t>Maize
Cassava
Beans</t>
  </si>
  <si>
    <t>16000</t>
  </si>
  <si>
    <t>Maize
Beans
Cassava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</si>
  <si>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</si>
  <si>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Knowledge</t>
  </si>
  <si>
    <t>Making manure</t>
  </si>
  <si>
    <t>Higher produce</t>
  </si>
  <si>
    <t xml:space="preserve">I knew many information throughout demonstration </t>
  </si>
  <si>
    <t>Regular visiting</t>
  </si>
  <si>
    <t xml:space="preserve">To provide chicken wire and wheelbarrows </t>
  </si>
  <si>
    <t>I was sick during the process</t>
  </si>
  <si>
    <t>https://kf.kobotoolbox.org/api/v2/assets/a2jMyW8dsvtwpYHzQMRFCn/data/589113598/attachments/attdueUeeXvitimGkgnQ4hzJ/</t>
  </si>
  <si>
    <t>0.6176065 34.4608198 1339.09 1.423</t>
  </si>
  <si>
    <t>Sikhendu</t>
  </si>
  <si>
    <t>Elizabeth Wafula</t>
  </si>
  <si>
    <t>Siboti</t>
  </si>
  <si>
    <t>Emily nekesa</t>
  </si>
  <si>
    <t>Implemented a water harvesting system (e.g., water pan, tank) Improved my soil (with compost, cover crops)</t>
  </si>
  <si>
    <t>Yes, from local government extension officers</t>
  </si>
  <si>
    <t xml:space="preserve">How to use compost  manure 
</t>
  </si>
  <si>
    <t>Their is  increased  in yields</t>
  </si>
  <si>
    <t>Their is increase in produce</t>
  </si>
  <si>
    <t>My farmer group Government extension officer</t>
  </si>
  <si>
    <t>The farmer has gained  enough  skills</t>
  </si>
  <si>
    <t xml:space="preserve">Advanced  training </t>
  </si>
  <si>
    <t>Advanced  training  to farmers</t>
  </si>
  <si>
    <t>https://kf.kobotoolbox.org/api/v2/assets/a2jMyW8dsvtwpYHzQMRFCn/data/589122723/attachments/attwPoXCvQuKTSPrTY49YfsP/</t>
  </si>
  <si>
    <t>0.6177885 34.4606567 1326.0 4.4</t>
  </si>
  <si>
    <t>East Siboti</t>
  </si>
  <si>
    <t>Risper Makokha</t>
  </si>
  <si>
    <t>Project training – DESECE Neighbour or friend Family member</t>
  </si>
  <si>
    <t>Beans,Soya,Maize</t>
  </si>
  <si>
    <t>48,000</t>
  </si>
  <si>
    <t>Kept for food ,also waiting for a better price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</si>
  <si>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</si>
  <si>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High cost of inputs/materials Requires more labour/time Lack of knowledge/confidence to do it alone Lack of access to water Climate conditions were too harsh (drought/floods)</t>
  </si>
  <si>
    <t xml:space="preserve">Gained more knowledge from the trainings </t>
  </si>
  <si>
    <t>Other successful farmers My farmer group</t>
  </si>
  <si>
    <t>Have been taught enough ,so I can demonstrate on my farm</t>
  </si>
  <si>
    <t>The training was inclusive</t>
  </si>
  <si>
    <t>Do more trainings and provide more farm inputs</t>
  </si>
  <si>
    <t>Advanced business training Stronger links to buyers/markets Training on leadership and governance</t>
  </si>
  <si>
    <t>Should pass the information on time</t>
  </si>
  <si>
    <t>I was trainined</t>
  </si>
  <si>
    <t>https://kf.kobotoolbox.org/api/v2/assets/a2jMyW8dsvtwpYHzQMRFCn/data/589124397/attachments/attBVTkcvkGALVdeUVf4Kv8v/</t>
  </si>
  <si>
    <t>0.6176728 34.4606712 1308.4 3.45</t>
  </si>
  <si>
    <t xml:space="preserve">Siombua </t>
  </si>
  <si>
    <t>Rosemary Nekesa</t>
  </si>
  <si>
    <t>During the fourth year of the project (2024)</t>
  </si>
  <si>
    <t xml:space="preserve">Needs more help because she's old </t>
  </si>
  <si>
    <t>Implemented a water harvesting system (e.g., water pan, tank) Adopted a new farming practice (e.g., zai pits, contour farming)</t>
  </si>
  <si>
    <t>Not very confident</t>
  </si>
  <si>
    <t>High-quality, practical training Support and sharing within my farmer group</t>
  </si>
  <si>
    <t>Requires more labour/time High cost of inputs/materials Climate conditions were too harsh (drought/floods)</t>
  </si>
  <si>
    <t>About the project more</t>
  </si>
  <si>
    <t xml:space="preserve">The neighbors are happy about the project </t>
  </si>
  <si>
    <t>The knowledge has helped</t>
  </si>
  <si>
    <t>I don't know where to go Local agro-dealer</t>
  </si>
  <si>
    <t>Advanced business training Better market access More support for irrigation</t>
  </si>
  <si>
    <t>Knowledgeable</t>
  </si>
  <si>
    <t>Should have more practicals</t>
  </si>
  <si>
    <t>Have separate sessions for youth Provide childcare during activities Ensure materials are affordable for the poorest</t>
  </si>
  <si>
    <t>Advanced business training Stronger links to buyers/markets Formal registration as a cooperative Training on leadership and governance</t>
  </si>
  <si>
    <t xml:space="preserve">Goat rearing 
</t>
  </si>
  <si>
    <t>https://kf.kobotoolbox.org/api/v2/assets/a2jMyW8dsvtwpYHzQMRFCn/data/589133930/attachments/attLVjeRSeaHM32wnRd3zobr/</t>
  </si>
  <si>
    <t>0.6177607 34.4606735 1325.572265625 4.465</t>
  </si>
  <si>
    <t>Wajori</t>
  </si>
  <si>
    <t>Sirila Wanyama</t>
  </si>
  <si>
    <t>63000</t>
  </si>
  <si>
    <t xml:space="preserve">Maize 
Vegetables 
Groundnuts </t>
  </si>
  <si>
    <t xml:space="preserve">Intercroping </t>
  </si>
  <si>
    <t>High yields</t>
  </si>
  <si>
    <t xml:space="preserve">High yields </t>
  </si>
  <si>
    <t xml:space="preserve">Deliver materials early </t>
  </si>
  <si>
    <t>Provide more farming equipments</t>
  </si>
  <si>
    <t xml:space="preserve">Rarely (less than once per week) </t>
  </si>
  <si>
    <t>Preference for traditional stove (taste, speed, etc.)</t>
  </si>
  <si>
    <t>https://kf.kobotoolbox.org/api/v2/assets/a2jMyW8dsvtwpYHzQMRFCn/data/589161240/attachments/attjzprX4pfhkznQFyGBr9xx/</t>
  </si>
  <si>
    <t>0.6098434 34.4804052 1343.725 1.002</t>
  </si>
  <si>
    <t>Wacholi</t>
  </si>
  <si>
    <t>Edith Wamalwa</t>
  </si>
  <si>
    <t>Beans tobacco Maize</t>
  </si>
  <si>
    <t>Tobacco cassava groundnuts</t>
  </si>
  <si>
    <t>Implemented a water harvesting system (e.g., water pan, tank) Adopted a new farming practice (e.g., zai pits, contour farming) Started a kitchen garden for household food</t>
  </si>
  <si>
    <t>Importance of water tanks</t>
  </si>
  <si>
    <t>Soil conservation methods</t>
  </si>
  <si>
    <t>Improved farming</t>
  </si>
  <si>
    <t>Kitchen garden and food forest</t>
  </si>
  <si>
    <t>Everything is currently okey</t>
  </si>
  <si>
    <t>They should consider the importance of the project to the community</t>
  </si>
  <si>
    <t>https://kf.kobotoolbox.org/api/v2/assets/a2jMyW8dsvtwpYHzQMRFCn/data/589170392/attachments/attVJmD3wc4rgVLaAZq6FAV3/</t>
  </si>
  <si>
    <t>0.6088482 34.4798932 1341.278 2.091</t>
  </si>
  <si>
    <t>Violet Simiyu</t>
  </si>
  <si>
    <t xml:space="preserve">Maize
Managu
Avocado </t>
  </si>
  <si>
    <t>165</t>
  </si>
  <si>
    <t>Implemented a water harvesting system (e.g., water pan, tank) Improved my soil (with compost, cover crops) Adopted a new farming practice (e.g., zai pits, contour farming) Started a kitchen garden for household food</t>
  </si>
  <si>
    <t>Provision of lunch</t>
  </si>
  <si>
    <t xml:space="preserve">They have copiedaking Kitchen garden </t>
  </si>
  <si>
    <t xml:space="preserve">There is an increase in outputs </t>
  </si>
  <si>
    <t>Distance from where we hold meeting and my home is far</t>
  </si>
  <si>
    <t xml:space="preserve">Bring a learning institution closer to our homes </t>
  </si>
  <si>
    <t xml:space="preserve">They do follow ups to us regularly </t>
  </si>
  <si>
    <t xml:space="preserve">It is understandable </t>
  </si>
  <si>
    <t xml:space="preserve">Sometimes provide transport </t>
  </si>
  <si>
    <t>A grant or loan to start a group enterprise Advanced business training Stronger links to buyers/markets Formal registration as a cooperative</t>
  </si>
  <si>
    <t>Provide more seeds for project</t>
  </si>
  <si>
    <t>https://kf.kobotoolbox.org/api/v2/assets/a2jMyW8dsvtwpYHzQMRFCn/data/589190528/attachments/attD6eSjXSSn8BJZXSpxWRv3/</t>
  </si>
  <si>
    <t>0.6100479 34.4809211 1300.234 3.108</t>
  </si>
  <si>
    <t>Rita Walakwa</t>
  </si>
  <si>
    <t>Maintaining a kitchen garden</t>
  </si>
  <si>
    <t>Maize,beans and vegetables</t>
  </si>
  <si>
    <t>Beans, vegetables and maize</t>
  </si>
  <si>
    <t>33600</t>
  </si>
  <si>
    <t>Kitchen garden and intercropping</t>
  </si>
  <si>
    <t>My neighbors have learnt to start kitchen garden and sell the produce to earn some income.</t>
  </si>
  <si>
    <t>Using vegetables beds to maximize crop cover in my farm.</t>
  </si>
  <si>
    <t>Advanced business training Access to loans/credit Better market access</t>
  </si>
  <si>
    <t>Received a tank that has improved kitchen garden farming at home.</t>
  </si>
  <si>
    <t>More people wanted to join the group although they came in late</t>
  </si>
  <si>
    <t>Establish more farmer groups</t>
  </si>
  <si>
    <t>Advanced business training Stronger links to buyers/markets A grant or loan to start a group enterprise</t>
  </si>
  <si>
    <t>Introduce poultry farming</t>
  </si>
  <si>
    <t>https://kf.kobotoolbox.org/api/v2/assets/a2jMyW8dsvtwpYHzQMRFCn/data/589195787/attachments/attsEPoCk8NivLqRhZd4pwv7/</t>
  </si>
  <si>
    <t>0.617805 34.460725 1315.0 4.4</t>
  </si>
  <si>
    <t>Everline khisa</t>
  </si>
  <si>
    <t>Pests/diseases affected new crops Climate conditions were too harsh (drought/floods)</t>
  </si>
  <si>
    <t xml:space="preserve">How to use and prepare compost </t>
  </si>
  <si>
    <t>Their's  an increase in yields</t>
  </si>
  <si>
    <t>Their's  an increase  in yields</t>
  </si>
  <si>
    <t>Access to loans/credit Better market access</t>
  </si>
  <si>
    <t xml:space="preserve">Follow up and advanced training </t>
  </si>
  <si>
    <t>Advanced  training  and follow up to farmers</t>
  </si>
  <si>
    <t>https://kf.kobotoolbox.org/api/v2/assets/a2jMyW8dsvtwpYHzQMRFCn/data/589198820/attachments/attEf5444CAs6N4xycwCNS9U/</t>
  </si>
  <si>
    <t>0.6007281 34.4755041 1319.0 4.5</t>
  </si>
  <si>
    <t>Onesmus Sanja</t>
  </si>
  <si>
    <t>Project training – DESECE Government agricultural officer</t>
  </si>
  <si>
    <t>2800</t>
  </si>
  <si>
    <t>30800</t>
  </si>
  <si>
    <t>Water pumping machine training and support</t>
  </si>
  <si>
    <t>Have more importance from zero to above e.g water tank</t>
  </si>
  <si>
    <t>System of planting</t>
  </si>
  <si>
    <t>More produce observed</t>
  </si>
  <si>
    <t>More education and skills were observed practically</t>
  </si>
  <si>
    <t>I didn't have full time for training</t>
  </si>
  <si>
    <t>To increase training</t>
  </si>
  <si>
    <t>Water pump for irrigation</t>
  </si>
  <si>
    <t>https://kf.kobotoolbox.org/api/v2/assets/a2jMyW8dsvtwpYHzQMRFCn/data/589217992/attachments/att8tL6KGLefKbk5cMxmF6KJ/</t>
  </si>
  <si>
    <t>0.6054222 34.4831085 1340.651 1.699</t>
  </si>
  <si>
    <t>Robai Nekesa</t>
  </si>
  <si>
    <t>Livestock rearing</t>
  </si>
  <si>
    <t>13</t>
  </si>
  <si>
    <t>Maize,beans and fruits</t>
  </si>
  <si>
    <t>67500</t>
  </si>
  <si>
    <t>Sensitised them on kitchen garden</t>
  </si>
  <si>
    <t>My immediate neighbors has adopted mulching at her kitchen garden</t>
  </si>
  <si>
    <t>Harvest per season has improved from 2 bags to 8 bags</t>
  </si>
  <si>
    <t>More support for irrigation Youth-specific programs</t>
  </si>
  <si>
    <t>Water storage has enhanced farming during drought season</t>
  </si>
  <si>
    <t>The groups should be formed based on age groups since the old and young sometimes don't cope up well</t>
  </si>
  <si>
    <t>Form age specific groups</t>
  </si>
  <si>
    <t>Focus on poultry and bee keeping</t>
  </si>
  <si>
    <t>https://kf.kobotoolbox.org/api/v2/assets/a2jMyW8dsvtwpYHzQMRFCn/data/589219068/attachments/att5rZqoSJLZ6ZbyxakpWsou/</t>
  </si>
  <si>
    <t>0.6004833 34.47694 1316.3 4.8</t>
  </si>
  <si>
    <t>Ng'oli</t>
  </si>
  <si>
    <t>Fredrick Juma</t>
  </si>
  <si>
    <t>Sold new/different types of crops Sold seedlings or other farming inputs Sold more of the same crops (higher yield)</t>
  </si>
  <si>
    <t>Improved my soil (with compost, cover crops) Started a kitchen garden for household food</t>
  </si>
  <si>
    <t>High cost of inputs/materials Requires more labour/time Pests/diseases affected new crops Conflicting advice from other sources</t>
  </si>
  <si>
    <t xml:space="preserve">Agroforestry </t>
  </si>
  <si>
    <t>Encouraged more youths to join the team</t>
  </si>
  <si>
    <t xml:space="preserve">I have more plants </t>
  </si>
  <si>
    <t>Lack of money for inputs No market for the produce No one to ask for advice</t>
  </si>
  <si>
    <t>More support for irrigation Access to loans/credit Advanced business training</t>
  </si>
  <si>
    <t>They are good</t>
  </si>
  <si>
    <t xml:space="preserve">They should come frequently </t>
  </si>
  <si>
    <t>A grant or loan to start a group enterprise Stronger links to buyers/markets Formal registration as a cooperative</t>
  </si>
  <si>
    <t xml:space="preserve">Loans for use
Cows </t>
  </si>
  <si>
    <t>https://kf.kobotoolbox.org/api/v2/assets/a2jMyW8dsvtwpYHzQMRFCn/data/589223213/attachments/attNFEHBnk6eCo7i3DFDrCQP/</t>
  </si>
  <si>
    <t>0.5920059 34.4923312 1335.73828125 4.792</t>
  </si>
  <si>
    <t>Bridgit Kongani</t>
  </si>
  <si>
    <t>Maize, beans,tobacco</t>
  </si>
  <si>
    <t>Tobacco.</t>
  </si>
  <si>
    <t>garden look great</t>
  </si>
  <si>
    <t>some have copied the food forest,</t>
  </si>
  <si>
    <t>reduced chemical use</t>
  </si>
  <si>
    <t>adopted different ideas</t>
  </si>
  <si>
    <t>increase extension officer</t>
  </si>
  <si>
    <t>access grants to jamstart farmers</t>
  </si>
  <si>
    <t>https://kf.kobotoolbox.org/api/v2/assets/a2jMyW8dsvtwpYHzQMRFCn/data/589230247/attachments/attvBZupMFAmfYgj7oZd4QAB/</t>
  </si>
  <si>
    <t>0.615435 34.4852233 1386.2 4.233</t>
  </si>
  <si>
    <t>Nan'geni</t>
  </si>
  <si>
    <t xml:space="preserve">Keresenja Wanjala </t>
  </si>
  <si>
    <t xml:space="preserve">Cassava 
Sweetpotatoes
Groundnuts </t>
  </si>
  <si>
    <t>Maize
Groundnuts 
Beans</t>
  </si>
  <si>
    <t>How to plant yams and make zai pits on the farm</t>
  </si>
  <si>
    <t>They are establishing kitchen gardens and also food forest</t>
  </si>
  <si>
    <t xml:space="preserve">The yields has increased </t>
  </si>
  <si>
    <t xml:space="preserve">More varieties of crops and seedlings were produced </t>
  </si>
  <si>
    <t xml:space="preserve">The materials and inputs should be delivered on time for good results and harvesting </t>
  </si>
  <si>
    <t>To look market for the produce of the farmers</t>
  </si>
  <si>
    <t>https://kf.kobotoolbox.org/api/v2/assets/a2jMyW8dsvtwpYHzQMRFCn/data/589239247/attachments/attq86Cs3CkPmzsZjapMwQqZ/</t>
  </si>
  <si>
    <t>0.5971067 34.4662433 1321.3 4.75</t>
  </si>
  <si>
    <t>Florence Wabwile</t>
  </si>
  <si>
    <t xml:space="preserve">Yams,Bananas, Beans </t>
  </si>
  <si>
    <t>51000</t>
  </si>
  <si>
    <t>Haven't sold yet waiting for a better market price</t>
  </si>
  <si>
    <t>Seeing good results quickly Support and sharing within my farmer group High-quality, practical training Support from project staff Learning from demonstration farms</t>
  </si>
  <si>
    <t>Requires more labour/time Lack of knowledge/confidence to do it alone</t>
  </si>
  <si>
    <t xml:space="preserve">Agroforestry, kitchen gardening </t>
  </si>
  <si>
    <t xml:space="preserve">Drip irrigation </t>
  </si>
  <si>
    <t>Atleast after being taught how to make manure ,I can't stress myself for the income</t>
  </si>
  <si>
    <t xml:space="preserve">Gained more knowledge on how to prepare my farm </t>
  </si>
  <si>
    <t>We were trained</t>
  </si>
  <si>
    <t xml:space="preserve">Put more effort on training us regularly </t>
  </si>
  <si>
    <t>Maybe you should focus or drilling water for easier irrigation Incase of drought</t>
  </si>
  <si>
    <t xml:space="preserve">I got trained </t>
  </si>
  <si>
    <t>https://kf.kobotoolbox.org/api/v2/assets/a2jMyW8dsvtwpYHzQMRFCn/data/589258225/attachments/attfZ37ALQKMvzqUqx3LUNz9/</t>
  </si>
  <si>
    <t>0.5970799 34.4662428 1305.6999999999998 4.56</t>
  </si>
  <si>
    <t>St jude</t>
  </si>
  <si>
    <t>Judith Mulati</t>
  </si>
  <si>
    <t>Maize, beans ,soya beans</t>
  </si>
  <si>
    <t>Maize,millet, onions</t>
  </si>
  <si>
    <t>Knowing which drought-tolerant or early-maturing crops to plant Skills in soil conservation (e.g., composting, mulching)</t>
  </si>
  <si>
    <t>Agroforestry</t>
  </si>
  <si>
    <t>More crops production</t>
  </si>
  <si>
    <t>We acquired more skills</t>
  </si>
  <si>
    <t>Provision of seeds</t>
  </si>
  <si>
    <t>https://kf.kobotoolbox.org/api/v2/assets/a2jMyW8dsvtwpYHzQMRFCn/data/589269790/attachments/attFhnwbtXGnvLnzom7RsHSP/</t>
  </si>
  <si>
    <t>0.6140244 34.4889076 1388.101 4.528</t>
  </si>
  <si>
    <t>Richard Wafula</t>
  </si>
  <si>
    <t>Maize millet groundnuts</t>
  </si>
  <si>
    <t>Maize millet sorghum</t>
  </si>
  <si>
    <t>Knowing which drought-tolerant or early-maturing crops to plant Knowledge of agroecological methods (e.g., intercropping) Skills in planning for climate risks</t>
  </si>
  <si>
    <t>Improved my soil (with compost, cover crops) Adopted a new farming practice (e.g., zai pits, contour farming)</t>
  </si>
  <si>
    <t>Support from project staff Support and sharing within my farmer group</t>
  </si>
  <si>
    <t>Awareness on what type of plant to plant</t>
  </si>
  <si>
    <t>We were able to learn from other farmers</t>
  </si>
  <si>
    <t>Include more practicals and often visit the demonstration</t>
  </si>
  <si>
    <t>Always prepare before starting the project</t>
  </si>
  <si>
    <t>https://kf.kobotoolbox.org/api/v2/assets/a2jMyW8dsvtwpYHzQMRFCn/data/589270401/attachments/attPNBY8CWrtnQGtNAN9hkEU/</t>
  </si>
  <si>
    <t>0.6101075 34.4811981 1343.832 4.982</t>
  </si>
  <si>
    <t>VICTORIA MALABA</t>
  </si>
  <si>
    <t xml:space="preserve">Cassava
Maize 
Beans </t>
  </si>
  <si>
    <t>Climate conditions were too harsh (drought/floods) High cost of inputs/materials</t>
  </si>
  <si>
    <t>Training and financial support.</t>
  </si>
  <si>
    <t>Good projects</t>
  </si>
  <si>
    <t>My projects</t>
  </si>
  <si>
    <t>Lack of money for inputs No one to ask for advice</t>
  </si>
  <si>
    <t>Trainings in farms</t>
  </si>
  <si>
    <t xml:space="preserve">Regular visits </t>
  </si>
  <si>
    <t>Empowerment to farmers</t>
  </si>
  <si>
    <t>https://kf.kobotoolbox.org/api/v2/assets/a2jMyW8dsvtwpYHzQMRFCn/data/589277934/attachments/att3cA7pkEKxSKJB7jh8DrdQ/</t>
  </si>
  <si>
    <t>0.5971333 34.4661671 1298.844 2.145</t>
  </si>
  <si>
    <t>Sirende</t>
  </si>
  <si>
    <t>Patrick lukhubi</t>
  </si>
  <si>
    <t>Cassava
Maize
Beans</t>
  </si>
  <si>
    <t>Maize
Beans
Vegetables</t>
  </si>
  <si>
    <t xml:space="preserve">Their's  increase in yields </t>
  </si>
  <si>
    <t>The farmer has gained more skills</t>
  </si>
  <si>
    <t xml:space="preserve">Effective follow up  and advanced  training </t>
  </si>
  <si>
    <t>To equip farmers with loans and grants</t>
  </si>
  <si>
    <t>https://kf.kobotoolbox.org/api/v2/assets/a2jMyW8dsvtwpYHzQMRFCn/data/589282634/attachments/attp7vYKMigVeJgboq7L4x8U/</t>
  </si>
  <si>
    <t>0.6043261 34.4537603 1297.0 4.6</t>
  </si>
  <si>
    <t>Sinoko</t>
  </si>
  <si>
    <t>Emily Nasimiyu</t>
  </si>
  <si>
    <t>Vegetables 
Maize 
Beans</t>
  </si>
  <si>
    <t>1680</t>
  </si>
  <si>
    <t>9240</t>
  </si>
  <si>
    <t>1180</t>
  </si>
  <si>
    <t xml:space="preserve">Water conservation methods </t>
  </si>
  <si>
    <t xml:space="preserve">Use of organic manure </t>
  </si>
  <si>
    <t xml:space="preserve">Deliver imputs early </t>
  </si>
  <si>
    <t xml:space="preserve">Improve time of delivering materials </t>
  </si>
  <si>
    <t>https://kf.kobotoolbox.org/api/v2/assets/a2jMyW8dsvtwpYHzQMRFCn/data/589289692/attachments/attDQN6xkVetBwRfi29hwxt5/</t>
  </si>
  <si>
    <t>0.6106276 34.4900799 1377.023 4.591</t>
  </si>
  <si>
    <t>Josephine N Mulongo</t>
  </si>
  <si>
    <t xml:space="preserve">Beans
Tomatoes 
Maize </t>
  </si>
  <si>
    <t>45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</si>
  <si>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</si>
  <si>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 xml:space="preserve">Making of composit organic manure </t>
  </si>
  <si>
    <t>Making of a kitchen garden</t>
  </si>
  <si>
    <t xml:space="preserve">The production has increased and new varieties of crops has also produced </t>
  </si>
  <si>
    <t>The demonstration farm produces more varieties of crops at a small piece of land</t>
  </si>
  <si>
    <t xml:space="preserve">To provide good market for the small farmers to sell thier produces </t>
  </si>
  <si>
    <t>https://kf.kobotoolbox.org/api/v2/assets/a2jMyW8dsvtwpYHzQMRFCn/data/589297571/attachments/attpb2EBaKf8grnQnR6vFQbG/</t>
  </si>
  <si>
    <t>0.5949517 34.468485 1335.6 3.5</t>
  </si>
  <si>
    <t>Jane Majuma</t>
  </si>
  <si>
    <t xml:space="preserve">Vegetables </t>
  </si>
  <si>
    <t xml:space="preserve">Use of compost </t>
  </si>
  <si>
    <t>Have a stable income</t>
  </si>
  <si>
    <t xml:space="preserve">Have learned to plant my own vegetables </t>
  </si>
  <si>
    <t xml:space="preserve">Focus on slow learners </t>
  </si>
  <si>
    <t xml:space="preserve">Provide farming tools like wheelbarrows </t>
  </si>
  <si>
    <t>https://kf.kobotoolbox.org/api/v2/assets/a2jMyW8dsvtwpYHzQMRFCn/data/590536294/attachments/attHaGkVd7RAHbMKgv7hF4js/</t>
  </si>
  <si>
    <t>0.5970352 34.4661838 1324.121 2.46</t>
  </si>
  <si>
    <t xml:space="preserve">Nangeni </t>
  </si>
  <si>
    <t>Samson Wanambisi</t>
  </si>
  <si>
    <t xml:space="preserve">I have variety of vegetables </t>
  </si>
  <si>
    <t xml:space="preserve">Have variety of vegetables thus more income </t>
  </si>
  <si>
    <t xml:space="preserve">Factor in slow learners </t>
  </si>
  <si>
    <t>Provide new materials like wheelbarrows</t>
  </si>
  <si>
    <t>https://kf.kobotoolbox.org/api/v2/assets/a2jMyW8dsvtwpYHzQMRFCn/data/590546746/attachments/attDxRXoVrzAc8UDgDz8fRyb/</t>
  </si>
  <si>
    <t>0.5971565 34.4662367 1330.287 1.337</t>
  </si>
  <si>
    <t>Justus Maboni</t>
  </si>
  <si>
    <t>Fruits 
Vegetables</t>
  </si>
  <si>
    <t>42</t>
  </si>
  <si>
    <t>High yields and income</t>
  </si>
  <si>
    <t>Learned new skills on farming</t>
  </si>
  <si>
    <t>Continue with the linguistics to help old people learn</t>
  </si>
  <si>
    <t>Other farm tools like wheelbarrow to be provided</t>
  </si>
  <si>
    <t>https://kf.kobotoolbox.org/api/v2/assets/a2jMyW8dsvtwpYHzQMRFCn/data/590582175/attachments/attJgFrwuEY94HFnYjvsiNPi/</t>
  </si>
  <si>
    <t>0.5970734 34.4662648 1292.89 1.956</t>
  </si>
  <si>
    <t>Dennis Khisa</t>
  </si>
  <si>
    <t>18-25</t>
  </si>
  <si>
    <t>Conflicting advice from other sources</t>
  </si>
  <si>
    <t xml:space="preserve">Improved self independence </t>
  </si>
  <si>
    <t>Youth-specific programs</t>
  </si>
  <si>
    <t xml:space="preserve">Learned new things and was able to teach other youths </t>
  </si>
  <si>
    <t xml:space="preserve">Follow up especially for the youth </t>
  </si>
  <si>
    <t>Have separate sessions for youth</t>
  </si>
  <si>
    <t xml:space="preserve">Look into different diversity like farming chicken </t>
  </si>
  <si>
    <t>https://kf.kobotoolbox.org/api/v2/assets/a2jMyW8dsvtwpYHzQMRFCn/data/590563653/attachments/attCMKCa4rBrATkzZbsp4GpD/</t>
  </si>
  <si>
    <t>0.5971282 34.4664432 1350.105 3.106</t>
  </si>
  <si>
    <t>Lucas Sienya</t>
  </si>
  <si>
    <t>Able to learn and teach others</t>
  </si>
  <si>
    <t>Focus on old people</t>
  </si>
  <si>
    <t>Other farm tools to make farming easier like wheelbarrows</t>
  </si>
  <si>
    <t>https://kf.kobotoolbox.org/api/v2/assets/a2jMyW8dsvtwpYHzQMRFCn/data/590572275/attachments/attDG5DcYFFmNTXXVVFkUjV7/</t>
  </si>
  <si>
    <t>0.5971882 34.4663188 1273.266 1.667</t>
  </si>
  <si>
    <t>Elemina Anyona</t>
  </si>
  <si>
    <t>Beans,maize and vegetables</t>
  </si>
  <si>
    <t>560</t>
  </si>
  <si>
    <t>56000</t>
  </si>
  <si>
    <t>2700</t>
  </si>
  <si>
    <t>405500</t>
  </si>
  <si>
    <t>High cost of inputs/materials Climate conditions were too harsh (drought/floods) Pests/diseases affected new crops Lack of access to water</t>
  </si>
  <si>
    <t>The embraced use of composite manure</t>
  </si>
  <si>
    <t>My neighbors have developed composite pits and have water storage facilities</t>
  </si>
  <si>
    <t>The yield have improved and soil fertility too</t>
  </si>
  <si>
    <t>Advanced business training Youth-specific programs Access to loans/credit More support for irrigation Better market access</t>
  </si>
  <si>
    <t>We learn from each other and learn to grow together</t>
  </si>
  <si>
    <t>We need more training as since we need new knowledge</t>
  </si>
  <si>
    <t>Integrate business development</t>
  </si>
  <si>
    <t>Advanced business training Formal registration as a cooperative A grant or loan to start a group enterprise</t>
  </si>
  <si>
    <t>Provisions of farm inputs</t>
  </si>
  <si>
    <t xml:space="preserve">Sometimes (few meals per week) </t>
  </si>
  <si>
    <t>Stove is broken/needs repair</t>
  </si>
  <si>
    <t>https://kf.kobotoolbox.org/api/v2/assets/a2jMyW8dsvtwpYHzQMRFCn/data/589299695/attachments/attR7qdNxYK9fs7HTsJL38pE/</t>
  </si>
  <si>
    <t>0.5892533 34.4693017 1309.5 4.637</t>
  </si>
  <si>
    <t>Trans Nzoia County</t>
  </si>
  <si>
    <t>Trans-Nzoia West</t>
  </si>
  <si>
    <t>Matunda</t>
  </si>
  <si>
    <t>Jane Njeri Situma</t>
  </si>
  <si>
    <t>Vegetables 
Maize
Beans</t>
  </si>
  <si>
    <t>Zai pits</t>
  </si>
  <si>
    <t>Has helped improve my farming skills</t>
  </si>
  <si>
    <t>Manage groups better</t>
  </si>
  <si>
    <t>Ensure strong links to buyers</t>
  </si>
  <si>
    <t>https://kf.kobotoolbox.org/api/v2/assets/a2jMyW8dsvtwpYHzQMRFCn/data/589767860/attachments/attFpqomVMXzU7xymRJ2szf5/</t>
  </si>
  <si>
    <t>0.8316995 34.8652758 1730.953 1.503</t>
  </si>
  <si>
    <t>Kiminini</t>
  </si>
  <si>
    <t>Betty Mukhwana</t>
  </si>
  <si>
    <t xml:space="preserve">Veges,Beans </t>
  </si>
  <si>
    <t>20,000</t>
  </si>
  <si>
    <t xml:space="preserve">Stocked waiting for a better market </t>
  </si>
  <si>
    <t>Lack of access to water High cost of inputs/materials Requires more labour/time Climate conditions were too harsh (drought/floods) Lack of knowledge/confidence to do it alone Pests/diseases affected new crops</t>
  </si>
  <si>
    <t xml:space="preserve">Kitchen gardening , food forest </t>
  </si>
  <si>
    <t>They don't require More resources for fam inputs</t>
  </si>
  <si>
    <t>More traings,and bring news projects</t>
  </si>
  <si>
    <t xml:space="preserve">I just thank the organization and encourage them to continue with more trainings </t>
  </si>
  <si>
    <t xml:space="preserve">I went for. a training </t>
  </si>
  <si>
    <t>https://kf.kobotoolbox.org/api/v2/assets/a2jMyW8dsvtwpYHzQMRFCn/data/589769592/attachments/attfQSBFaw7FD3Xiy8ge8N7n/</t>
  </si>
  <si>
    <t>0.8317572 34.865283 1758.4000244140625 2.5</t>
  </si>
  <si>
    <t>Natunyaki</t>
  </si>
  <si>
    <t>Florence Chris</t>
  </si>
  <si>
    <t>The neighbors are interested in the project</t>
  </si>
  <si>
    <t>Now she has veggies in her garden</t>
  </si>
  <si>
    <t>They explained well</t>
  </si>
  <si>
    <t>Needs group needs training</t>
  </si>
  <si>
    <t>Advanced business training A grant or loan to start a group enterprise Training on leadership and governance Formal registration as a cooperative None, we are already self-reliant</t>
  </si>
  <si>
    <t>Dairy farming 
Chicken farming 
Goat rearing</t>
  </si>
  <si>
    <t>https://kf.kobotoolbox.org/api/v2/assets/a2jMyW8dsvtwpYHzQMRFCn/data/589772993/attachments/attTzL873D57nfVSTMeuPYhG/</t>
  </si>
  <si>
    <t>0.82605 34.8660736 1734.772705078125 4.878</t>
  </si>
  <si>
    <t>Namunyiri</t>
  </si>
  <si>
    <t xml:space="preserve">Gelas Wanyonyi </t>
  </si>
  <si>
    <t xml:space="preserve">Maize
Bananas 
Groundnuts </t>
  </si>
  <si>
    <t xml:space="preserve">Maize 
Beans 
Sukumawiki </t>
  </si>
  <si>
    <t xml:space="preserve">Making of composit organic manure and doing aggroforestry </t>
  </si>
  <si>
    <t>Making of composit organic manure and doing aggroforestry in their own</t>
  </si>
  <si>
    <t xml:space="preserve">Production of more varieties from a small piece of land getting good production </t>
  </si>
  <si>
    <t xml:space="preserve">To offer more trainings on the small farmers </t>
  </si>
  <si>
    <t>https://kf.kobotoolbox.org/api/v2/assets/a2jMyW8dsvtwpYHzQMRFCn/data/589775909/attachments/attLRy9ujX8FPzQaCiFJYuJC/</t>
  </si>
  <si>
    <t>0.826035 34.86609 1760.1 3.6</t>
  </si>
  <si>
    <t>Rose Atiala Wasike</t>
  </si>
  <si>
    <t>Zai pits/planting pits</t>
  </si>
  <si>
    <t>Fruits 
Vegetables 
Arrowroots</t>
  </si>
  <si>
    <t xml:space="preserve">Fruits 
Vegetables </t>
  </si>
  <si>
    <t xml:space="preserve">Zai pits </t>
  </si>
  <si>
    <t xml:space="preserve">Better group management </t>
  </si>
  <si>
    <t>Grant loans to upcoming farmer</t>
  </si>
  <si>
    <t>https://kf.kobotoolbox.org/api/v2/assets/a2jMyW8dsvtwpYHzQMRFCn/data/589779979/attachments/atteCsyYaXSP2aV4hYDwEWfr/</t>
  </si>
  <si>
    <t>0.8318471 34.8652185 1757.300048828125 1.774</t>
  </si>
  <si>
    <t>Gladys Wakhungu</t>
  </si>
  <si>
    <t>Project training – DESECE Radio/TV Family member</t>
  </si>
  <si>
    <t>Bananas</t>
  </si>
  <si>
    <t>80,000</t>
  </si>
  <si>
    <t>Beans,Maize, Bananas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</si>
  <si>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</si>
  <si>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High-quality, practical training Support from project staff Learning from demonstration farms Seeing good results quickly Support and sharing within my farmer group The inputs provided were affordable/useful</t>
  </si>
  <si>
    <t>High cost of inputs/materials Lack of access to water Requires more labour/time Climate conditions were too harsh (drought/floods)</t>
  </si>
  <si>
    <t>Mulching ,manmade pests side</t>
  </si>
  <si>
    <t>Compositing, kitchen gardening</t>
  </si>
  <si>
    <t>Quality traininngs and practicals</t>
  </si>
  <si>
    <t>Better market access Advanced business training More support for irrigation Access to loans/credit</t>
  </si>
  <si>
    <t>Gained more knowledge from the project</t>
  </si>
  <si>
    <t>No challenges everything was well</t>
  </si>
  <si>
    <t>Train us on livestock farming</t>
  </si>
  <si>
    <t>I participated in the training</t>
  </si>
  <si>
    <t>https://kf.kobotoolbox.org/api/v2/assets/a2jMyW8dsvtwpYHzQMRFCn/data/589783597/attachments/attBTCoMxhAGcYC9tmGHnGUj/</t>
  </si>
  <si>
    <t>0.8317634 34.8653113 1757.300048828125 3.95</t>
  </si>
  <si>
    <t>Charles Musinaka</t>
  </si>
  <si>
    <t xml:space="preserve">Banana 
Vegetables 
Passion fruit </t>
  </si>
  <si>
    <t>95</t>
  </si>
  <si>
    <t>16.3</t>
  </si>
  <si>
    <t>1550</t>
  </si>
  <si>
    <t>Implemented a water harvesting system (e.g., water pan, tank) Adopted a new farming practice (e.g., zai pits, contour farming) Started a kitchen garden for household food Improved my soil (with compost, cover crops)</t>
  </si>
  <si>
    <t>High-quality, practical training Support from project staff Seeing good results quickly Support and sharing within my farmer group Learning from demonstration farms</t>
  </si>
  <si>
    <t xml:space="preserve">That the join our Group </t>
  </si>
  <si>
    <t xml:space="preserve">Planting banana and kitchen garden </t>
  </si>
  <si>
    <t xml:space="preserve">Practical is easier </t>
  </si>
  <si>
    <t xml:space="preserve">Introduction of seminar </t>
  </si>
  <si>
    <t xml:space="preserve">Add more class </t>
  </si>
  <si>
    <t xml:space="preserve">I was in the meeting </t>
  </si>
  <si>
    <t>https://kf.kobotoolbox.org/api/v2/assets/a2jMyW8dsvtwpYHzQMRFCn/data/589783623/attachments/attgPegqNdBdYdkmgLSo9bJV/</t>
  </si>
  <si>
    <t>0.8259889 34.8662296 1740.455 2.478</t>
  </si>
  <si>
    <t>Tatu said</t>
  </si>
  <si>
    <t>28000</t>
  </si>
  <si>
    <t xml:space="preserve"> Women participate more</t>
  </si>
  <si>
    <t>Increased  yields from farmers</t>
  </si>
  <si>
    <t>Because their is an increase  in yields</t>
  </si>
  <si>
    <t>The farmer gained  enough  skills</t>
  </si>
  <si>
    <t>Materials to be delivered  early</t>
  </si>
  <si>
    <t xml:space="preserve">Advanced bussiness  training  and give loans to farmers </t>
  </si>
  <si>
    <t>https://kf.kobotoolbox.org/api/v2/assets/a2jMyW8dsvtwpYHzQMRFCn/data/589788394/attachments/att7BhZE2oUbyfF8kfg7t7SC/</t>
  </si>
  <si>
    <t>0.8232916 34.8649611 1741.0 4.5</t>
  </si>
  <si>
    <t xml:space="preserve">Sikhendu </t>
  </si>
  <si>
    <t>Abdi Issa</t>
  </si>
  <si>
    <t xml:space="preserve">Beans vegetables Maize </t>
  </si>
  <si>
    <t xml:space="preserve">Soyabeans,greengrams, sunflower </t>
  </si>
  <si>
    <t>750</t>
  </si>
  <si>
    <t>Skills in soil conservation (e.g., composting, mulching) Knowing which drought-tolerant or early-maturing crops to plant Knowledge of agroecological methods (e.g., intercropping)</t>
  </si>
  <si>
    <t>Started a kitchen garden for household food Improved my soil (with compost, cover crops) Joined a group that provides support/shared resources</t>
  </si>
  <si>
    <t xml:space="preserve">Food forest and composting </t>
  </si>
  <si>
    <t xml:space="preserve">Uses natural fertilizer </t>
  </si>
  <si>
    <t xml:space="preserve">Food forest and kitchen garden </t>
  </si>
  <si>
    <t xml:space="preserve">More education on farming </t>
  </si>
  <si>
    <t>Formal registration as a cooperative A grant or loan to start a group enterprise</t>
  </si>
  <si>
    <t xml:space="preserve">Start table banking to save their own cash </t>
  </si>
  <si>
    <t xml:space="preserve">Attended the training </t>
  </si>
  <si>
    <t>https://kf.kobotoolbox.org/api/v2/assets/a2jMyW8dsvtwpYHzQMRFCn/data/589789237/attachments/attkCGUaiikSEKyrLPntRrwk/</t>
  </si>
  <si>
    <t>0.8231545 34.8652006 1727.219 1.04</t>
  </si>
  <si>
    <t>Rose Nafula</t>
  </si>
  <si>
    <t>Maize
Sweetpotatoes
Millet</t>
  </si>
  <si>
    <t>The best crops when doing crop rotation</t>
  </si>
  <si>
    <t xml:space="preserve">Establishing of a kitchen gardens and food forest and doing crop rotation </t>
  </si>
  <si>
    <t>The different varieties of crops has been produced at a good yield</t>
  </si>
  <si>
    <t xml:space="preserve">The farmers got more skills on how to do on their farms and increase their production </t>
  </si>
  <si>
    <t xml:space="preserve">The materials to be planted on the farm should be delivered on time for good results </t>
  </si>
  <si>
    <t>To offer wheelbarrow to use them carry manure to the farm</t>
  </si>
  <si>
    <t>https://kf.kobotoolbox.org/api/v2/assets/a2jMyW8dsvtwpYHzQMRFCn/data/589789803/attachments/attUHH85WXKjnKQFHmhyFrhx/</t>
  </si>
  <si>
    <t>0.825995 34.8661467 1755.3 2.55</t>
  </si>
  <si>
    <t>Philis Matasi</t>
  </si>
  <si>
    <t>Requires more labour/time High cost of inputs/materials Pests/diseases affected new crops</t>
  </si>
  <si>
    <t>About the group how it is beneficial</t>
  </si>
  <si>
    <t>Many neighbors she told have registered themselves to the group</t>
  </si>
  <si>
    <t>Now she's dependent. She's not depending on anyone for income</t>
  </si>
  <si>
    <t>My farmer group Government extension officer Other successful farmers</t>
  </si>
  <si>
    <t>She learnt about nursery beds and now she does it herself</t>
  </si>
  <si>
    <t>The group has issues with themselves</t>
  </si>
  <si>
    <t>Advanced business training Training on leadership and governance A grant or loan to start a group enterprise</t>
  </si>
  <si>
    <t>Drill borehole 
Be given loans
Chicken farming</t>
  </si>
  <si>
    <t>https://kf.kobotoolbox.org/api/v2/assets/a2jMyW8dsvtwpYHzQMRFCn/data/589789918/attachments/att6wicwmk6Hx6TBjCi98xXf/</t>
  </si>
  <si>
    <t>0.8260298 34.8660663 1758.3662109375 4.531</t>
  </si>
  <si>
    <t>William wakhungu</t>
  </si>
  <si>
    <t>the use of compost</t>
  </si>
  <si>
    <t>Other Lack of knowledge/confidence to do it alone</t>
  </si>
  <si>
    <t>making compost,and manure</t>
  </si>
  <si>
    <t>the recent ones are profitable</t>
  </si>
  <si>
    <t>Maybe illnes</t>
  </si>
  <si>
    <t>Knew how to do</t>
  </si>
  <si>
    <t>no enough time</t>
  </si>
  <si>
    <t>add time</t>
  </si>
  <si>
    <t xml:space="preserve">add more effort </t>
  </si>
  <si>
    <t>https://kf.kobotoolbox.org/api/v2/assets/a2jMyW8dsvtwpYHzQMRFCn/data/589790129/attachments/att2BuaAT7Vc6LfRFirFHLMZ/</t>
  </si>
  <si>
    <t>0.8230758 34.864995 1746.2 4.775</t>
  </si>
  <si>
    <t>Anna Mudeisy</t>
  </si>
  <si>
    <t>Income</t>
  </si>
  <si>
    <t>I learned how to be independent</t>
  </si>
  <si>
    <t>Better group management</t>
  </si>
  <si>
    <t>Manage groups effectively</t>
  </si>
  <si>
    <t>https://kf.kobotoolbox.org/api/v2/assets/a2jMyW8dsvtwpYHzQMRFCn/data/589790382/attachments/atthqgSzXRFqdQUzDSUmrt3s/</t>
  </si>
  <si>
    <t>0.8316675 34.8652934 1749.563 1.8</t>
  </si>
  <si>
    <t>Mary Naliaka</t>
  </si>
  <si>
    <t>Consider the old in training</t>
  </si>
  <si>
    <t>Training was held in a location too far away</t>
  </si>
  <si>
    <t>https://kf.kobotoolbox.org/api/v2/assets/a2jMyW8dsvtwpYHzQMRFCn/data/589801912/attachments/attT5nkAahaRhXiARNWN2GdY/</t>
  </si>
  <si>
    <t>0.8317178 34.8652235 1743.731 1.39</t>
  </si>
  <si>
    <t>Catherine juma</t>
  </si>
  <si>
    <t>Maize
Vegetables 
Sweet potato</t>
  </si>
  <si>
    <t>Maize 
Beans
Banana</t>
  </si>
  <si>
    <t>How to make compost and conserve water in the farm</t>
  </si>
  <si>
    <t xml:space="preserve">They have improved their productivity </t>
  </si>
  <si>
    <t xml:space="preserve">Increase  in yields from farmers </t>
  </si>
  <si>
    <t xml:space="preserve">Materials to be delivered  early </t>
  </si>
  <si>
    <t>Advanced  bussiness training  and giving grants to farmers</t>
  </si>
  <si>
    <t>https://kf.kobotoolbox.org/api/v2/assets/a2jMyW8dsvtwpYHzQMRFCn/data/589801979/attachments/attCHBUkwpz3E5SeT89VhcE3/</t>
  </si>
  <si>
    <t>0.8233114 34.8649201 1725.0 4.3</t>
  </si>
  <si>
    <t>Josephine wekesa</t>
  </si>
  <si>
    <t>about tank</t>
  </si>
  <si>
    <t>many are planting</t>
  </si>
  <si>
    <t>getting high yields</t>
  </si>
  <si>
    <t>loved the training</t>
  </si>
  <si>
    <t>Illness</t>
  </si>
  <si>
    <t>Should excuse</t>
  </si>
  <si>
    <t>Provide grants</t>
  </si>
  <si>
    <t>https://kf.kobotoolbox.org/api/v2/assets/a2jMyW8dsvtwpYHzQMRFCn/data/589802014/attachments/attL95awYtww6NufFPpDXWGi/</t>
  </si>
  <si>
    <t>0.8231863 34.8650686 1768.3 4.916</t>
  </si>
  <si>
    <t>Miriam Emoit</t>
  </si>
  <si>
    <t xml:space="preserve">Beans
Avocado 
Banana </t>
  </si>
  <si>
    <t>330</t>
  </si>
  <si>
    <t>33.5</t>
  </si>
  <si>
    <t>11050</t>
  </si>
  <si>
    <t>Implemented a water harvesting system (e.g., water pan, tank) Improved my soil (with compost, cover crops) Diversified the crops I grow Started a kitchen garden for household food</t>
  </si>
  <si>
    <t>Support from project staff Seeing good results quickly Support and sharing within my farmer group</t>
  </si>
  <si>
    <t xml:space="preserve">Resources management </t>
  </si>
  <si>
    <t>More support for irrigation Access to loans/credit Youth-specific programs</t>
  </si>
  <si>
    <t xml:space="preserve">It's very relevant </t>
  </si>
  <si>
    <t xml:space="preserve">Provide lunch regularly </t>
  </si>
  <si>
    <t xml:space="preserve">Provide us with wheelbarrows </t>
  </si>
  <si>
    <t xml:space="preserve">Because I don't have a cooking stove </t>
  </si>
  <si>
    <t>https://kf.kobotoolbox.org/api/v2/assets/a2jMyW8dsvtwpYHzQMRFCn/data/589803087/attachments/attLcSjXtBBkuhwXFudXYG3Y/</t>
  </si>
  <si>
    <t>0.8261988 34.8661726 1665.804 1.478</t>
  </si>
  <si>
    <t>Clara Sakwa</t>
  </si>
  <si>
    <t>Green pepper, beans,yams</t>
  </si>
  <si>
    <t>Peas ,kamande , bananas</t>
  </si>
  <si>
    <t>Soil conservation measures</t>
  </si>
  <si>
    <t>More crafted foods</t>
  </si>
  <si>
    <t>Learned new farming methods</t>
  </si>
  <si>
    <t>Provided ways of plumbing water for the tanks</t>
  </si>
  <si>
    <t>They should have timely follow up for their project</t>
  </si>
  <si>
    <t>https://kf.kobotoolbox.org/api/v2/assets/a2jMyW8dsvtwpYHzQMRFCn/data/589804499/attachments/attwxMwvmAGiEKCozUpuvd6B/</t>
  </si>
  <si>
    <t>0.8232622 34.8652434 1727.54 1.207</t>
  </si>
  <si>
    <t xml:space="preserve">Natunyaki </t>
  </si>
  <si>
    <t>Veronica Nasasa</t>
  </si>
  <si>
    <t>Drip irrigation or other water-efficient methods</t>
  </si>
  <si>
    <t xml:space="preserve">12 </t>
  </si>
  <si>
    <t>2400</t>
  </si>
  <si>
    <t>Knowing how to access weather information Skills in planning for climate risks</t>
  </si>
  <si>
    <t>Joined a group that provides support/shared resources Implemented a water harvesting system (e.g., water pan, tank)</t>
  </si>
  <si>
    <t xml:space="preserve">Some neighbors are not interested </t>
  </si>
  <si>
    <t xml:space="preserve">The tanks because she can now plant severally </t>
  </si>
  <si>
    <t>Local agro-dealer Government extension officer</t>
  </si>
  <si>
    <t>Access to loans/credit Better market access Advanced business training Youth-specific programs</t>
  </si>
  <si>
    <t>Many of her neighbours attended are doing well</t>
  </si>
  <si>
    <t>Needs more training</t>
  </si>
  <si>
    <t>Hold meetings at more convenient times Provide childcare during activities</t>
  </si>
  <si>
    <t>Advanced business training Training on leadership and governance Stronger links to buyers/markets Formal registration as a cooperative</t>
  </si>
  <si>
    <t xml:space="preserve">Eggs rearing </t>
  </si>
  <si>
    <t>Friend/family/community member ECCRAS project activities</t>
  </si>
  <si>
    <t>https://kf.kobotoolbox.org/api/v2/assets/a2jMyW8dsvtwpYHzQMRFCn/data/589806432/attachments/attUNGZEqD8MqfiZS5Mueozj/</t>
  </si>
  <si>
    <t>0.8260711 34.8661107 1738.2841796875 4.208</t>
  </si>
  <si>
    <t>Pressilyn Milimo</t>
  </si>
  <si>
    <t xml:space="preserve">Spinach
Sukumawiki 
Beans </t>
  </si>
  <si>
    <t xml:space="preserve">Beans 
Sukumawiki 
Fruits-strawberries </t>
  </si>
  <si>
    <t xml:space="preserve">Making of beds and how to plant strawberries </t>
  </si>
  <si>
    <t xml:space="preserve">They are producing strawberries at high production </t>
  </si>
  <si>
    <t xml:space="preserve">The production for strawberries has increased </t>
  </si>
  <si>
    <t>The farm is small but produces more varieties of crops</t>
  </si>
  <si>
    <t xml:space="preserve">The project should open links and find market for the produce of the farmers </t>
  </si>
  <si>
    <t>https://kf.kobotoolbox.org/api/v2/assets/a2jMyW8dsvtwpYHzQMRFCn/data/589807952/attachments/attRGS6N5YD3uqeiG7Z2w42t/</t>
  </si>
  <si>
    <t>0.826055 34.8660467 1771.2 4.3</t>
  </si>
  <si>
    <t xml:space="preserve">Skhendu </t>
  </si>
  <si>
    <t>Cellina Dominic</t>
  </si>
  <si>
    <t>Veges,Beans</t>
  </si>
  <si>
    <t>High-quality, practical training Support from project staff Support and sharing within my farmer group Learning from demonstration farms</t>
  </si>
  <si>
    <t>High cost of inputs/materials Lack of access to water Pests/diseases affected new crops Requires more labour/time</t>
  </si>
  <si>
    <t xml:space="preserve">Food forest </t>
  </si>
  <si>
    <t xml:space="preserve">Gained more knowledge and have harvested more yields </t>
  </si>
  <si>
    <t>From demonstrations I was able to implement on my farm</t>
  </si>
  <si>
    <t xml:space="preserve">Focus on leadership </t>
  </si>
  <si>
    <t xml:space="preserve">Continue with the same spirit put more traings </t>
  </si>
  <si>
    <t>https://kf.kobotoolbox.org/api/v2/assets/a2jMyW8dsvtwpYHzQMRFCn/data/589817553/attachments/attAy3swfsoadmRXngfGm7wv/</t>
  </si>
  <si>
    <t>0.831745 34.8652785 1755.5 4.72</t>
  </si>
  <si>
    <t>Judith watila</t>
  </si>
  <si>
    <t>The tank</t>
  </si>
  <si>
    <t>Many admire the higher yields</t>
  </si>
  <si>
    <t>practically I gained</t>
  </si>
  <si>
    <t>Many people did not believe</t>
  </si>
  <si>
    <t>sometimes we lack boost</t>
  </si>
  <si>
    <t>was trained</t>
  </si>
  <si>
    <t>https://kf.kobotoolbox.org/api/v2/assets/a2jMyW8dsvtwpYHzQMRFCn/data/589817814/attachments/attnWr4bV7tvLqJJvzv9Prj5/</t>
  </si>
  <si>
    <t>0.8230956 34.8650022 1744.8 4.5</t>
  </si>
  <si>
    <t>Catharine malesi</t>
  </si>
  <si>
    <t>Beans maize kales</t>
  </si>
  <si>
    <t>13000</t>
  </si>
  <si>
    <t>Maize beans soyabean</t>
  </si>
  <si>
    <t>Ways of irrigation</t>
  </si>
  <si>
    <t>Skills on soil fertility</t>
  </si>
  <si>
    <t>Adoption of new farming methods</t>
  </si>
  <si>
    <t>Have a foundation before starting</t>
  </si>
  <si>
    <t>https://kf.kobotoolbox.org/api/v2/assets/a2jMyW8dsvtwpYHzQMRFCn/data/589818364/attachments/attAf2whzwEm2UumPLQejVxH/</t>
  </si>
  <si>
    <t>0.8231625 34.8651488 1762.842 1.296</t>
  </si>
  <si>
    <t>Mary situma</t>
  </si>
  <si>
    <t>Cannot tell</t>
  </si>
  <si>
    <t>Women participate more</t>
  </si>
  <si>
    <t>About the same</t>
  </si>
  <si>
    <t>Lack of money for inputs Nothing will stop me Equipment breaks, no way to repair No one to ask for advice</t>
  </si>
  <si>
    <t>Gained some skills</t>
  </si>
  <si>
    <t xml:space="preserve">Training  to be more practical </t>
  </si>
  <si>
    <t>https://kf.kobotoolbox.org/api/v2/assets/a2jMyW8dsvtwpYHzQMRFCn/data/589818555/attachments/attgHinWSfb9iUq3AENxujh2/</t>
  </si>
  <si>
    <t>0.8233483 34.864933 1741.0 5.0</t>
  </si>
  <si>
    <t>Scholastica Nanjala</t>
  </si>
  <si>
    <t>Skills in planning for climate risks Knowing how to access weather information</t>
  </si>
  <si>
    <t>Implemented a water harvesting system (e.g., water pan, tank) Joined a group that provides support/shared resources Developed a plan for what to do in case of drought/floods</t>
  </si>
  <si>
    <t>Support from project staff Support and sharing within my farmer group The inputs provided were affordable/useful</t>
  </si>
  <si>
    <t xml:space="preserve">That now she has financial benefits from this project, she gets money by selling her vegetables </t>
  </si>
  <si>
    <t xml:space="preserve">Seen changes in the farm. </t>
  </si>
  <si>
    <t>The tank is beneficial when there's drought</t>
  </si>
  <si>
    <t>Advanced business training Formal registration as a cooperative</t>
  </si>
  <si>
    <t>Generators and solars for plumbing water</t>
  </si>
  <si>
    <t>https://kf.kobotoolbox.org/api/v2/assets/a2jMyW8dsvtwpYHzQMRFCn/data/589820080/attachments/att4tWsnRiyKyqwDiXQrMpSi/</t>
  </si>
  <si>
    <t>0.8260739 34.8661132 1720.88525390625 4.108</t>
  </si>
  <si>
    <t>Grace Masinde</t>
  </si>
  <si>
    <t xml:space="preserve">Vegetables 
Bananas </t>
  </si>
  <si>
    <t xml:space="preserve">Lack of knowledge </t>
  </si>
  <si>
    <t>Understand slow learners</t>
  </si>
  <si>
    <t xml:space="preserve">Continue giving farmers the urge to keep doing better </t>
  </si>
  <si>
    <t>https://kf.kobotoolbox.org/api/v2/assets/a2jMyW8dsvtwpYHzQMRFCn/data/589825400/attachments/atttzuvn9KEXdHoCGrhadZH4/</t>
  </si>
  <si>
    <t>0.831704 34.865174 1717.592 1.854</t>
  </si>
  <si>
    <t>Doris Sirengo</t>
  </si>
  <si>
    <t xml:space="preserve">Sukumawiki 
Maize 
Sweetpotatoes </t>
  </si>
  <si>
    <t>7500</t>
  </si>
  <si>
    <t xml:space="preserve">Maize
Sweetpotatoes 
Cassava </t>
  </si>
  <si>
    <t>6250</t>
  </si>
  <si>
    <t>Making of beds and planting seedlings in the sockets</t>
  </si>
  <si>
    <t>They are producing their own seedlings on the beds</t>
  </si>
  <si>
    <t>People have planted more trees</t>
  </si>
  <si>
    <t xml:space="preserve">More seedlings are produced on a small piece of land </t>
  </si>
  <si>
    <t xml:space="preserve">Open market for the produce of the farmers </t>
  </si>
  <si>
    <t>https://kf.kobotoolbox.org/api/v2/assets/a2jMyW8dsvtwpYHzQMRFCn/data/589825465/attachments/att7jys9ciiA582hvQCBbkio/</t>
  </si>
  <si>
    <t>0.8260783 34.8661233 1760.7 2.3</t>
  </si>
  <si>
    <t xml:space="preserve">
Joyce Nanjala</t>
  </si>
  <si>
    <t xml:space="preserve">Beans
Maize
Banana </t>
  </si>
  <si>
    <t>33.1</t>
  </si>
  <si>
    <t>11600</t>
  </si>
  <si>
    <t>Sold more of the same crops (higher yield) Sold new/different types of crops Sold seedlings or other farming inputs</t>
  </si>
  <si>
    <t>Knowing how to harvest and store rainwater Knowing which drought-tolerant or early-maturing crops to plant Skills in soil conservation (e.g., composting, mulching) Skills in planning for climate risks</t>
  </si>
  <si>
    <t>Seeing good results quickly Support and sharing within my farmer group Learning from demonstration farms Support from project staff High-quality, practical training</t>
  </si>
  <si>
    <t>Lack of access to water Climate conditions were too harsh (drought/floods)</t>
  </si>
  <si>
    <t xml:space="preserve">Planting cover crops </t>
  </si>
  <si>
    <t xml:space="preserve">In the new one, there is high yield </t>
  </si>
  <si>
    <t>Equipment breaks, no way to repair No market for the produce</t>
  </si>
  <si>
    <t>More support for irrigation Access to loans/credit</t>
  </si>
  <si>
    <t xml:space="preserve">I understand practicality because it is just observation </t>
  </si>
  <si>
    <t>Provide us with farming equipments</t>
  </si>
  <si>
    <t>A grant or loan to start a group enterprise Stronger links to buyers/markets Advanced business training</t>
  </si>
  <si>
    <t xml:space="preserve">Hold more classes on practical </t>
  </si>
  <si>
    <t>Lack of raw materials Equipment/tools not available</t>
  </si>
  <si>
    <t>https://kf.kobotoolbox.org/api/v2/assets/a2jMyW8dsvtwpYHzQMRFCn/data/589832597/attachments/attp6kFpr4RDPAzManPrunFD/</t>
  </si>
  <si>
    <t>0.826143 34.8661473 1776.31 3.129</t>
  </si>
  <si>
    <t>Mary Avova</t>
  </si>
  <si>
    <t>Maize
Vegetables 
Banana</t>
  </si>
  <si>
    <t>How to make compost</t>
  </si>
  <si>
    <t>Increase in yields</t>
  </si>
  <si>
    <t>More support for irrigation Access to loans/credit Better market access</t>
  </si>
  <si>
    <t>The farmer has gained  more skills in farming</t>
  </si>
  <si>
    <t>Materials  to be delivered  early</t>
  </si>
  <si>
    <t>Advanced bussiness  training</t>
  </si>
  <si>
    <t>https://kf.kobotoolbox.org/api/v2/assets/a2jMyW8dsvtwpYHzQMRFCn/data/589833473/attachments/attQJVXcr6HTgCJ8d6ifmDwU/</t>
  </si>
  <si>
    <t>0.8233157 34.8649701 1739.0 4.4</t>
  </si>
  <si>
    <t>Hellen Boiyo</t>
  </si>
  <si>
    <t>0.9</t>
  </si>
  <si>
    <t xml:space="preserve">Veges,Maize </t>
  </si>
  <si>
    <t>30,600</t>
  </si>
  <si>
    <t xml:space="preserve">Stocked waiting for better market </t>
  </si>
  <si>
    <t>Diversified the crops I grow Implemented a water harvesting system (e.g., water pan, tank) Improved my soil (with compost, cover crops) Started a kitchen garden for household food</t>
  </si>
  <si>
    <t>High cost of inputs/materials Requires more labour/time Lack of access to water Lack of knowledge/confidence to do it alone Climate conditions were too harsh (drought/floods) Pests/diseases affected new crops</t>
  </si>
  <si>
    <t>Kitchen gardening,zaipits</t>
  </si>
  <si>
    <t>Harvested more yields than before</t>
  </si>
  <si>
    <t>Gained knowledge and encouraged to work on my farm</t>
  </si>
  <si>
    <t xml:space="preserve">Bring trainings on dairy farming </t>
  </si>
  <si>
    <t>Hold meetings at more convenient times Ensure materials are affordable for the poorest Have separate sessions for youth It was inclusive enough</t>
  </si>
  <si>
    <t xml:space="preserve">Just to thank them ,they should continue with the same spirit </t>
  </si>
  <si>
    <t>Was trained</t>
  </si>
  <si>
    <t>https://kf.kobotoolbox.org/api/v2/assets/a2jMyW8dsvtwpYHzQMRFCn/data/589834280/attachments/attdrgQjZSJTSpJHo4HfpQjn/</t>
  </si>
  <si>
    <t>0.8317683 34.8653517 1755.5 4.98</t>
  </si>
  <si>
    <t>Maize beans</t>
  </si>
  <si>
    <t>using compost</t>
  </si>
  <si>
    <t>no burden for now</t>
  </si>
  <si>
    <t>none</t>
  </si>
  <si>
    <t>everything was ok</t>
  </si>
  <si>
    <t>liked everything</t>
  </si>
  <si>
    <t>ok</t>
  </si>
  <si>
    <t>Liked everything</t>
  </si>
  <si>
    <t>could need money for more projects</t>
  </si>
  <si>
    <t>https://kf.kobotoolbox.org/api/v2/assets/a2jMyW8dsvtwpYHzQMRFCn/data/589838398/attachments/attdDuta67dy9A8V2DiYVFG3/</t>
  </si>
  <si>
    <t>0.8231665 34.8648855 1742.9 4.733</t>
  </si>
  <si>
    <t>Monica Wasike</t>
  </si>
  <si>
    <t>Planting trees on cropland (agroforestry)</t>
  </si>
  <si>
    <t>Sold more of the same crops (higher yield) Sold crops for a better price Sold new/different types of crops</t>
  </si>
  <si>
    <t>I don't know</t>
  </si>
  <si>
    <t>None / I don't feel I gained new knowledge</t>
  </si>
  <si>
    <t>Seeing good results quickly Support and sharing within my farmer group</t>
  </si>
  <si>
    <t xml:space="preserve">Indigenous trees which later helps as compost </t>
  </si>
  <si>
    <t>Most neighbours copy manure uses</t>
  </si>
  <si>
    <t xml:space="preserve">Now she knows how to arrange her garden and now she doesn't buy manure she uses natural ones </t>
  </si>
  <si>
    <t xml:space="preserve">How to prepare a nursery bed </t>
  </si>
  <si>
    <t xml:space="preserve">She needs more practicals </t>
  </si>
  <si>
    <t>Provide childcare during activities Hold meetings at more convenient times Have separate sessions for youth</t>
  </si>
  <si>
    <t>Training on leadership and governance Advanced business training None, we are already self-reliant</t>
  </si>
  <si>
    <t xml:space="preserve">The tools to pump water from the boreholes. 
Chicken farming </t>
  </si>
  <si>
    <t>https://kf.kobotoolbox.org/api/v2/assets/a2jMyW8dsvtwpYHzQMRFCn/data/589840787/attachments/attSXNqASgzJgbEn4mGqqxJX/</t>
  </si>
  <si>
    <t>0.8260728 34.8661071 1728.7236328125 4.481</t>
  </si>
  <si>
    <t>Sam Mwambu</t>
  </si>
  <si>
    <t xml:space="preserve">Sukumawiki 
Yams
Cassava </t>
  </si>
  <si>
    <t>Sweetpotatoes 
Cassava 
Yams</t>
  </si>
  <si>
    <t>Making of sunken beds</t>
  </si>
  <si>
    <t>They have established their own beds</t>
  </si>
  <si>
    <t xml:space="preserve">The production of the yields has increased </t>
  </si>
  <si>
    <t>The good beds are made on the demonstration farm</t>
  </si>
  <si>
    <t>Provide market for the farmers to sell their produce</t>
  </si>
  <si>
    <t>https://kf.kobotoolbox.org/api/v2/assets/a2jMyW8dsvtwpYHzQMRFCn/data/589841021/attachments/att87nhMZUBGD4VMxJBeUBry/</t>
  </si>
  <si>
    <t>0.826145 34.8662167 1760.7 4.25</t>
  </si>
  <si>
    <t>Alice Wekesa</t>
  </si>
  <si>
    <t xml:space="preserve">Beans maize millet </t>
  </si>
  <si>
    <t xml:space="preserve">Maize groundnuts simsim </t>
  </si>
  <si>
    <t xml:space="preserve">Irrigation </t>
  </si>
  <si>
    <t xml:space="preserve">More crops </t>
  </si>
  <si>
    <t xml:space="preserve">Skills </t>
  </si>
  <si>
    <t>Unity is key</t>
  </si>
  <si>
    <t>https://kf.kobotoolbox.org/api/v2/assets/a2jMyW8dsvtwpYHzQMRFCn/data/589847209/attachments/atttRtQ2DP64gD2sopuxzyt4/</t>
  </si>
  <si>
    <t>0.8232171 34.8651779 1761.37 1.958</t>
  </si>
  <si>
    <t>Jane namalwa</t>
  </si>
  <si>
    <t>Other (specify)</t>
  </si>
  <si>
    <t xml:space="preserve">Small bussiness and crop farming </t>
  </si>
  <si>
    <t>0</t>
  </si>
  <si>
    <t xml:space="preserve">On how to do irrigation </t>
  </si>
  <si>
    <t xml:space="preserve">Their's  an increase  in yields </t>
  </si>
  <si>
    <t xml:space="preserve">Their's  an increase in yields </t>
  </si>
  <si>
    <t xml:space="preserve">The farmer  has gained skills </t>
  </si>
  <si>
    <t xml:space="preserve">Advanced  training  and support  irrigation </t>
  </si>
  <si>
    <t>https://kf.kobotoolbox.org/api/v2/assets/a2jMyW8dsvtwpYHzQMRFCn/data/589854368/attachments/attNXZDbMVNtRt3HWmsmwBeH/</t>
  </si>
  <si>
    <t>0.8233424 34.8649141 1716.0 4.6</t>
  </si>
  <si>
    <t>Lilian Wamalwa</t>
  </si>
  <si>
    <t>46,000</t>
  </si>
  <si>
    <t>Sold new/different types of crops Sold processed products (e.g., flour, jam) Sold crops for a better price Sold more of the same crops (higher yield)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</si>
  <si>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</si>
  <si>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 xml:space="preserve">Kitchen garden , irrigation </t>
  </si>
  <si>
    <t xml:space="preserve">Mulching , irrigation </t>
  </si>
  <si>
    <t>The old ones required incomes fir you to do farming</t>
  </si>
  <si>
    <t>Better market access Advanced business training Access to loans/credit More support for irrigation</t>
  </si>
  <si>
    <t>Gained knowledge and practiced on my farm</t>
  </si>
  <si>
    <t xml:space="preserve">The training was much better okay </t>
  </si>
  <si>
    <t xml:space="preserve">Start on diary farm,dril water for better irrigation </t>
  </si>
  <si>
    <t>Focus on more trainings ,</t>
  </si>
  <si>
    <t>https://kf.kobotoolbox.org/api/v2/assets/a2jMyW8dsvtwpYHzQMRFCn/data/589856004/attachments/attAKYpHcpbQRFj8LkxzjNaY/</t>
  </si>
  <si>
    <t>0.8316877 34.8652528 1755.5 4.933</t>
  </si>
  <si>
    <t>Jetri Wekesa</t>
  </si>
  <si>
    <t>Bananas avocado sweet potatoes</t>
  </si>
  <si>
    <t>Cassava Irish potato oranges</t>
  </si>
  <si>
    <t>150000</t>
  </si>
  <si>
    <t>Knowing which drought-tolerant or early-maturing crops to plant Skills in soil conservation (e.g., composting, mulching) Knowledge of agroecological methods (e.g., intercropping)</t>
  </si>
  <si>
    <t>Improved my soil (with compost, cover crops) Started a kitchen garden for household food Joined a group that provides support/shared resources</t>
  </si>
  <si>
    <t>High production</t>
  </si>
  <si>
    <t>Tanks and water can</t>
  </si>
  <si>
    <t>Seek advice whenever they need</t>
  </si>
  <si>
    <t>https://kf.kobotoolbox.org/api/v2/assets/a2jMyW8dsvtwpYHzQMRFCn/data/589856440/attachments/attZvSqPkSuPvCiwdNpqnytM/</t>
  </si>
  <si>
    <t>0.8231722 34.865169 1734.798 0.908</t>
  </si>
  <si>
    <t>SIKHENDU</t>
  </si>
  <si>
    <t xml:space="preserve"> CHRISTINE NASIMIYU MULONGO</t>
  </si>
  <si>
    <t>125</t>
  </si>
  <si>
    <t>Vegetables 
Sweet potatoes 
Arrow root</t>
  </si>
  <si>
    <t xml:space="preserve">8 </t>
  </si>
  <si>
    <t xml:space="preserve">
Arrow root
Sweet potatoes 
Vegetables </t>
  </si>
  <si>
    <t xml:space="preserve">Empowerment like cattle and more trainings </t>
  </si>
  <si>
    <t>More knowledge to elders</t>
  </si>
  <si>
    <t xml:space="preserve">How to plant crops </t>
  </si>
  <si>
    <t xml:space="preserve">Higher products </t>
  </si>
  <si>
    <t xml:space="preserve">It was essentially to learn </t>
  </si>
  <si>
    <t xml:space="preserve">Put more training of leadership </t>
  </si>
  <si>
    <t>Hold meetings at more convenient times Have separate sessions for youth Ensure materials are affordable for the poorest Provide childcare during activities</t>
  </si>
  <si>
    <t xml:space="preserve">To continue with projects </t>
  </si>
  <si>
    <t>https://kf.kobotoolbox.org/api/v2/assets/a2jMyW8dsvtwpYHzQMRFCn/data/589856661/attachments/attb7EjLrDYjxQ4eTj9GgCEg/</t>
  </si>
  <si>
    <t>0.8234057 34.8649658 1750.021 1.293</t>
  </si>
  <si>
    <t>Violet Muliro</t>
  </si>
  <si>
    <t xml:space="preserve">Vegetables 
Fruits
Maize </t>
  </si>
  <si>
    <t xml:space="preserve">Vegetables 
Fruits 
Maize </t>
  </si>
  <si>
    <t>Implemented a water harvesting system (e.g., water pan, tank) Improved my soil (with compost, cover crops) Adopted a new farming practice (e.g., zai pits, contour farming) Diversified the crops I grow</t>
  </si>
  <si>
    <t xml:space="preserve">Training about poultry and empowerment </t>
  </si>
  <si>
    <t xml:space="preserve">Alot of knowledge </t>
  </si>
  <si>
    <t xml:space="preserve">Methods of planting </t>
  </si>
  <si>
    <t xml:space="preserve">Higher education and yields </t>
  </si>
  <si>
    <t xml:space="preserve">Easy to learn </t>
  </si>
  <si>
    <t xml:space="preserve">More education </t>
  </si>
  <si>
    <t xml:space="preserve">To continue with more women empowerment </t>
  </si>
  <si>
    <t>https://kf.kobotoolbox.org/api/v2/assets/a2jMyW8dsvtwpYHzQMRFCn/data/589856693/attachments/attmSke97ujuGVykqZtExsJG/</t>
  </si>
  <si>
    <t>0.8233471 34.8650483 1750.885 2.083</t>
  </si>
  <si>
    <t>ZIPORAH NAMWENYA</t>
  </si>
  <si>
    <t>Maize 
Beans 
Banana</t>
  </si>
  <si>
    <t>26500</t>
  </si>
  <si>
    <t>Cassava
Sweet potatoes 
Beans</t>
  </si>
  <si>
    <t>Financial assistance for project.</t>
  </si>
  <si>
    <t xml:space="preserve">Skills on how to manage kitchen garden </t>
  </si>
  <si>
    <t xml:space="preserve">Increased productivity </t>
  </si>
  <si>
    <t xml:space="preserve">Relevant to learn </t>
  </si>
  <si>
    <t xml:space="preserve">More training </t>
  </si>
  <si>
    <t xml:space="preserve">To visit farmers regularly </t>
  </si>
  <si>
    <t xml:space="preserve">I was sick during that period </t>
  </si>
  <si>
    <t>https://kf.kobotoolbox.org/api/v2/assets/a2jMyW8dsvtwpYHzQMRFCn/data/589856735/attachments/attWxX5tBJ8UoMRWjNres4sC/</t>
  </si>
  <si>
    <t>0.8234088 34.8650868 1758.251 2.995</t>
  </si>
  <si>
    <t>Everline Wanjala</t>
  </si>
  <si>
    <t>Vegetables 
Banana</t>
  </si>
  <si>
    <t>Banana
Vegetables</t>
  </si>
  <si>
    <t>High cost of inputs/materials Lack of knowledge/confidence to do it alone Lack of access to water</t>
  </si>
  <si>
    <t>Water pumping machine and skills</t>
  </si>
  <si>
    <t>It has done great job</t>
  </si>
  <si>
    <t>Methods of how to manage small farms</t>
  </si>
  <si>
    <t>It was easy to learn</t>
  </si>
  <si>
    <t>More skills on leadership</t>
  </si>
  <si>
    <t>Regular teaching and awareness</t>
  </si>
  <si>
    <t>https://kf.kobotoolbox.org/api/v2/assets/a2jMyW8dsvtwpYHzQMRFCn/data/589856772/attachments/attDrKsC85eqAuKpGK8Lu3QP/</t>
  </si>
  <si>
    <t>0.823439 34.8651575 1723.181 2.45</t>
  </si>
  <si>
    <t xml:space="preserve">SIKHENDU </t>
  </si>
  <si>
    <t>JANE LUSIKE BARAZA</t>
  </si>
  <si>
    <t xml:space="preserve">Sweet potatoes 
Bananas 
Cassava </t>
  </si>
  <si>
    <t xml:space="preserve">Bananas 
Cassava 
Sweet potatoes </t>
  </si>
  <si>
    <t>Sold more of the same crops (higher yield) Sold new/different types of crops Sold crops for a better price Sold processed products (e.g., flour, jam) Sold seedlings or other farming inputs</t>
  </si>
  <si>
    <t xml:space="preserve">Employment/ more advice  to  our youth through mentorship </t>
  </si>
  <si>
    <t xml:space="preserve">More skills and knowledge </t>
  </si>
  <si>
    <t xml:space="preserve">Methods of farming </t>
  </si>
  <si>
    <t xml:space="preserve">Higher yield </t>
  </si>
  <si>
    <t xml:space="preserve">Efficient to learn </t>
  </si>
  <si>
    <t>Advanced business training A grant or loan to start a group enterprise Formal registration as a cooperative Training on leadership and governance</t>
  </si>
  <si>
    <t xml:space="preserve">Put more effort and encouragement to groups </t>
  </si>
  <si>
    <t>https://kf.kobotoolbox.org/api/v2/assets/a2jMyW8dsvtwpYHzQMRFCn/data/589856802/attachments/attYLiSTXkFt8eshdPxMvd4y/</t>
  </si>
  <si>
    <t>0.8233989 34.8651839 1707.526 3.039</t>
  </si>
  <si>
    <t>Philip Barasa</t>
  </si>
  <si>
    <t>Vegetables 
Maize</t>
  </si>
  <si>
    <t>Increased produce</t>
  </si>
  <si>
    <t>Improved farming practices</t>
  </si>
  <si>
    <t>Early delivery of materials</t>
  </si>
  <si>
    <t>Provide farm tools like wheelbarrow and gumboots</t>
  </si>
  <si>
    <t>https://kf.kobotoolbox.org/api/v2/assets/a2jMyW8dsvtwpYHzQMRFCn/data/589858411/attachments/att4dDXGgdtZWdcv7N9i8nqY/</t>
  </si>
  <si>
    <t>0.8316643 34.8652277 1755.266 0.617</t>
  </si>
  <si>
    <t>Selipher Ambuche</t>
  </si>
  <si>
    <t>Sold seedlings or other farming inputs Sold more of the same crops (higher yield) Sold crops for a better price</t>
  </si>
  <si>
    <t xml:space="preserve">The tank is small so the water will finish early. </t>
  </si>
  <si>
    <t>About drums, most of them need it</t>
  </si>
  <si>
    <t xml:space="preserve">She has money now, her neighbours buy the vegetables more. </t>
  </si>
  <si>
    <t xml:space="preserve">Manure has been of great help </t>
  </si>
  <si>
    <t>Nothing will stop me Other</t>
  </si>
  <si>
    <t xml:space="preserve">Age. She's old so she might not be able to continue </t>
  </si>
  <si>
    <t>My farmer group Other successful farmers I don't know where to go</t>
  </si>
  <si>
    <t>Better market access More support for irrigation</t>
  </si>
  <si>
    <t xml:space="preserve">The trainees were very understanding. </t>
  </si>
  <si>
    <t xml:space="preserve">Group should favor the old </t>
  </si>
  <si>
    <t>Ensure materials are affordable for the poorest Have separate sessions for youth</t>
  </si>
  <si>
    <t>A grant or loan to start a group enterprise Stronger links to buyers/markets Training on leadership and governance Formal registration as a cooperative</t>
  </si>
  <si>
    <t xml:space="preserve">Chicken farming 
Drill water </t>
  </si>
  <si>
    <t>https://kf.kobotoolbox.org/api/v2/assets/a2jMyW8dsvtwpYHzQMRFCn/data/589858653/attachments/attnQ9xCBQVuFUW3TZ6fxgj3/</t>
  </si>
  <si>
    <t>0.8260992 34.8661465 1743.01708984375 4.162</t>
  </si>
  <si>
    <t>Gladys Musungu</t>
  </si>
  <si>
    <t xml:space="preserve">Banana 
Sukuma
Cassava </t>
  </si>
  <si>
    <t>1250</t>
  </si>
  <si>
    <t>17.4</t>
  </si>
  <si>
    <t>21700</t>
  </si>
  <si>
    <t>High cost of inputs/materials Lack of access to water Climate conditions were too harsh (drought/floods)</t>
  </si>
  <si>
    <t xml:space="preserve">Teach how to be self reliant </t>
  </si>
  <si>
    <t xml:space="preserve">  Thay are copying Mulching </t>
  </si>
  <si>
    <t xml:space="preserve">New ways of dealing with pest and diseases </t>
  </si>
  <si>
    <t>There is peace and harmony amongst us</t>
  </si>
  <si>
    <t xml:space="preserve">Have youth classes </t>
  </si>
  <si>
    <t>A grant or loan to start a group enterprise Training on leadership and governance Stronger links to buyers/markets Formal registration as a cooperative</t>
  </si>
  <si>
    <t>Means of transport for those living far</t>
  </si>
  <si>
    <t>https://kf.kobotoolbox.org/api/v2/assets/a2jMyW8dsvtwpYHzQMRFCn/data/589859005/attachments/attYFAeRKmWRztYNnN3vs9Au/</t>
  </si>
  <si>
    <t>0.8260822 34.8662374 1784.49 1.747</t>
  </si>
  <si>
    <t>Esther wanikina</t>
  </si>
  <si>
    <t>Neighbour or friend</t>
  </si>
  <si>
    <t>Prob</t>
  </si>
  <si>
    <t>maize</t>
  </si>
  <si>
    <t>It was not a factor</t>
  </si>
  <si>
    <t>the group does noon consider all</t>
  </si>
  <si>
    <t>maybe if considered</t>
  </si>
  <si>
    <t>was not told</t>
  </si>
  <si>
    <t>no access to hat others were doing</t>
  </si>
  <si>
    <t>was not there</t>
  </si>
  <si>
    <t>Ahad nothing to do</t>
  </si>
  <si>
    <t>Not at all</t>
  </si>
  <si>
    <t>Not relevant at all</t>
  </si>
  <si>
    <t>Probably not</t>
  </si>
  <si>
    <t>no one reaches to me</t>
  </si>
  <si>
    <t>discrimination</t>
  </si>
  <si>
    <t>Consider the poor</t>
  </si>
  <si>
    <t>didn't go there</t>
  </si>
  <si>
    <t>discriminated</t>
  </si>
  <si>
    <t>should consider all</t>
  </si>
  <si>
    <t>consider others</t>
  </si>
  <si>
    <t>https://kf.kobotoolbox.org/api/v2/assets/a2jMyW8dsvtwpYHzQMRFCn/data/589859042/attachments/att4PhVzwwfq7vNbNLcxCDww/</t>
  </si>
  <si>
    <t>0.8231676 34.8650782 1691.8 4.48</t>
  </si>
  <si>
    <t>Narutenyeki</t>
  </si>
  <si>
    <t>Dorcas Lukoye</t>
  </si>
  <si>
    <t>Beans 
Groundnuts 
Greengrams</t>
  </si>
  <si>
    <t>24750</t>
  </si>
  <si>
    <t>Making of zai pits on the farm</t>
  </si>
  <si>
    <t xml:space="preserve">They are making zai pits and doing aggroforestry </t>
  </si>
  <si>
    <t>We were taught on how to establish sunken and raised beds</t>
  </si>
  <si>
    <t xml:space="preserve">The new project should help small farmer's find a good market for the produce </t>
  </si>
  <si>
    <t>https://kf.kobotoolbox.org/api/v2/assets/a2jMyW8dsvtwpYHzQMRFCn/data/589859256/attachments/attrFYAZhzrF4rzu9h5K8ufL/</t>
  </si>
  <si>
    <t>0.8260483 34.866105 1755.1 3.9</t>
  </si>
  <si>
    <t>Jeremiah Maiko</t>
  </si>
  <si>
    <t>I have improved crop yields</t>
  </si>
  <si>
    <t>Learned many new things</t>
  </si>
  <si>
    <t>Delivery should be on time</t>
  </si>
  <si>
    <t>Grant loans to purchase bigger lands</t>
  </si>
  <si>
    <t>https://kf.kobotoolbox.org/api/v2/assets/a2jMyW8dsvtwpYHzQMRFCn/data/589873491/attachments/attLYVvEemS2oJ798Pc9MZgT/</t>
  </si>
  <si>
    <t>0.8316697 34.8654296 1772.641 2.95</t>
  </si>
  <si>
    <t>Fanice Maria Otu</t>
  </si>
  <si>
    <t>Bananas,veges, sweetpotatoes</t>
  </si>
  <si>
    <t>105</t>
  </si>
  <si>
    <t>71,400</t>
  </si>
  <si>
    <t xml:space="preserve">Waiting for better market 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</si>
  <si>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</si>
  <si>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High-quality, practical training Seeing good results quickly Support and sharing within my farmer group Learning from demonstration farms The inputs provided were affordable/useful Support from project staff</t>
  </si>
  <si>
    <t>Climate conditions were too harsh (drought/floods) Pests/diseases affected new crops Lack of access to water High cost of inputs/materials Requires more labour/time Lack of knowledge/confidence to do it alone</t>
  </si>
  <si>
    <t xml:space="preserve">Compositing </t>
  </si>
  <si>
    <t>They don't consume allot of time and capital</t>
  </si>
  <si>
    <t xml:space="preserve">From the practicals I gained knowledge and practiced on my farm ,I have harvested more yields than before </t>
  </si>
  <si>
    <t xml:space="preserve">Nothing was challenging </t>
  </si>
  <si>
    <t xml:space="preserve">I don't think there's something different </t>
  </si>
  <si>
    <t xml:space="preserve">Bring more training </t>
  </si>
  <si>
    <t>I attended the training</t>
  </si>
  <si>
    <t>https://kf.kobotoolbox.org/api/v2/assets/a2jMyW8dsvtwpYHzQMRFCn/data/589874691/attachments/attzaenoMMt9AdQT5UBhfP9T/</t>
  </si>
  <si>
    <t>0.831758 34.8653169 1755.0999755859375 3.966</t>
  </si>
  <si>
    <t>Knight Mataga</t>
  </si>
  <si>
    <t>The inputs provided were affordable/useful</t>
  </si>
  <si>
    <t xml:space="preserve">Neighbors ask about the tank mostly. </t>
  </si>
  <si>
    <t xml:space="preserve">Some are copying mostly nursery beds </t>
  </si>
  <si>
    <t xml:space="preserve">Now her children are going for further studies. </t>
  </si>
  <si>
    <t>Better market access More support for irrigation Youth-specific programs Advanced business training</t>
  </si>
  <si>
    <t xml:space="preserve">They explained well and they all understood </t>
  </si>
  <si>
    <t xml:space="preserve">Need more information on mulching </t>
  </si>
  <si>
    <t>Training on leadership and governance A grant or loan to start a group enterprise Advanced business training Formal registration as a cooperative</t>
  </si>
  <si>
    <t xml:space="preserve">Water pump
Chicken farming </t>
  </si>
  <si>
    <t>https://kf.kobotoolbox.org/api/v2/assets/a2jMyW8dsvtwpYHzQMRFCn/data/589875466/attachments/attEQHWkjSfnbgw9UzJgKN4g/</t>
  </si>
  <si>
    <t>0.826137 34.866 1725.454345703125 4.087</t>
  </si>
  <si>
    <t>William Wamacho</t>
  </si>
  <si>
    <t xml:space="preserve">I have not sold anything yet </t>
  </si>
  <si>
    <t>I teach them and invite them to come and learn with us</t>
  </si>
  <si>
    <t xml:space="preserve">Making kitchen garden </t>
  </si>
  <si>
    <t xml:space="preserve">Now I get high yield </t>
  </si>
  <si>
    <t xml:space="preserve">They teach well in the language that we understand </t>
  </si>
  <si>
    <t>Provide lunch</t>
  </si>
  <si>
    <t>https://kf.kobotoolbox.org/api/v2/assets/a2jMyW8dsvtwpYHzQMRFCn/data/589880662/attachments/attgffnQfqyJAPWn68SBX9T5/</t>
  </si>
  <si>
    <t>0.8260549 34.8660993 1644.967 1.532</t>
  </si>
  <si>
    <t>Natunyeke</t>
  </si>
  <si>
    <t>Getrude Musungu</t>
  </si>
  <si>
    <t xml:space="preserve">Bananas 
Fruits 
Sukumawiki </t>
  </si>
  <si>
    <t xml:space="preserve">Bananas 
Greengrams
Cassava </t>
  </si>
  <si>
    <t>16500</t>
  </si>
  <si>
    <t xml:space="preserve">Making of kithen garden and food forest </t>
  </si>
  <si>
    <t xml:space="preserve">In the food forest fruits has increased in production </t>
  </si>
  <si>
    <t xml:space="preserve">The production of fruits has increased </t>
  </si>
  <si>
    <t xml:space="preserve">Planting of seedlings in the sockets </t>
  </si>
  <si>
    <t>To atleast look the readily market for the farmers produce because many are perishable</t>
  </si>
  <si>
    <t>https://kf.kobotoolbox.org/api/v2/assets/a2jMyW8dsvtwpYHzQMRFCn/data/589881138/attachments/attrsGVPZR8haFuPkXyth7Mg/</t>
  </si>
  <si>
    <t>0.8260867 34.866105 1767.6 4.0</t>
  </si>
  <si>
    <t>Konoini</t>
  </si>
  <si>
    <t xml:space="preserve">Gabriel Karanaini </t>
  </si>
  <si>
    <t>Black shade , soya beans ,beans</t>
  </si>
  <si>
    <t xml:space="preserve">Beans , soyabean , Maize </t>
  </si>
  <si>
    <t>75000</t>
  </si>
  <si>
    <t>Sold seedlings or other farming inputs Sold more of the same crops (higher yield)</t>
  </si>
  <si>
    <t>Skills in soil conservation (e.g., composting, mulching) Knowledge of agroecological methods (e.g., intercropping) Skills in planning for climate risks</t>
  </si>
  <si>
    <t>Improved my soil (with compost, cover crops) Implemented a water harvesting system (e.g., water pan, tank)</t>
  </si>
  <si>
    <t xml:space="preserve">Sack garden </t>
  </si>
  <si>
    <t xml:space="preserve">Increased production of crops </t>
  </si>
  <si>
    <t xml:space="preserve">Training was good </t>
  </si>
  <si>
    <t xml:space="preserve">Provide crafted crops </t>
  </si>
  <si>
    <t xml:space="preserve">Start table banking </t>
  </si>
  <si>
    <t>https://kf.kobotoolbox.org/api/v2/assets/a2jMyW8dsvtwpYHzQMRFCn/data/589885735/attachments/attyUpJM9TvQWcnLWmxALEHX/</t>
  </si>
  <si>
    <t>0.8232961 34.8649566 1751.813 1.655</t>
  </si>
  <si>
    <t>Emily Chakwa</t>
  </si>
  <si>
    <t>Maize,veges,Beans</t>
  </si>
  <si>
    <t>47,000</t>
  </si>
  <si>
    <t>Sold new/different types of crops Sold crops for a better price Sold more of the same crops (higher yield)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</si>
  <si>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</si>
  <si>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High-quality, practical training Support from project staff Support and sharing within my farmer group Learning from demonstration farms Seeing good results quickly The inputs provided were affordable/useful</t>
  </si>
  <si>
    <t xml:space="preserve">Drip irrigation, composting </t>
  </si>
  <si>
    <t>We harvest More yields than before</t>
  </si>
  <si>
    <t xml:space="preserve">I adopted the practicals ,and practiced on my farm </t>
  </si>
  <si>
    <t xml:space="preserve">Nothing focus on more Educational trainings </t>
  </si>
  <si>
    <t>Hold meetings at more convenient times Ensure materials are affordable for the poorest It was inclusive enough Have separate sessions for youth</t>
  </si>
  <si>
    <t>Help our groups to grow more</t>
  </si>
  <si>
    <t>https://kf.kobotoolbox.org/api/v2/assets/a2jMyW8dsvtwpYHzQMRFCn/data/589893836/attachments/atto4MYF9JnVJsucMeh4Y5pM/</t>
  </si>
  <si>
    <t>0.8317702 34.8653551 1728.8 4.74</t>
  </si>
  <si>
    <t>Lilian Juma</t>
  </si>
  <si>
    <t>Project training – DESECE Family member Neighbour or friend</t>
  </si>
  <si>
    <t xml:space="preserve">Matunda </t>
  </si>
  <si>
    <t>Celestine Wanjala</t>
  </si>
  <si>
    <t xml:space="preserve">Learned how to be self independent </t>
  </si>
  <si>
    <t>Help farmers get farming basic tools like wheelbarrows</t>
  </si>
  <si>
    <t>https://kf.kobotoolbox.org/api/v2/assets/a2jMyW8dsvtwpYHzQMRFCn/data/589893962/attachments/attBmVuFVKWTMg9PBKWJm8bF/</t>
  </si>
  <si>
    <t>0.8316251 34.8653843 1763.351 2.31</t>
  </si>
  <si>
    <t>Jane Mulongo Matanda</t>
  </si>
  <si>
    <t>Sold more of the same crops (higher yield) Sold seedlings or other farming inputs Sold processed products (e.g., flour, jam) Sold crops for a better price Sold new/different types of crops</t>
  </si>
  <si>
    <t>High cost of inputs/materials Requires more labour/time Lack of knowledge/confidence to do it alone</t>
  </si>
  <si>
    <t xml:space="preserve">The fruits and vegetables 
</t>
  </si>
  <si>
    <t>They've copied the mulching process</t>
  </si>
  <si>
    <t>No more buying vegetables and fruits, she has it now</t>
  </si>
  <si>
    <t>Advanced business training Youth-specific programs Access to loans/credit</t>
  </si>
  <si>
    <t xml:space="preserve">She now has water all the time. </t>
  </si>
  <si>
    <t>Choose other leaders</t>
  </si>
  <si>
    <t>Hold meetings at more convenient times It was inclusive enough Have separate sessions for youth Ensure materials are affordable for the poorest</t>
  </si>
  <si>
    <t>Drill boreholes in cases of drought</t>
  </si>
  <si>
    <t>https://kf.kobotoolbox.org/api/v2/assets/a2jMyW8dsvtwpYHzQMRFCn/data/589894792/attachments/atteoHCfJCfK4VXA6v8jTmWZ/</t>
  </si>
  <si>
    <t>0.8260988 34.8660098 1730.6875 4.632</t>
  </si>
  <si>
    <t>Peris Nyongesa</t>
  </si>
  <si>
    <t>Knowing how to harvest and store rainwater Knowing which drought-tolerant or early-maturing crops to plant Skills in planning for climate risks Knowledge of agroecological methods (e.g., intercropping)</t>
  </si>
  <si>
    <t>Implemented a water harvesting system (e.g., water pan, tank) Diversified the crops I grow Adopted a new farming practice (e.g., zai pits, contour farming) Started a kitchen garden for household food</t>
  </si>
  <si>
    <t xml:space="preserve">Men are less compared to women </t>
  </si>
  <si>
    <t xml:space="preserve">How to make compost manure </t>
  </si>
  <si>
    <t>Planting cover crops</t>
  </si>
  <si>
    <t xml:space="preserve">There is a slight increase in yield </t>
  </si>
  <si>
    <t xml:space="preserve">The do more follow up </t>
  </si>
  <si>
    <t xml:space="preserve">Provide means of transport to us </t>
  </si>
  <si>
    <t>https://kf.kobotoolbox.org/api/v2/assets/a2jMyW8dsvtwpYHzQMRFCn/data/589898892/attachments/attJ2Dvgxop4oB6U6SBWenFN/</t>
  </si>
  <si>
    <t>0.8262597 34.8660675 1768.557 10.342</t>
  </si>
  <si>
    <t>Henry Namisi</t>
  </si>
  <si>
    <t>Soyabean , groundnut,beans</t>
  </si>
  <si>
    <t>Millet , greengrams ,kales</t>
  </si>
  <si>
    <t>Knowledge on new farming methods</t>
  </si>
  <si>
    <t>Soil fertility has improved</t>
  </si>
  <si>
    <t>Tanks and water cans</t>
  </si>
  <si>
    <t>They should work hard</t>
  </si>
  <si>
    <t>https://kf.kobotoolbox.org/api/v2/assets/a2jMyW8dsvtwpYHzQMRFCn/data/589899331/attachments/attr7mEhwoYwCnUXWeZFKRRq/</t>
  </si>
  <si>
    <t>0.8231077 34.8650201 1733.073 1.629</t>
  </si>
  <si>
    <t>Scholastica Wakwe</t>
  </si>
  <si>
    <t xml:space="preserve">Beans yams soyabeans </t>
  </si>
  <si>
    <t xml:space="preserve">Knowledge on new farming methods </t>
  </si>
  <si>
    <t xml:space="preserve">We learned new skills </t>
  </si>
  <si>
    <t>They should be ready for challenges</t>
  </si>
  <si>
    <t>https://kf.kobotoolbox.org/api/v2/assets/a2jMyW8dsvtwpYHzQMRFCn/data/589910106/attachments/attjBCEZYENjM5tytmhPGfDU/</t>
  </si>
  <si>
    <t>0.8230509 34.8650433 1729.157 1.975</t>
  </si>
  <si>
    <t>MARY WAKOLI</t>
  </si>
  <si>
    <t>Beans,vegetables and maize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</si>
  <si>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</si>
  <si>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Support from project staff High-quality, practical training Learning from demonstration farms Support and sharing within my farmer group</t>
  </si>
  <si>
    <t>Kitchen garden and composite manure</t>
  </si>
  <si>
    <t>Kitchen garden have improved nutrition and income from 2 of my neighbours</t>
  </si>
  <si>
    <t>Cone garden,mulching and composite manure are easy to practice</t>
  </si>
  <si>
    <t>My farmer group Other successful farmers Government extension officer</t>
  </si>
  <si>
    <t>Advanced business training More support for irrigation</t>
  </si>
  <si>
    <t>Learnt new skills practically and implemented at home</t>
  </si>
  <si>
    <t>Inadequate time to attend session</t>
  </si>
  <si>
    <t>Schedule on weekend when am not busy</t>
  </si>
  <si>
    <t>Increase field facilitation for participation</t>
  </si>
  <si>
    <t>ECCRAS project activities Friend/family/community member Government officer/health worker</t>
  </si>
  <si>
    <t>https://kf.kobotoolbox.org/api/v2/assets/a2jMyW8dsvtwpYHzQMRFCn/data/589917204/attachments/attMXMwPxGTh6UwAdVygAbSj/</t>
  </si>
  <si>
    <t>0.8317513 34.8652664 1743.163818359375 4.716</t>
  </si>
  <si>
    <t>Ndengu
Beans
Soya</t>
  </si>
  <si>
    <t>52</t>
  </si>
  <si>
    <t>30.8</t>
  </si>
  <si>
    <t>Knowing how to harvest and store rainwater Skills in soil conservation (e.g., composting, mulching) Knowing which drought-tolerant or early-maturing crops to plant Knowledge of agroecological methods (e.g., intercropping)</t>
  </si>
  <si>
    <t xml:space="preserve">Where I got new knowledge </t>
  </si>
  <si>
    <t xml:space="preserve">Yield has increased </t>
  </si>
  <si>
    <t>Access to loans/credit More support for irrigation Better market access</t>
  </si>
  <si>
    <t xml:space="preserve">We were given tanks which are very useful </t>
  </si>
  <si>
    <t xml:space="preserve">Provide us with wheelbarrows and spades </t>
  </si>
  <si>
    <t xml:space="preserve">I was present </t>
  </si>
  <si>
    <t>https://kf.kobotoolbox.org/api/v2/assets/a2jMyW8dsvtwpYHzQMRFCn/data/589926580/attachments/att3NgcEFzeAmeJHJNHtrUEb/</t>
  </si>
  <si>
    <t>0.8262513 34.8659522 1746.98 4.66</t>
  </si>
  <si>
    <t>Rose Wanjala</t>
  </si>
  <si>
    <t>Maize ,beans , bananas</t>
  </si>
  <si>
    <t>Bananas,maize ,beans</t>
  </si>
  <si>
    <t>Harvests have increased</t>
  </si>
  <si>
    <t>It was more effective</t>
  </si>
  <si>
    <t>They should seek advice whenever needed</t>
  </si>
  <si>
    <t>https://kf.kobotoolbox.org/api/v2/assets/a2jMyW8dsvtwpYHzQMRFCn/data/589935979/attachments/attwnLHmuy2VFJMEAVriPMcp/</t>
  </si>
  <si>
    <t>0.823198 34.8649473 1733.886 4.933</t>
  </si>
  <si>
    <t>Alice Makawa</t>
  </si>
  <si>
    <t>Beans soyabean onions</t>
  </si>
  <si>
    <t>Cassava,beans , soyabeans</t>
  </si>
  <si>
    <t>Started a kitchen garden for household food Adopted a new farming practice (e.g., zai pits, contour farming) Improved my soil (with compost, cover crops)</t>
  </si>
  <si>
    <t>Aquired More skills</t>
  </si>
  <si>
    <t>Provision of more education on farming</t>
  </si>
  <si>
    <t>https://kf.kobotoolbox.org/api/v2/assets/a2jMyW8dsvtwpYHzQMRFCn/data/589950490/attachments/attETtjxmD56mbFdkcyb3RQA/</t>
  </si>
  <si>
    <t>0.823131 34.8650437 1743.183 0.912</t>
  </si>
  <si>
    <t>Topister soifa</t>
  </si>
  <si>
    <t>lack of market</t>
  </si>
  <si>
    <t>about farming in general</t>
  </si>
  <si>
    <t>pumping gadget</t>
  </si>
  <si>
    <t>training was good</t>
  </si>
  <si>
    <t>inputs we're expensive</t>
  </si>
  <si>
    <t>Could support their farmers</t>
  </si>
  <si>
    <t>employ more officers,to reach more</t>
  </si>
  <si>
    <t>https://kf.kobotoolbox.org/api/v2/assets/a2jMyW8dsvtwpYHzQMRFCn/data/589955609/attachments/attMciVceqtMpjJgKUNGWn3z/</t>
  </si>
  <si>
    <t>0.83179 34.865295 1764.6 3.28</t>
  </si>
  <si>
    <t>DATA PREPARATIONS</t>
  </si>
  <si>
    <t>Female Respondents</t>
  </si>
  <si>
    <t>Male Respondents</t>
  </si>
  <si>
    <t>Total Respondents</t>
  </si>
  <si>
    <t xml:space="preserve">County </t>
  </si>
  <si>
    <t>Sub Locations</t>
  </si>
  <si>
    <t>Total Sample</t>
  </si>
  <si>
    <t>Mt. Elgon</t>
  </si>
  <si>
    <t>Total Sample Population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</si>
</sst>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2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0" fillId="40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1" borderId="12" applyNumberFormat="0" applyAlignment="0" applyProtection="0">
      <alignment vertical="center"/>
    </xf>
    <xf numFmtId="0" fontId="19" fillId="42" borderId="13" applyNumberFormat="0" applyAlignment="0" applyProtection="0">
      <alignment vertical="center"/>
    </xf>
    <xf numFmtId="0" fontId="20" fillId="42" borderId="12" applyNumberFormat="0" applyAlignment="0" applyProtection="0">
      <alignment vertical="center"/>
    </xf>
    <xf numFmtId="0" fontId="21" fillId="43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6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6" fillId="61" borderId="0" applyNumberFormat="0" applyBorder="0" applyAlignment="0" applyProtection="0">
      <alignment vertical="center"/>
    </xf>
    <xf numFmtId="0" fontId="26" fillId="62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6" fillId="65" borderId="0" applyNumberFormat="0" applyBorder="0" applyAlignment="0" applyProtection="0">
      <alignment vertical="center"/>
    </xf>
    <xf numFmtId="0" fontId="26" fillId="66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6" fillId="69" borderId="0" applyNumberFormat="0" applyBorder="0" applyAlignment="0" applyProtection="0">
      <alignment vertical="center"/>
    </xf>
  </cellStyleXfs>
  <cellXfs count="99">
    <xf numFmtId="0" fontId="0" fillId="0" borderId="0" xfId="0"/>
    <xf numFmtId="0" fontId="1" fillId="2" borderId="0" xfId="24"/>
    <xf numFmtId="0" fontId="0" fillId="0" borderId="1" xfId="0" applyBorder="1"/>
    <xf numFmtId="0" fontId="2" fillId="3" borderId="0" xfId="0" applyFont="1" applyFill="1" applyAlignment="1">
      <alignment vertical="center"/>
    </xf>
    <xf numFmtId="0" fontId="3" fillId="0" borderId="0" xfId="0" applyFont="1" applyAlignment="1"/>
    <xf numFmtId="0" fontId="4" fillId="2" borderId="0" xfId="24" applyFont="1" applyAlignment="1"/>
    <xf numFmtId="0" fontId="0" fillId="0" borderId="0" xfId="0" applyAlignment="1"/>
    <xf numFmtId="0" fontId="5" fillId="0" borderId="0" xfId="0" applyFont="1" applyAlignment="1"/>
    <xf numFmtId="0" fontId="1" fillId="2" borderId="0" xfId="24" applyAlignment="1"/>
    <xf numFmtId="0" fontId="0" fillId="4" borderId="0" xfId="0" applyFill="1"/>
    <xf numFmtId="0" fontId="6" fillId="5" borderId="0" xfId="0" applyFont="1" applyFill="1" applyAlignment="1">
      <alignment vertical="center"/>
    </xf>
    <xf numFmtId="0" fontId="7" fillId="6" borderId="0" xfId="0" applyFont="1" applyFill="1" applyBorder="1" applyAlignment="1"/>
    <xf numFmtId="0" fontId="7" fillId="7" borderId="0" xfId="0" applyFont="1" applyFill="1" applyAlignment="1"/>
    <xf numFmtId="0" fontId="7" fillId="8" borderId="0" xfId="0" applyFont="1" applyFill="1" applyAlignment="1"/>
    <xf numFmtId="0" fontId="3" fillId="0" borderId="1" xfId="0" applyFont="1" applyBorder="1" applyAlignment="1"/>
    <xf numFmtId="0" fontId="0" fillId="0" borderId="1" xfId="0" applyBorder="1" applyAlignment="1"/>
    <xf numFmtId="0" fontId="0" fillId="4" borderId="0" xfId="0" applyFill="1" applyAlignment="1"/>
    <xf numFmtId="0" fontId="0" fillId="9" borderId="2" xfId="0" applyFill="1" applyBorder="1"/>
    <xf numFmtId="0" fontId="0" fillId="9" borderId="3" xfId="0" applyFill="1" applyBorder="1" applyAlignment="1"/>
    <xf numFmtId="0" fontId="0" fillId="0" borderId="4" xfId="0" applyBorder="1"/>
    <xf numFmtId="0" fontId="0" fillId="10" borderId="1" xfId="0" applyFill="1" applyBorder="1"/>
    <xf numFmtId="0" fontId="0" fillId="11" borderId="1" xfId="0" applyFill="1" applyBorder="1"/>
    <xf numFmtId="0" fontId="3" fillId="0" borderId="5" xfId="0" applyFont="1" applyBorder="1"/>
    <xf numFmtId="0" fontId="3" fillId="12" borderId="6" xfId="0" applyFont="1" applyFill="1" applyBorder="1"/>
    <xf numFmtId="0" fontId="3" fillId="3" borderId="7" xfId="0" applyFont="1" applyFill="1" applyBorder="1"/>
    <xf numFmtId="0" fontId="3" fillId="0" borderId="0" xfId="0" applyFont="1"/>
    <xf numFmtId="0" fontId="3" fillId="0" borderId="8" xfId="0" applyFont="1" applyBorder="1"/>
    <xf numFmtId="0" fontId="0" fillId="0" borderId="8" xfId="0" applyBorder="1"/>
    <xf numFmtId="0" fontId="2" fillId="0" borderId="0" xfId="0" applyFont="1"/>
    <xf numFmtId="0" fontId="0" fillId="0" borderId="0" xfId="0" applyBorder="1"/>
    <xf numFmtId="0" fontId="2" fillId="10" borderId="0" xfId="0" applyFont="1" applyFill="1" applyAlignment="1"/>
    <xf numFmtId="0" fontId="8" fillId="13" borderId="0" xfId="0" applyFont="1" applyFill="1" applyAlignment="1"/>
    <xf numFmtId="0" fontId="7" fillId="11" borderId="0" xfId="0" applyFont="1" applyFill="1" applyAlignment="1"/>
    <xf numFmtId="0" fontId="7" fillId="14" borderId="0" xfId="0" applyFont="1" applyFill="1" applyAlignment="1"/>
    <xf numFmtId="0" fontId="7" fillId="15" borderId="0" xfId="0" applyFont="1" applyFill="1" applyAlignment="1"/>
    <xf numFmtId="0" fontId="7" fillId="16" borderId="0" xfId="0" applyFont="1" applyFill="1" applyAlignment="1"/>
    <xf numFmtId="0" fontId="5" fillId="4" borderId="0" xfId="0" applyFont="1" applyFill="1"/>
    <xf numFmtId="0" fontId="7" fillId="17" borderId="0" xfId="0" applyFont="1" applyFill="1" applyAlignment="1"/>
    <xf numFmtId="0" fontId="7" fillId="18" borderId="0" xfId="0" applyFont="1" applyFill="1" applyAlignment="1"/>
    <xf numFmtId="0" fontId="7" fillId="19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0" fillId="4" borderId="1" xfId="0" applyFill="1" applyBorder="1" applyAlignment="1"/>
    <xf numFmtId="0" fontId="7" fillId="11" borderId="1" xfId="0" applyFont="1" applyFill="1" applyBorder="1" applyAlignment="1"/>
    <xf numFmtId="0" fontId="7" fillId="4" borderId="0" xfId="0" applyFont="1" applyFill="1" applyAlignment="1"/>
    <xf numFmtId="0" fontId="7" fillId="22" borderId="0" xfId="0" applyFont="1" applyFill="1" applyAlignment="1"/>
    <xf numFmtId="0" fontId="7" fillId="3" borderId="0" xfId="0" applyFont="1" applyFill="1" applyAlignment="1"/>
    <xf numFmtId="0" fontId="7" fillId="6" borderId="0" xfId="0" applyFont="1" applyFill="1" applyAlignment="1"/>
    <xf numFmtId="0" fontId="7" fillId="23" borderId="1" xfId="0" applyFont="1" applyFill="1" applyBorder="1" applyAlignment="1"/>
    <xf numFmtId="0" fontId="7" fillId="18" borderId="1" xfId="0" applyFont="1" applyFill="1" applyBorder="1" applyAlignment="1"/>
    <xf numFmtId="0" fontId="7" fillId="6" borderId="1" xfId="0" applyFont="1" applyFill="1" applyBorder="1" applyAlignment="1"/>
    <xf numFmtId="0" fontId="7" fillId="22" borderId="1" xfId="0" applyFont="1" applyFill="1" applyBorder="1" applyAlignment="1"/>
    <xf numFmtId="0" fontId="7" fillId="15" borderId="1" xfId="0" applyFont="1" applyFill="1" applyBorder="1" applyAlignment="1"/>
    <xf numFmtId="0" fontId="7" fillId="24" borderId="0" xfId="0" applyFont="1" applyFill="1" applyAlignment="1"/>
    <xf numFmtId="0" fontId="7" fillId="23" borderId="0" xfId="0" applyFont="1" applyFill="1" applyAlignment="1"/>
    <xf numFmtId="0" fontId="0" fillId="17" borderId="1" xfId="0" applyFill="1" applyBorder="1" applyAlignment="1"/>
    <xf numFmtId="0" fontId="7" fillId="25" borderId="0" xfId="0" applyFont="1" applyFill="1" applyAlignment="1"/>
    <xf numFmtId="0" fontId="7" fillId="20" borderId="0" xfId="0" applyFont="1" applyFill="1" applyBorder="1" applyAlignment="1"/>
    <xf numFmtId="0" fontId="7" fillId="20" borderId="1" xfId="0" applyFont="1" applyFill="1" applyBorder="1" applyAlignment="1"/>
    <xf numFmtId="0" fontId="7" fillId="8" borderId="1" xfId="0" applyFont="1" applyFill="1" applyBorder="1" applyAlignment="1"/>
    <xf numFmtId="0" fontId="7" fillId="26" borderId="0" xfId="0" applyFont="1" applyFill="1" applyAlignment="1"/>
    <xf numFmtId="0" fontId="7" fillId="27" borderId="0" xfId="0" applyFont="1" applyFill="1" applyAlignment="1"/>
    <xf numFmtId="0" fontId="7" fillId="5" borderId="0" xfId="0" applyFont="1" applyFill="1" applyAlignment="1"/>
    <xf numFmtId="0" fontId="7" fillId="28" borderId="0" xfId="0" applyFont="1" applyFill="1" applyAlignment="1"/>
    <xf numFmtId="0" fontId="7" fillId="29" borderId="0" xfId="0" applyFont="1" applyFill="1" applyAlignment="1"/>
    <xf numFmtId="0" fontId="3" fillId="0" borderId="0" xfId="0" applyFont="1" applyBorder="1" applyAlignment="1"/>
    <xf numFmtId="0" fontId="0" fillId="0" borderId="0" xfId="0" applyBorder="1" applyAlignment="1"/>
    <xf numFmtId="0" fontId="0" fillId="4" borderId="0" xfId="0" applyFill="1" applyBorder="1" applyAlignment="1"/>
    <xf numFmtId="0" fontId="7" fillId="30" borderId="0" xfId="0" applyFont="1" applyFill="1" applyAlignment="1"/>
    <xf numFmtId="0" fontId="7" fillId="31" borderId="0" xfId="0" applyFont="1" applyFill="1" applyAlignment="1"/>
    <xf numFmtId="0" fontId="7" fillId="32" borderId="0" xfId="0" applyFont="1" applyFill="1" applyAlignment="1"/>
    <xf numFmtId="0" fontId="7" fillId="33" borderId="0" xfId="0" applyFont="1" applyFill="1" applyAlignment="1"/>
    <xf numFmtId="0" fontId="7" fillId="34" borderId="0" xfId="0" applyFont="1" applyFill="1" applyAlignment="1"/>
    <xf numFmtId="0" fontId="7" fillId="35" borderId="0" xfId="0" applyFont="1" applyFill="1" applyAlignment="1"/>
    <xf numFmtId="0" fontId="2" fillId="7" borderId="0" xfId="0" applyFont="1" applyFill="1" applyAlignment="1"/>
    <xf numFmtId="0" fontId="7" fillId="16" borderId="1" xfId="0" applyFont="1" applyFill="1" applyBorder="1" applyAlignment="1"/>
    <xf numFmtId="0" fontId="7" fillId="36" borderId="0" xfId="0" applyFont="1" applyFill="1" applyAlignment="1"/>
    <xf numFmtId="0" fontId="7" fillId="30" borderId="1" xfId="0" applyFont="1" applyFill="1" applyBorder="1" applyAlignment="1"/>
    <xf numFmtId="0" fontId="5" fillId="0" borderId="1" xfId="0" applyFont="1" applyBorder="1" applyAlignment="1"/>
    <xf numFmtId="0" fontId="2" fillId="6" borderId="0" xfId="0" applyFont="1" applyFill="1" applyAlignment="1"/>
    <xf numFmtId="0" fontId="7" fillId="10" borderId="0" xfId="0" applyFont="1" applyFill="1" applyAlignment="1"/>
    <xf numFmtId="0" fontId="7" fillId="37" borderId="0" xfId="0" applyFont="1" applyFill="1" applyAlignment="1"/>
    <xf numFmtId="0" fontId="2" fillId="33" borderId="0" xfId="0" applyFont="1" applyFill="1" applyAlignment="1"/>
    <xf numFmtId="0" fontId="7" fillId="38" borderId="0" xfId="0" applyFont="1" applyFill="1" applyAlignment="1"/>
    <xf numFmtId="0" fontId="7" fillId="39" borderId="0" xfId="0" applyFont="1" applyFill="1" applyAlignment="1"/>
    <xf numFmtId="0" fontId="7" fillId="27" borderId="4" xfId="0" applyFont="1" applyFill="1" applyBorder="1" applyAlignment="1"/>
    <xf numFmtId="0" fontId="7" fillId="12" borderId="1" xfId="0" applyFont="1" applyFill="1" applyBorder="1" applyAlignment="1"/>
    <xf numFmtId="0" fontId="7" fillId="6" borderId="4" xfId="0" applyFont="1" applyFill="1" applyBorder="1" applyAlignment="1"/>
    <xf numFmtId="0" fontId="7" fillId="8" borderId="4" xfId="0" applyFont="1" applyFill="1" applyBorder="1" applyAlignment="1"/>
    <xf numFmtId="0" fontId="7" fillId="8" borderId="0" xfId="0" applyFont="1" applyFill="1" applyBorder="1" applyAlignment="1"/>
    <xf numFmtId="0" fontId="6" fillId="6" borderId="0" xfId="0" applyFont="1" applyFill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6" borderId="4" xfId="0" applyFont="1" applyFill="1" applyBorder="1" applyAlignment="1"/>
    <xf numFmtId="0" fontId="7" fillId="36" borderId="0" xfId="0" applyFont="1" applyFill="1" applyBorder="1" applyAlignment="1"/>
    <xf numFmtId="0" fontId="9" fillId="0" borderId="0" xfId="6" applyAlignment="1" applyProtection="1"/>
    <xf numFmtId="0" fontId="9" fillId="4" borderId="0" xfId="6" applyFill="1" applyAlignment="1" applyProtection="1"/>
    <xf numFmtId="0" fontId="6" fillId="39" borderId="1" xfId="0" applyFont="1" applyFill="1" applyBorder="1" applyAlignment="1">
      <alignment vertical="center"/>
    </xf>
    <xf numFmtId="0" fontId="7" fillId="35" borderId="1" xfId="0" applyFont="1" applyFill="1" applyBorder="1" applyAlignment="1"/>
    <xf numFmtId="0" fontId="10" fillId="4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kf.kobotoolbox.org/api/v2/assets/a2jMyW8dsvtwpYHzQMRFCn/data/589789918/attachments/att6wicwmk6Hx6TBjCi98xXf/" TargetMode="External"/><Relationship Id="rId98" Type="http://schemas.openxmlformats.org/officeDocument/2006/relationships/hyperlink" Target="https://kf.kobotoolbox.org/api/v2/assets/a2jMyW8dsvtwpYHzQMRFCn/data/589789803/attachments/attUHH85WXKjnKQFHmhyFrhx/" TargetMode="External"/><Relationship Id="rId97" Type="http://schemas.openxmlformats.org/officeDocument/2006/relationships/hyperlink" Target="https://kf.kobotoolbox.org/api/v2/assets/a2jMyW8dsvtwpYHzQMRFCn/data/589789237/attachments/attkCGUaiikSEKyrLPntRrwk/" TargetMode="External"/><Relationship Id="rId96" Type="http://schemas.openxmlformats.org/officeDocument/2006/relationships/hyperlink" Target="https://kf.kobotoolbox.org/api/v2/assets/a2jMyW8dsvtwpYHzQMRFCn/data/589788394/attachments/att7BhZE2oUbyfF8kfg7t7SC/" TargetMode="External"/><Relationship Id="rId95" Type="http://schemas.openxmlformats.org/officeDocument/2006/relationships/hyperlink" Target="https://kf.kobotoolbox.org/api/v2/assets/a2jMyW8dsvtwpYHzQMRFCn/data/589783623/attachments/attgPegqNdBdYdkmgLSo9bJV/" TargetMode="External"/><Relationship Id="rId94" Type="http://schemas.openxmlformats.org/officeDocument/2006/relationships/hyperlink" Target="https://kf.kobotoolbox.org/api/v2/assets/a2jMyW8dsvtwpYHzQMRFCn/data/589783597/attachments/attBTCoMxhAGcYC9tmGHnGUj/" TargetMode="External"/><Relationship Id="rId93" Type="http://schemas.openxmlformats.org/officeDocument/2006/relationships/hyperlink" Target="https://kf.kobotoolbox.org/api/v2/assets/a2jMyW8dsvtwpYHzQMRFCn/data/589779979/attachments/atteCsyYaXSP2aV4hYDwEWfr/" TargetMode="External"/><Relationship Id="rId92" Type="http://schemas.openxmlformats.org/officeDocument/2006/relationships/hyperlink" Target="https://kf.kobotoolbox.org/api/v2/assets/a2jMyW8dsvtwpYHzQMRFCn/data/589775909/attachments/attLRy9ujX8FPzQaCiFJYuJC/" TargetMode="External"/><Relationship Id="rId91" Type="http://schemas.openxmlformats.org/officeDocument/2006/relationships/hyperlink" Target="https://kf.kobotoolbox.org/api/v2/assets/a2jMyW8dsvtwpYHzQMRFCn/data/589772993/attachments/attTzL873D57nfVSTMeuPYhG/" TargetMode="External"/><Relationship Id="rId90" Type="http://schemas.openxmlformats.org/officeDocument/2006/relationships/hyperlink" Target="https://kf.kobotoolbox.org/api/v2/assets/a2jMyW8dsvtwpYHzQMRFCn/data/589769592/attachments/attfQSBFaw7FD3Xiy8ge8N7n/" TargetMode="External"/><Relationship Id="rId9" Type="http://schemas.openxmlformats.org/officeDocument/2006/relationships/hyperlink" Target="https://kf.kobotoolbox.org/api/v2/assets/a2jMyW8dsvtwpYHzQMRFCn/data/588171842/attachments/attEsdEyxQKRyh9XQfW78KtW/" TargetMode="External"/><Relationship Id="rId89" Type="http://schemas.openxmlformats.org/officeDocument/2006/relationships/hyperlink" Target="https://kf.kobotoolbox.org/api/v2/assets/a2jMyW8dsvtwpYHzQMRFCn/data/589767860/attachments/attFpqomVMXzU7xymRJ2szf5/" TargetMode="External"/><Relationship Id="rId88" Type="http://schemas.openxmlformats.org/officeDocument/2006/relationships/hyperlink" Target="https://kf.kobotoolbox.org/api/v2/assets/a2jMyW8dsvtwpYHzQMRFCn/data/589299695/attachments/attR7qdNxYK9fs7HTsJL38pE/" TargetMode="External"/><Relationship Id="rId87" Type="http://schemas.openxmlformats.org/officeDocument/2006/relationships/hyperlink" Target="https://kf.kobotoolbox.org/api/v2/assets/a2jMyW8dsvtwpYHzQMRFCn/data/589297571/attachments/attpb2EBaKf8grnQnR6vFQbG/" TargetMode="External"/><Relationship Id="rId86" Type="http://schemas.openxmlformats.org/officeDocument/2006/relationships/hyperlink" Target="https://kf.kobotoolbox.org/api/v2/assets/a2jMyW8dsvtwpYHzQMRFCn/data/589289692/attachments/attDQN6xkVetBwRfi29hwxt5/" TargetMode="External"/><Relationship Id="rId85" Type="http://schemas.openxmlformats.org/officeDocument/2006/relationships/hyperlink" Target="https://kf.kobotoolbox.org/api/v2/assets/a2jMyW8dsvtwpYHzQMRFCn/data/589282634/attachments/attp7vYKMigVeJgboq7L4x8U/" TargetMode="External"/><Relationship Id="rId84" Type="http://schemas.openxmlformats.org/officeDocument/2006/relationships/hyperlink" Target="https://kf.kobotoolbox.org/api/v2/assets/a2jMyW8dsvtwpYHzQMRFCn/data/589277934/attachments/att3cA7pkEKxSKJB7jh8DrdQ/" TargetMode="External"/><Relationship Id="rId83" Type="http://schemas.openxmlformats.org/officeDocument/2006/relationships/hyperlink" Target="https://kf.kobotoolbox.org/api/v2/assets/a2jMyW8dsvtwpYHzQMRFCn/data/589270401/attachments/attPNBY8CWrtnQGtNAN9hkEU/" TargetMode="External"/><Relationship Id="rId82" Type="http://schemas.openxmlformats.org/officeDocument/2006/relationships/hyperlink" Target="https://kf.kobotoolbox.org/api/v2/assets/a2jMyW8dsvtwpYHzQMRFCn/data/589269790/attachments/attFhnwbtXGnvLnzom7RsHSP/" TargetMode="External"/><Relationship Id="rId81" Type="http://schemas.openxmlformats.org/officeDocument/2006/relationships/hyperlink" Target="https://kf.kobotoolbox.org/api/v2/assets/a2jMyW8dsvtwpYHzQMRFCn/data/589258225/attachments/attfZ37ALQKMvzqUqx3LUNz9/" TargetMode="External"/><Relationship Id="rId80" Type="http://schemas.openxmlformats.org/officeDocument/2006/relationships/hyperlink" Target="https://kf.kobotoolbox.org/api/v2/assets/a2jMyW8dsvtwpYHzQMRFCn/data/589239247/attachments/attq86Cs3CkPmzsZjapMwQqZ/" TargetMode="External"/><Relationship Id="rId8" Type="http://schemas.openxmlformats.org/officeDocument/2006/relationships/hyperlink" Target="https://kf.kobotoolbox.org/api/v2/assets/a2jMyW8dsvtwpYHzQMRFCn/data/588130279/attachments/attH6BJifjbx5uxRqCMzmHGW/" TargetMode="External"/><Relationship Id="rId79" Type="http://schemas.openxmlformats.org/officeDocument/2006/relationships/hyperlink" Target="https://kf.kobotoolbox.org/api/v2/assets/a2jMyW8dsvtwpYHzQMRFCn/data/589230247/attachments/attvBZupMFAmfYgj7oZd4QAB/" TargetMode="External"/><Relationship Id="rId78" Type="http://schemas.openxmlformats.org/officeDocument/2006/relationships/hyperlink" Target="https://kf.kobotoolbox.org/api/v2/assets/a2jMyW8dsvtwpYHzQMRFCn/data/589223213/attachments/attNFEHBnk6eCo7i3DFDrCQP/" TargetMode="External"/><Relationship Id="rId77" Type="http://schemas.openxmlformats.org/officeDocument/2006/relationships/hyperlink" Target="https://kf.kobotoolbox.org/api/v2/assets/a2jMyW8dsvtwpYHzQMRFCn/data/589219068/attachments/att5rZqoSJLZ6ZbyxakpWsou/" TargetMode="External"/><Relationship Id="rId76" Type="http://schemas.openxmlformats.org/officeDocument/2006/relationships/hyperlink" Target="https://kf.kobotoolbox.org/api/v2/assets/a2jMyW8dsvtwpYHzQMRFCn/data/589217992/attachments/att8tL6KGLefKbk5cMxmF6KJ/" TargetMode="External"/><Relationship Id="rId75" Type="http://schemas.openxmlformats.org/officeDocument/2006/relationships/hyperlink" Target="https://kf.kobotoolbox.org/api/v2/assets/a2jMyW8dsvtwpYHzQMRFCn/data/589198820/attachments/attEf5444CAs6N4xycwCNS9U/" TargetMode="External"/><Relationship Id="rId74" Type="http://schemas.openxmlformats.org/officeDocument/2006/relationships/hyperlink" Target="https://kf.kobotoolbox.org/api/v2/assets/a2jMyW8dsvtwpYHzQMRFCn/data/589195787/attachments/attsEPoCk8NivLqRhZd4pwv7/" TargetMode="External"/><Relationship Id="rId73" Type="http://schemas.openxmlformats.org/officeDocument/2006/relationships/hyperlink" Target="https://kf.kobotoolbox.org/api/v2/assets/a2jMyW8dsvtwpYHzQMRFCn/data/589190528/attachments/attD6eSjXSSn8BJZXSpxWRv3/" TargetMode="External"/><Relationship Id="rId72" Type="http://schemas.openxmlformats.org/officeDocument/2006/relationships/hyperlink" Target="https://kf.kobotoolbox.org/api/v2/assets/a2jMyW8dsvtwpYHzQMRFCn/data/589170392/attachments/attVJmD3wc4rgVLaAZq6FAV3/" TargetMode="External"/><Relationship Id="rId71" Type="http://schemas.openxmlformats.org/officeDocument/2006/relationships/hyperlink" Target="https://kf.kobotoolbox.org/api/v2/assets/a2jMyW8dsvtwpYHzQMRFCn/data/589161240/attachments/attjzprX4pfhkznQFyGBr9xx/" TargetMode="External"/><Relationship Id="rId70" Type="http://schemas.openxmlformats.org/officeDocument/2006/relationships/hyperlink" Target="https://kf.kobotoolbox.org/api/v2/assets/a2jMyW8dsvtwpYHzQMRFCn/data/589133930/attachments/attLVjeRSeaHM32wnRd3zobr/" TargetMode="External"/><Relationship Id="rId7" Type="http://schemas.openxmlformats.org/officeDocument/2006/relationships/hyperlink" Target="https://kf.kobotoolbox.org/api/v2/assets/a2jMyW8dsvtwpYHzQMRFCn/data/588119500/attachments/attwkSHKFokQuzsf8hd42LTQ/" TargetMode="External"/><Relationship Id="rId69" Type="http://schemas.openxmlformats.org/officeDocument/2006/relationships/hyperlink" Target="https://kf.kobotoolbox.org/api/v2/assets/a2jMyW8dsvtwpYHzQMRFCn/data/589124397/attachments/attBVTkcvkGALVdeUVf4Kv8v/" TargetMode="External"/><Relationship Id="rId68" Type="http://schemas.openxmlformats.org/officeDocument/2006/relationships/hyperlink" Target="https://kf.kobotoolbox.org/api/v2/assets/a2jMyW8dsvtwpYHzQMRFCn/data/589122723/attachments/attwPoXCvQuKTSPrTY49YfsP/" TargetMode="External"/><Relationship Id="rId67" Type="http://schemas.openxmlformats.org/officeDocument/2006/relationships/hyperlink" Target="https://kf.kobotoolbox.org/api/v2/assets/a2jMyW8dsvtwpYHzQMRFCn/data/589113598/attachments/attdueUeeXvitimGkgnQ4hzJ/" TargetMode="External"/><Relationship Id="rId66" Type="http://schemas.openxmlformats.org/officeDocument/2006/relationships/hyperlink" Target="https://kf.kobotoolbox.org/api/v2/assets/a2jMyW8dsvtwpYHzQMRFCn/data/589110224/attachments/att7ueCDfDEGXq3EfS8QAv4s/" TargetMode="External"/><Relationship Id="rId65" Type="http://schemas.openxmlformats.org/officeDocument/2006/relationships/hyperlink" Target="https://kf.kobotoolbox.org/api/v2/assets/a2jMyW8dsvtwpYHzQMRFCn/data/589110190/attachments/attjr3PpBgD3Vs7d7zMqmrZs/" TargetMode="External"/><Relationship Id="rId64" Type="http://schemas.openxmlformats.org/officeDocument/2006/relationships/hyperlink" Target="https://kf.kobotoolbox.org/api/v2/assets/a2jMyW8dsvtwpYHzQMRFCn/data/589110113/attachments/attAyYwkBHUphvQWBdUf2q2V/" TargetMode="External"/><Relationship Id="rId63" Type="http://schemas.openxmlformats.org/officeDocument/2006/relationships/hyperlink" Target="https://kf.kobotoolbox.org/api/v2/assets/a2jMyW8dsvtwpYHzQMRFCn/data/589109723/attachments/attqLvy5RKscxQFqd6uzHTWH/" TargetMode="External"/><Relationship Id="rId62" Type="http://schemas.openxmlformats.org/officeDocument/2006/relationships/hyperlink" Target="https://kf.kobotoolbox.org/api/v2/assets/a2jMyW8dsvtwpYHzQMRFCn/data/589104906/attachments/att9YZoRZPXS7J8dQ9oUdXza/" TargetMode="External"/><Relationship Id="rId61" Type="http://schemas.openxmlformats.org/officeDocument/2006/relationships/hyperlink" Target="https://kf.kobotoolbox.org/api/v2/assets/a2jMyW8dsvtwpYHzQMRFCn/data/589077994/attachments/attYavEZt4ATaFgJiew3MCmH/" TargetMode="External"/><Relationship Id="rId60" Type="http://schemas.openxmlformats.org/officeDocument/2006/relationships/hyperlink" Target="https://kf.kobotoolbox.org/api/v2/assets/a2jMyW8dsvtwpYHzQMRFCn/data/589071972/attachments/attSyPBhYcNm2QjELaHv2KFz/" TargetMode="External"/><Relationship Id="rId6" Type="http://schemas.openxmlformats.org/officeDocument/2006/relationships/hyperlink" Target="https://kf.kobotoolbox.org/api/v2/assets/a2jMyW8dsvtwpYHzQMRFCn/data/588112755/attachments/att8bpn55BZhGxQW3vkMYJkr/" TargetMode="External"/><Relationship Id="rId59" Type="http://schemas.openxmlformats.org/officeDocument/2006/relationships/hyperlink" Target="https://kf.kobotoolbox.org/api/v2/assets/a2jMyW8dsvtwpYHzQMRFCn/data/589054724/attachments/attw3Qe9es2UEp4aqs5trqLh/" TargetMode="External"/><Relationship Id="rId58" Type="http://schemas.openxmlformats.org/officeDocument/2006/relationships/hyperlink" Target="https://kf.kobotoolbox.org/api/v2/assets/a2jMyW8dsvtwpYHzQMRFCn/data/589053299/attachments/attM4iQa7PW5c4CfihuUMUXT/" TargetMode="External"/><Relationship Id="rId57" Type="http://schemas.openxmlformats.org/officeDocument/2006/relationships/hyperlink" Target="https://kf.kobotoolbox.org/api/v2/assets/a2jMyW8dsvtwpYHzQMRFCn/data/589051813/attachments/attBdNw4ehQ7aWKPTiDLspa4/" TargetMode="External"/><Relationship Id="rId56" Type="http://schemas.openxmlformats.org/officeDocument/2006/relationships/hyperlink" Target="https://kf.kobotoolbox.org/api/v2/assets/a2jMyW8dsvtwpYHzQMRFCn/data/589050931/attachments/attbYZRnYWiDfTbG9p9ZY7RX/" TargetMode="External"/><Relationship Id="rId55" Type="http://schemas.openxmlformats.org/officeDocument/2006/relationships/hyperlink" Target="https://kf.kobotoolbox.org/api/v2/assets/a2jMyW8dsvtwpYHzQMRFCn/data/589050326/attachments/att6sLxbtoMAQmi8y3rr7p6n/" TargetMode="External"/><Relationship Id="rId54" Type="http://schemas.openxmlformats.org/officeDocument/2006/relationships/hyperlink" Target="https://kf.kobotoolbox.org/api/v2/assets/a2jMyW8dsvtwpYHzQMRFCn/data/589046906/attachments/att5ANGgiJm9mAJasorhnige/" TargetMode="External"/><Relationship Id="rId53" Type="http://schemas.openxmlformats.org/officeDocument/2006/relationships/hyperlink" Target="https://kf.kobotoolbox.org/api/v2/assets/a2jMyW8dsvtwpYHzQMRFCn/data/589045502/attachments/attGqMNAWbd8zYqW3maJK9TW/" TargetMode="External"/><Relationship Id="rId52" Type="http://schemas.openxmlformats.org/officeDocument/2006/relationships/hyperlink" Target="https://kf.kobotoolbox.org/api/v2/assets/a2jMyW8dsvtwpYHzQMRFCn/data/589017979/attachments/attCpNk9VR7KtK7a9Ycygqrb/" TargetMode="External"/><Relationship Id="rId51" Type="http://schemas.openxmlformats.org/officeDocument/2006/relationships/hyperlink" Target="https://kf.kobotoolbox.org/api/v2/assets/a2jMyW8dsvtwpYHzQMRFCn/data/589012044/attachments/attHuMEX52RQ7gAWaHhgSsc6/" TargetMode="External"/><Relationship Id="rId50" Type="http://schemas.openxmlformats.org/officeDocument/2006/relationships/hyperlink" Target="https://kf.kobotoolbox.org/api/v2/assets/a2jMyW8dsvtwpYHzQMRFCn/data/588989530/attachments/attTc9S2zaUf75jhWyvkAQRf/" TargetMode="External"/><Relationship Id="rId5" Type="http://schemas.openxmlformats.org/officeDocument/2006/relationships/hyperlink" Target="https://kf.kobotoolbox.org/api/v2/assets/a2jMyW8dsvtwpYHzQMRFCn/data/588110123/attachments/attKSaqdNqFrWpuJAQnSAPWB/" TargetMode="External"/><Relationship Id="rId49" Type="http://schemas.openxmlformats.org/officeDocument/2006/relationships/hyperlink" Target="https://kf.kobotoolbox.org/api/v2/assets/a2jMyW8dsvtwpYHzQMRFCn/data/588981059/attachments/attjTXmwXm6buj9cQXPm7cNy/" TargetMode="External"/><Relationship Id="rId48" Type="http://schemas.openxmlformats.org/officeDocument/2006/relationships/hyperlink" Target="https://kf.kobotoolbox.org/api/v2/assets/a2jMyW8dsvtwpYHzQMRFCn/data/588969720/attachments/attMhYeNwiUANKy9uNVzEMPT/" TargetMode="External"/><Relationship Id="rId47" Type="http://schemas.openxmlformats.org/officeDocument/2006/relationships/hyperlink" Target="https://kf.kobotoolbox.org/api/v2/assets/a2jMyW8dsvtwpYHzQMRFCn/data/588967171/attachments/attBYUkXCeEh3NPF7Nu3ELSs/" TargetMode="External"/><Relationship Id="rId46" Type="http://schemas.openxmlformats.org/officeDocument/2006/relationships/hyperlink" Target="https://kf.kobotoolbox.org/api/v2/assets/a2jMyW8dsvtwpYHzQMRFCn/data/588965891/attachments/attRBQynbvQjsuBF6Ca4aRTM/" TargetMode="External"/><Relationship Id="rId45" Type="http://schemas.openxmlformats.org/officeDocument/2006/relationships/hyperlink" Target="https://kf.kobotoolbox.org/api/v2/assets/a2jMyW8dsvtwpYHzQMRFCn/data/588965697/attachments/attF2JriLJE3ErVJmfcjM5tc/" TargetMode="External"/><Relationship Id="rId44" Type="http://schemas.openxmlformats.org/officeDocument/2006/relationships/hyperlink" Target="https://kf.kobotoolbox.org/api/v2/assets/a2jMyW8dsvtwpYHzQMRFCn/data/588964645/attachments/attp9DJD98zudWeCXRdMjbtW/" TargetMode="External"/><Relationship Id="rId43" Type="http://schemas.openxmlformats.org/officeDocument/2006/relationships/hyperlink" Target="https://kf.kobotoolbox.org/api/v2/assets/a2jMyW8dsvtwpYHzQMRFCn/data/588964599/attachments/att6wKLXkJf7oSDPPJuTy2Ly/" TargetMode="External"/><Relationship Id="rId42" Type="http://schemas.openxmlformats.org/officeDocument/2006/relationships/hyperlink" Target="https://kf.kobotoolbox.org/api/v2/assets/a2jMyW8dsvtwpYHzQMRFCn/data/588964535/attachments/attTREcSzA3qQFKCKASmbRaY/" TargetMode="External"/><Relationship Id="rId41" Type="http://schemas.openxmlformats.org/officeDocument/2006/relationships/hyperlink" Target="https://kf.kobotoolbox.org/api/v2/assets/a2jMyW8dsvtwpYHzQMRFCn/data/588959912/attachments/attKPomgm5hrSpqiNhgzhkqQ/" TargetMode="External"/><Relationship Id="rId40" Type="http://schemas.openxmlformats.org/officeDocument/2006/relationships/hyperlink" Target="https://kf.kobotoolbox.org/api/v2/assets/a2jMyW8dsvtwpYHzQMRFCn/data/588955134/attachments/attC5VsfC3YgQc33qSDZ9dZY/" TargetMode="External"/><Relationship Id="rId4" Type="http://schemas.openxmlformats.org/officeDocument/2006/relationships/hyperlink" Target="https://kf.kobotoolbox.org/api/v2/assets/a2jMyW8dsvtwpYHzQMRFCn/data/588090999/attachments/attrPtR83yMi8m5EGvNGYNjo/" TargetMode="External"/><Relationship Id="rId39" Type="http://schemas.openxmlformats.org/officeDocument/2006/relationships/hyperlink" Target="https://kf.kobotoolbox.org/api/v2/assets/a2jMyW8dsvtwpYHzQMRFCn/data/588946847/attachments/attniNPqWNrqtBFrTjYmMTaN/" TargetMode="External"/><Relationship Id="rId38" Type="http://schemas.openxmlformats.org/officeDocument/2006/relationships/hyperlink" Target="https://kf.kobotoolbox.org/api/v2/assets/a2jMyW8dsvtwpYHzQMRFCn/data/588945815/attachments/attTuFJiGNPHrqVbR3nRoAx7/" TargetMode="External"/><Relationship Id="rId37" Type="http://schemas.openxmlformats.org/officeDocument/2006/relationships/hyperlink" Target="https://kf.kobotoolbox.org/api/v2/assets/a2jMyW8dsvtwpYHzQMRFCn/data/588933652/attachments/attZtyeAYQdPg8mbA4oyHGdd/" TargetMode="External"/><Relationship Id="rId36" Type="http://schemas.openxmlformats.org/officeDocument/2006/relationships/hyperlink" Target="https://kf.kobotoolbox.org/api/v2/assets/a2jMyW8dsvtwpYHzQMRFCn/data/588932740/attachments/attZYN8rMhMTA73shU4tyBWQ/" TargetMode="External"/><Relationship Id="rId35" Type="http://schemas.openxmlformats.org/officeDocument/2006/relationships/hyperlink" Target="https://kf.kobotoolbox.org/api/v2/assets/a2jMyW8dsvtwpYHzQMRFCn/data/588927902/attachments/atte8TkUfgPC93q3QnEcT5cY/" TargetMode="External"/><Relationship Id="rId34" Type="http://schemas.openxmlformats.org/officeDocument/2006/relationships/hyperlink" Target="https://kf.kobotoolbox.org/api/v2/assets/a2jMyW8dsvtwpYHzQMRFCn/data/588927613/attachments/attbKjpjY6bH7fheRLSrkstz/" TargetMode="External"/><Relationship Id="rId33" Type="http://schemas.openxmlformats.org/officeDocument/2006/relationships/hyperlink" Target="https://kf.kobotoolbox.org/api/v2/assets/a2jMyW8dsvtwpYHzQMRFCn/data/588924429/attachments/attapRdWsgC7Y6KdwgpBa4SF/" TargetMode="External"/><Relationship Id="rId32" Type="http://schemas.openxmlformats.org/officeDocument/2006/relationships/hyperlink" Target="https://kf.kobotoolbox.org/api/v2/assets/a2jMyW8dsvtwpYHzQMRFCn/data/588905381/attachments/attV7gcnTJHKAhjRa3dkfNAe/" TargetMode="External"/><Relationship Id="rId31" Type="http://schemas.openxmlformats.org/officeDocument/2006/relationships/hyperlink" Target="https://kf.kobotoolbox.org/api/v2/assets/a2jMyW8dsvtwpYHzQMRFCn/data/588904300/attachments/attkebSmq4QN5tLqnv9ZHTiF/" TargetMode="External"/><Relationship Id="rId30" Type="http://schemas.openxmlformats.org/officeDocument/2006/relationships/hyperlink" Target="https://kf.kobotoolbox.org/api/v2/assets/a2jMyW8dsvtwpYHzQMRFCn/data/588901138/attachments/attLd8oGcrTPfZxrsubJQQfh/" TargetMode="External"/><Relationship Id="rId3" Type="http://schemas.openxmlformats.org/officeDocument/2006/relationships/hyperlink" Target="https://kf.kobotoolbox.org/api/v2/assets/a2jMyW8dsvtwpYHzQMRFCn/data/588084237/attachments/attXwhq9ntyyTyVWhPajefGj/" TargetMode="External"/><Relationship Id="rId29" Type="http://schemas.openxmlformats.org/officeDocument/2006/relationships/hyperlink" Target="https://kf.kobotoolbox.org/api/v2/assets/a2jMyW8dsvtwpYHzQMRFCn/data/588413979/attachments/attPqBuiipf46Q2srUQyRadm/" TargetMode="External"/><Relationship Id="rId28" Type="http://schemas.openxmlformats.org/officeDocument/2006/relationships/hyperlink" Target="https://kf.kobotoolbox.org/api/v2/assets/a2jMyW8dsvtwpYHzQMRFCn/data/588404312/attachments/att3jkk2XxYoWUtiWhkUqT6V/" TargetMode="External"/><Relationship Id="rId27" Type="http://schemas.openxmlformats.org/officeDocument/2006/relationships/hyperlink" Target="https://kf.kobotoolbox.org/api/v2/assets/a2jMyW8dsvtwpYHzQMRFCn/data/588404272/attachments/attBg2DaXqHMmNybiBU6RU4b/" TargetMode="External"/><Relationship Id="rId26" Type="http://schemas.openxmlformats.org/officeDocument/2006/relationships/hyperlink" Target="https://kf.kobotoolbox.org/api/v2/assets/a2jMyW8dsvtwpYHzQMRFCn/data/588403137/attachments/attwng4nLaLZdA7NbuYkXnAn/" TargetMode="External"/><Relationship Id="rId25" Type="http://schemas.openxmlformats.org/officeDocument/2006/relationships/hyperlink" Target="https://kf.kobotoolbox.org/api/v2/assets/a2jMyW8dsvtwpYHzQMRFCn/data/588367925/attachments/attvAVafvqY5mrDxTDzBZPW3/" TargetMode="External"/><Relationship Id="rId24" Type="http://schemas.openxmlformats.org/officeDocument/2006/relationships/hyperlink" Target="https://kf.kobotoolbox.org/api/v2/assets/a2jMyW8dsvtwpYHzQMRFCn/data/588344577/attachments/attxmi3yraJdsJbz6wbWcHuz/" TargetMode="External"/><Relationship Id="rId23" Type="http://schemas.openxmlformats.org/officeDocument/2006/relationships/hyperlink" Target="https://kf.kobotoolbox.org/api/v2/assets/a2jMyW8dsvtwpYHzQMRFCn/data/588273628/attachments/atthhzXhCa8yPgdvfL9RKRRV/" TargetMode="External"/><Relationship Id="rId22" Type="http://schemas.openxmlformats.org/officeDocument/2006/relationships/hyperlink" Target="https://kf.kobotoolbox.org/api/v2/assets/a2jMyW8dsvtwpYHzQMRFCn/data/588260820/attachments/attkNDGQaYbYLUJwx5cpcLJ3/" TargetMode="External"/><Relationship Id="rId21" Type="http://schemas.openxmlformats.org/officeDocument/2006/relationships/hyperlink" Target="https://kf.kobotoolbox.org/api/v2/assets/a2jMyW8dsvtwpYHzQMRFCn/data/588258121/attachments/attWRdcVQFSkFVpZsMdddZAS/" TargetMode="External"/><Relationship Id="rId20" Type="http://schemas.openxmlformats.org/officeDocument/2006/relationships/hyperlink" Target="https://kf.kobotoolbox.org/api/v2/assets/a2jMyW8dsvtwpYHzQMRFCn/data/588237526/attachments/attrUTqyizvjRgR32HXTwF6Q/" TargetMode="External"/><Relationship Id="rId2" Type="http://schemas.openxmlformats.org/officeDocument/2006/relationships/hyperlink" Target="https://kf.kobotoolbox.org/api/v2/assets/a2jMyW8dsvtwpYHzQMRFCn/data/588065842/attachments/attZjoXsPCm7dnhaJDjtemMk/" TargetMode="External"/><Relationship Id="rId191" Type="http://schemas.openxmlformats.org/officeDocument/2006/relationships/hyperlink" Target="https://kf.kobotoolbox.org/api/v2/assets/a2jMyW8dsvtwpYHzQMRFCn/data/590734254/attachments/attAsDwFC4XUFUTpw4reg5X4/" TargetMode="External"/><Relationship Id="rId190" Type="http://schemas.openxmlformats.org/officeDocument/2006/relationships/hyperlink" Target="https://kf.kobotoolbox.org/api/v2/assets/a2jMyW8dsvtwpYHzQMRFCn/data/590680578/attachments/atthWGygvvevpXLDGBkd7Lgb/" TargetMode="External"/><Relationship Id="rId19" Type="http://schemas.openxmlformats.org/officeDocument/2006/relationships/hyperlink" Target="https://kf.kobotoolbox.org/api/v2/assets/a2jMyW8dsvtwpYHzQMRFCn/data/588221513/attachments/atteAujD6NvhU3agVzFjAJGb/" TargetMode="External"/><Relationship Id="rId189" Type="http://schemas.openxmlformats.org/officeDocument/2006/relationships/hyperlink" Target="https://kf.kobotoolbox.org/api/v2/assets/a2jMyW8dsvtwpYHzQMRFCn/data/590680538/attachments/attNsNCH58YwyvsN7o38CZjt/" TargetMode="External"/><Relationship Id="rId188" Type="http://schemas.openxmlformats.org/officeDocument/2006/relationships/hyperlink" Target="https://kf.kobotoolbox.org/api/v2/assets/a2jMyW8dsvtwpYHzQMRFCn/data/590662994/attachments/attrMVzVGh78SNjTASzi87WF/" TargetMode="External"/><Relationship Id="rId187" Type="http://schemas.openxmlformats.org/officeDocument/2006/relationships/hyperlink" Target="https://kf.kobotoolbox.org/api/v2/assets/a2jMyW8dsvtwpYHzQMRFCn/data/590656959/attachments/attd4Ve878XBjvc5BktpteHK/" TargetMode="External"/><Relationship Id="rId186" Type="http://schemas.openxmlformats.org/officeDocument/2006/relationships/hyperlink" Target="https://kf.kobotoolbox.org/api/v2/assets/a2jMyW8dsvtwpYHzQMRFCn/data/590652751/attachments/attYo2Dd7QTdvzmAcbPbAxFy/" TargetMode="External"/><Relationship Id="rId185" Type="http://schemas.openxmlformats.org/officeDocument/2006/relationships/hyperlink" Target="https://kf.kobotoolbox.org/api/v2/assets/a2jMyW8dsvtwpYHzQMRFCn/data/590651203/attachments/attgStr6SfPjYnDfX9MVSaWj/" TargetMode="External"/><Relationship Id="rId184" Type="http://schemas.openxmlformats.org/officeDocument/2006/relationships/hyperlink" Target="https://kf.kobotoolbox.org/api/v2/assets/a2jMyW8dsvtwpYHzQMRFCn/data/590649809/attachments/attN96eicdDbxbouXxowT33V/" TargetMode="External"/><Relationship Id="rId183" Type="http://schemas.openxmlformats.org/officeDocument/2006/relationships/hyperlink" Target="https://kf.kobotoolbox.org/api/v2/assets/a2jMyW8dsvtwpYHzQMRFCn/data/590647390/attachments/attu2NuDTjbuEQRWbcgTREuc/" TargetMode="External"/><Relationship Id="rId182" Type="http://schemas.openxmlformats.org/officeDocument/2006/relationships/hyperlink" Target="https://kf.kobotoolbox.org/api/v2/assets/a2jMyW8dsvtwpYHzQMRFCn/data/590645647/attachments/atteaT5wcD8VPNVBjWECPAER/" TargetMode="External"/><Relationship Id="rId181" Type="http://schemas.openxmlformats.org/officeDocument/2006/relationships/hyperlink" Target="https://kf.kobotoolbox.org/api/v2/assets/a2jMyW8dsvtwpYHzQMRFCn/data/590636650/attachments/attcKG4iX3eKQQAZQ8r2NByT/" TargetMode="External"/><Relationship Id="rId180" Type="http://schemas.openxmlformats.org/officeDocument/2006/relationships/hyperlink" Target="https://kf.kobotoolbox.org/api/v2/assets/a2jMyW8dsvtwpYHzQMRFCn/data/590635737/attachments/attQHfA4ERx75ww4uT3vBBhT/" TargetMode="External"/><Relationship Id="rId18" Type="http://schemas.openxmlformats.org/officeDocument/2006/relationships/hyperlink" Target="https://kf.kobotoolbox.org/api/v2/assets/a2jMyW8dsvtwpYHzQMRFCn/data/588219851/attachments/attKC8RRcDjnszBNXJp2DUPj/" TargetMode="External"/><Relationship Id="rId179" Type="http://schemas.openxmlformats.org/officeDocument/2006/relationships/hyperlink" Target="https://kf.kobotoolbox.org/api/v2/assets/a2jMyW8dsvtwpYHzQMRFCn/data/590635705/attachments/attdtkTFse7kuoyhordkFnHt/" TargetMode="External"/><Relationship Id="rId178" Type="http://schemas.openxmlformats.org/officeDocument/2006/relationships/hyperlink" Target="https://kf.kobotoolbox.org/api/v2/assets/a2jMyW8dsvtwpYHzQMRFCn/data/590631272/attachments/attK6ZVwuEVRfiPC9Keb6fUd/" TargetMode="External"/><Relationship Id="rId177" Type="http://schemas.openxmlformats.org/officeDocument/2006/relationships/hyperlink" Target="https://kf.kobotoolbox.org/api/v2/assets/a2jMyW8dsvtwpYHzQMRFCn/data/590630498/attachments/attGTSegfFKecqZKZSHY9neq/" TargetMode="External"/><Relationship Id="rId176" Type="http://schemas.openxmlformats.org/officeDocument/2006/relationships/hyperlink" Target="https://kf.kobotoolbox.org/api/v2/assets/a2jMyW8dsvtwpYHzQMRFCn/data/590629398/attachments/attZcwBMiiCpBGW2FPN4Mzwp/" TargetMode="External"/><Relationship Id="rId175" Type="http://schemas.openxmlformats.org/officeDocument/2006/relationships/hyperlink" Target="https://kf.kobotoolbox.org/api/v2/assets/a2jMyW8dsvtwpYHzQMRFCn/data/590629233/attachments/attvnk6B9k5onSn9dnDA5RUd/" TargetMode="External"/><Relationship Id="rId174" Type="http://schemas.openxmlformats.org/officeDocument/2006/relationships/hyperlink" Target="https://kf.kobotoolbox.org/api/v2/assets/a2jMyW8dsvtwpYHzQMRFCn/data/590628703/attachments/attzchrqjc6pTeuKHd5Muw2y/" TargetMode="External"/><Relationship Id="rId173" Type="http://schemas.openxmlformats.org/officeDocument/2006/relationships/hyperlink" Target="https://kf.kobotoolbox.org/api/v2/assets/a2jMyW8dsvtwpYHzQMRFCn/data/590628157/attachments/attNUYgrXfLt3cH4GQgxbXUW/" TargetMode="External"/><Relationship Id="rId172" Type="http://schemas.openxmlformats.org/officeDocument/2006/relationships/hyperlink" Target="https://kf.kobotoolbox.org/api/v2/assets/a2jMyW8dsvtwpYHzQMRFCn/data/590625779/attachments/attqLrDGqfeyGp4QPGmBf76A/" TargetMode="External"/><Relationship Id="rId171" Type="http://schemas.openxmlformats.org/officeDocument/2006/relationships/hyperlink" Target="https://kf.kobotoolbox.org/api/v2/assets/a2jMyW8dsvtwpYHzQMRFCn/data/590621347/attachments/att5A7HejWosrsHKwFYMDCDB/" TargetMode="External"/><Relationship Id="rId170" Type="http://schemas.openxmlformats.org/officeDocument/2006/relationships/hyperlink" Target="https://kf.kobotoolbox.org/api/v2/assets/a2jMyW8dsvtwpYHzQMRFCn/data/590619573/attachments/att6Dz8dpzPrVkEv3JSdoDbJ/" TargetMode="External"/><Relationship Id="rId17" Type="http://schemas.openxmlformats.org/officeDocument/2006/relationships/hyperlink" Target="https://kf.kobotoolbox.org/api/v2/assets/a2jMyW8dsvtwpYHzQMRFCn/data/588218585/attachments/attWuiLPYsLGui6uALKoD2Hp/" TargetMode="External"/><Relationship Id="rId169" Type="http://schemas.openxmlformats.org/officeDocument/2006/relationships/hyperlink" Target="https://kf.kobotoolbox.org/api/v2/assets/a2jMyW8dsvtwpYHzQMRFCn/data/590618121/attachments/attLTmZDvFux3mNy9p2WqbGV/" TargetMode="External"/><Relationship Id="rId168" Type="http://schemas.openxmlformats.org/officeDocument/2006/relationships/hyperlink" Target="https://kf.kobotoolbox.org/api/v2/assets/a2jMyW8dsvtwpYHzQMRFCn/data/590617798/attachments/att9Ubsayj3fwMyJERw6KLhN/" TargetMode="External"/><Relationship Id="rId167" Type="http://schemas.openxmlformats.org/officeDocument/2006/relationships/hyperlink" Target="https://kf.kobotoolbox.org/api/v2/assets/a2jMyW8dsvtwpYHzQMRFCn/data/590617314/attachments/attkCP7oPBH7gsaUvcnSpNVB/" TargetMode="External"/><Relationship Id="rId166" Type="http://schemas.openxmlformats.org/officeDocument/2006/relationships/hyperlink" Target="https://kf.kobotoolbox.org/api/v2/assets/a2jMyW8dsvtwpYHzQMRFCn/data/590615613/attachments/att9HgassfxcsrJmcrr5fdGk/" TargetMode="External"/><Relationship Id="rId165" Type="http://schemas.openxmlformats.org/officeDocument/2006/relationships/hyperlink" Target="https://kf.kobotoolbox.org/api/v2/assets/a2jMyW8dsvtwpYHzQMRFCn/data/590615393/attachments/attcVmkidR2JDjxT8CFbPKeH/" TargetMode="External"/><Relationship Id="rId164" Type="http://schemas.openxmlformats.org/officeDocument/2006/relationships/hyperlink" Target="https://kf.kobotoolbox.org/api/v2/assets/a2jMyW8dsvtwpYHzQMRFCn/data/590608010/attachments/attKkPo3idoMNuca6rYhm4Je/" TargetMode="External"/><Relationship Id="rId163" Type="http://schemas.openxmlformats.org/officeDocument/2006/relationships/hyperlink" Target="https://kf.kobotoolbox.org/api/v2/assets/a2jMyW8dsvtwpYHzQMRFCn/data/590606356/attachments/attUeCApxjmieonpa8ZdH7hj/" TargetMode="External"/><Relationship Id="rId162" Type="http://schemas.openxmlformats.org/officeDocument/2006/relationships/hyperlink" Target="https://kf.kobotoolbox.org/api/v2/assets/a2jMyW8dsvtwpYHzQMRFCn/data/590605747/attachments/att7SnRrVTaCPY5y7bxnsiWh/" TargetMode="External"/><Relationship Id="rId161" Type="http://schemas.openxmlformats.org/officeDocument/2006/relationships/hyperlink" Target="https://kf.kobotoolbox.org/api/v2/assets/a2jMyW8dsvtwpYHzQMRFCn/data/590604945/attachments/attkXKzKqRpvDzewyKgYtEyY/" TargetMode="External"/><Relationship Id="rId160" Type="http://schemas.openxmlformats.org/officeDocument/2006/relationships/hyperlink" Target="https://kf.kobotoolbox.org/api/v2/assets/a2jMyW8dsvtwpYHzQMRFCn/data/590604271/attachments/att4TSg55XTRVoVhHAU6gfBW/" TargetMode="External"/><Relationship Id="rId16" Type="http://schemas.openxmlformats.org/officeDocument/2006/relationships/hyperlink" Target="https://kf.kobotoolbox.org/api/v2/assets/a2jMyW8dsvtwpYHzQMRFCn/data/588217132/attachments/attLt9oqySv5q4vvGt8pWJvP/" TargetMode="External"/><Relationship Id="rId159" Type="http://schemas.openxmlformats.org/officeDocument/2006/relationships/hyperlink" Target="https://kf.kobotoolbox.org/api/v2/assets/a2jMyW8dsvtwpYHzQMRFCn/data/590593295/attachments/attn9TKKoHNA8vFqnGVAhXGC/" TargetMode="External"/><Relationship Id="rId158" Type="http://schemas.openxmlformats.org/officeDocument/2006/relationships/hyperlink" Target="https://kf.kobotoolbox.org/api/v2/assets/a2jMyW8dsvtwpYHzQMRFCn/data/590586791/attachments/attqeYzePLjwQVW4hQAyWaHj/" TargetMode="External"/><Relationship Id="rId157" Type="http://schemas.openxmlformats.org/officeDocument/2006/relationships/hyperlink" Target="https://kf.kobotoolbox.org/api/v2/assets/a2jMyW8dsvtwpYHzQMRFCn/data/590582175/attachments/attJgFrwuEY94HFnYjvsiNPi/" TargetMode="External"/><Relationship Id="rId156" Type="http://schemas.openxmlformats.org/officeDocument/2006/relationships/hyperlink" Target="https://kf.kobotoolbox.org/api/v2/assets/a2jMyW8dsvtwpYHzQMRFCn/data/590572275/attachments/attDG5DcYFFmNTXXVVFkUjV7/" TargetMode="External"/><Relationship Id="rId155" Type="http://schemas.openxmlformats.org/officeDocument/2006/relationships/hyperlink" Target="https://kf.kobotoolbox.org/api/v2/assets/a2jMyW8dsvtwpYHzQMRFCn/data/590563653/attachments/attCMKCa4rBrATkzZbsp4GpD/" TargetMode="External"/><Relationship Id="rId154" Type="http://schemas.openxmlformats.org/officeDocument/2006/relationships/hyperlink" Target="https://kf.kobotoolbox.org/api/v2/assets/a2jMyW8dsvtwpYHzQMRFCn/data/590546746/attachments/attDxRXoVrzAc8UDgDz8fRyb/" TargetMode="External"/><Relationship Id="rId153" Type="http://schemas.openxmlformats.org/officeDocument/2006/relationships/hyperlink" Target="https://kf.kobotoolbox.org/api/v2/assets/a2jMyW8dsvtwpYHzQMRFCn/data/590536294/attachments/attHaGkVd7RAHbMKgv7hF4js/" TargetMode="External"/><Relationship Id="rId152" Type="http://schemas.openxmlformats.org/officeDocument/2006/relationships/hyperlink" Target="https://kf.kobotoolbox.org/api/v2/assets/a2jMyW8dsvtwpYHzQMRFCn/data/589955609/attachments/attMciVceqtMpjJgKUNGWn3z/" TargetMode="External"/><Relationship Id="rId151" Type="http://schemas.openxmlformats.org/officeDocument/2006/relationships/hyperlink" Target="https://kf.kobotoolbox.org/api/v2/assets/a2jMyW8dsvtwpYHzQMRFCn/data/589950490/attachments/attETtjxmD56mbFdkcyb3RQA/" TargetMode="External"/><Relationship Id="rId150" Type="http://schemas.openxmlformats.org/officeDocument/2006/relationships/hyperlink" Target="https://kf.kobotoolbox.org/api/v2/assets/a2jMyW8dsvtwpYHzQMRFCn/data/589935979/attachments/attwnLHmuy2VFJMEAVriPMcp/" TargetMode="External"/><Relationship Id="rId15" Type="http://schemas.openxmlformats.org/officeDocument/2006/relationships/hyperlink" Target="https://kf.kobotoolbox.org/api/v2/assets/a2jMyW8dsvtwpYHzQMRFCn/data/588203864/attachments/attCchWP7n5MadAg5vyw5ghg/" TargetMode="External"/><Relationship Id="rId149" Type="http://schemas.openxmlformats.org/officeDocument/2006/relationships/hyperlink" Target="https://kf.kobotoolbox.org/api/v2/assets/a2jMyW8dsvtwpYHzQMRFCn/data/589926580/attachments/att3NgcEFzeAmeJHJNHtrUEb/" TargetMode="External"/><Relationship Id="rId148" Type="http://schemas.openxmlformats.org/officeDocument/2006/relationships/hyperlink" Target="https://kf.kobotoolbox.org/api/v2/assets/a2jMyW8dsvtwpYHzQMRFCn/data/589917204/attachments/attMXMwPxGTh6UwAdVygAbSj/" TargetMode="External"/><Relationship Id="rId147" Type="http://schemas.openxmlformats.org/officeDocument/2006/relationships/hyperlink" Target="https://kf.kobotoolbox.org/api/v2/assets/a2jMyW8dsvtwpYHzQMRFCn/data/589910106/attachments/attjBCEZYENjM5tytmhPGfDU/" TargetMode="External"/><Relationship Id="rId146" Type="http://schemas.openxmlformats.org/officeDocument/2006/relationships/hyperlink" Target="https://kf.kobotoolbox.org/api/v2/assets/a2jMyW8dsvtwpYHzQMRFCn/data/589899331/attachments/attr7mEhwoYwCnUXWeZFKRRq/" TargetMode="External"/><Relationship Id="rId145" Type="http://schemas.openxmlformats.org/officeDocument/2006/relationships/hyperlink" Target="https://kf.kobotoolbox.org/api/v2/assets/a2jMyW8dsvtwpYHzQMRFCn/data/589898892/attachments/attJ2Dvgxop4oB6U6SBWenFN/" TargetMode="External"/><Relationship Id="rId144" Type="http://schemas.openxmlformats.org/officeDocument/2006/relationships/hyperlink" Target="https://kf.kobotoolbox.org/api/v2/assets/a2jMyW8dsvtwpYHzQMRFCn/data/589894792/attachments/atteoHCfJCfK4VXA6v8jTmWZ/" TargetMode="External"/><Relationship Id="rId143" Type="http://schemas.openxmlformats.org/officeDocument/2006/relationships/hyperlink" Target="https://kf.kobotoolbox.org/api/v2/assets/a2jMyW8dsvtwpYHzQMRFCn/data/589893962/attachments/attBmVuFVKWTMg9PBKWJm8bF/" TargetMode="External"/><Relationship Id="rId142" Type="http://schemas.openxmlformats.org/officeDocument/2006/relationships/hyperlink" Target="https://kf.kobotoolbox.org/api/v2/assets/a2jMyW8dsvtwpYHzQMRFCn/data/589893836/attachments/atto4MYF9JnVJsucMeh4Y5pM/" TargetMode="External"/><Relationship Id="rId141" Type="http://schemas.openxmlformats.org/officeDocument/2006/relationships/hyperlink" Target="https://kf.kobotoolbox.org/api/v2/assets/a2jMyW8dsvtwpYHzQMRFCn/data/589885735/attachments/attyUpJM9TvQWcnLWmxALEHX/" TargetMode="External"/><Relationship Id="rId140" Type="http://schemas.openxmlformats.org/officeDocument/2006/relationships/hyperlink" Target="https://kf.kobotoolbox.org/api/v2/assets/a2jMyW8dsvtwpYHzQMRFCn/data/589881138/attachments/attrsGVPZR8haFuPkXyth7Mg/" TargetMode="External"/><Relationship Id="rId14" Type="http://schemas.openxmlformats.org/officeDocument/2006/relationships/hyperlink" Target="https://kf.kobotoolbox.org/api/v2/assets/a2jMyW8dsvtwpYHzQMRFCn/data/588202461/attachments/attGRGuJP8JfgZ9m828FPcmj/" TargetMode="External"/><Relationship Id="rId139" Type="http://schemas.openxmlformats.org/officeDocument/2006/relationships/hyperlink" Target="https://kf.kobotoolbox.org/api/v2/assets/a2jMyW8dsvtwpYHzQMRFCn/data/589880662/attachments/attgffnQfqyJAPWn68SBX9T5/" TargetMode="External"/><Relationship Id="rId138" Type="http://schemas.openxmlformats.org/officeDocument/2006/relationships/hyperlink" Target="https://kf.kobotoolbox.org/api/v2/assets/a2jMyW8dsvtwpYHzQMRFCn/data/589875466/attachments/attEQHWkjSfnbgw9UzJgKN4g/" TargetMode="External"/><Relationship Id="rId137" Type="http://schemas.openxmlformats.org/officeDocument/2006/relationships/hyperlink" Target="https://kf.kobotoolbox.org/api/v2/assets/a2jMyW8dsvtwpYHzQMRFCn/data/589874691/attachments/attzaenoMMt9AdQT5UBhfP9T/" TargetMode="External"/><Relationship Id="rId136" Type="http://schemas.openxmlformats.org/officeDocument/2006/relationships/hyperlink" Target="https://kf.kobotoolbox.org/api/v2/assets/a2jMyW8dsvtwpYHzQMRFCn/data/589873491/attachments/attLYVvEemS2oJ798Pc9MZgT/" TargetMode="External"/><Relationship Id="rId135" Type="http://schemas.openxmlformats.org/officeDocument/2006/relationships/hyperlink" Target="https://kf.kobotoolbox.org/api/v2/assets/a2jMyW8dsvtwpYHzQMRFCn/data/589859256/attachments/attrFYAZhzrF4rzu9h5K8ufL/" TargetMode="External"/><Relationship Id="rId134" Type="http://schemas.openxmlformats.org/officeDocument/2006/relationships/hyperlink" Target="https://kf.kobotoolbox.org/api/v2/assets/a2jMyW8dsvtwpYHzQMRFCn/data/589859042/attachments/att4PhVzwwfq7vNbNLcxCDww/" TargetMode="External"/><Relationship Id="rId133" Type="http://schemas.openxmlformats.org/officeDocument/2006/relationships/hyperlink" Target="https://kf.kobotoolbox.org/api/v2/assets/a2jMyW8dsvtwpYHzQMRFCn/data/589859005/attachments/attYFAeRKmWRztYNnN3vs9Au/" TargetMode="External"/><Relationship Id="rId132" Type="http://schemas.openxmlformats.org/officeDocument/2006/relationships/hyperlink" Target="https://kf.kobotoolbox.org/api/v2/assets/a2jMyW8dsvtwpYHzQMRFCn/data/589858653/attachments/attnQ9xCBQVuFUW3TZ6fxgj3/" TargetMode="External"/><Relationship Id="rId131" Type="http://schemas.openxmlformats.org/officeDocument/2006/relationships/hyperlink" Target="https://kf.kobotoolbox.org/api/v2/assets/a2jMyW8dsvtwpYHzQMRFCn/data/589858411/attachments/att4dDXGgdtZWdcv7N9i8nqY/" TargetMode="External"/><Relationship Id="rId130" Type="http://schemas.openxmlformats.org/officeDocument/2006/relationships/hyperlink" Target="https://kf.kobotoolbox.org/api/v2/assets/a2jMyW8dsvtwpYHzQMRFCn/data/589856802/attachments/attYLiSTXkFt8eshdPxMvd4y/" TargetMode="External"/><Relationship Id="rId13" Type="http://schemas.openxmlformats.org/officeDocument/2006/relationships/hyperlink" Target="https://kf.kobotoolbox.org/api/v2/assets/a2jMyW8dsvtwpYHzQMRFCn/data/588192120/attachments/attnTpPAobuZrmA6qkiGDXM5/" TargetMode="External"/><Relationship Id="rId129" Type="http://schemas.openxmlformats.org/officeDocument/2006/relationships/hyperlink" Target="https://kf.kobotoolbox.org/api/v2/assets/a2jMyW8dsvtwpYHzQMRFCn/data/589856772/attachments/attDrKsC85eqAuKpGK8Lu3QP/" TargetMode="External"/><Relationship Id="rId128" Type="http://schemas.openxmlformats.org/officeDocument/2006/relationships/hyperlink" Target="https://kf.kobotoolbox.org/api/v2/assets/a2jMyW8dsvtwpYHzQMRFCn/data/589856735/attachments/attWxX5tBJ8UoMRWjNres4sC/" TargetMode="External"/><Relationship Id="rId127" Type="http://schemas.openxmlformats.org/officeDocument/2006/relationships/hyperlink" Target="https://kf.kobotoolbox.org/api/v2/assets/a2jMyW8dsvtwpYHzQMRFCn/data/589856693/attachments/attmSke97ujuGVykqZtExsJG/" TargetMode="External"/><Relationship Id="rId126" Type="http://schemas.openxmlformats.org/officeDocument/2006/relationships/hyperlink" Target="https://kf.kobotoolbox.org/api/v2/assets/a2jMyW8dsvtwpYHzQMRFCn/data/589856661/attachments/attb7EjLrDYjxQ4eTj9GgCEg/" TargetMode="External"/><Relationship Id="rId125" Type="http://schemas.openxmlformats.org/officeDocument/2006/relationships/hyperlink" Target="https://kf.kobotoolbox.org/api/v2/assets/a2jMyW8dsvtwpYHzQMRFCn/data/589856440/attachments/attZvSqPkSuPvCiwdNpqnytM/" TargetMode="External"/><Relationship Id="rId124" Type="http://schemas.openxmlformats.org/officeDocument/2006/relationships/hyperlink" Target="https://kf.kobotoolbox.org/api/v2/assets/a2jMyW8dsvtwpYHzQMRFCn/data/589856004/attachments/attAKYpHcpbQRFj8LkxzjNaY/" TargetMode="External"/><Relationship Id="rId123" Type="http://schemas.openxmlformats.org/officeDocument/2006/relationships/hyperlink" Target="https://kf.kobotoolbox.org/api/v2/assets/a2jMyW8dsvtwpYHzQMRFCn/data/589854368/attachments/attNXZDbMVNtRt3HWmsmwBeH/" TargetMode="External"/><Relationship Id="rId122" Type="http://schemas.openxmlformats.org/officeDocument/2006/relationships/hyperlink" Target="https://kf.kobotoolbox.org/api/v2/assets/a2jMyW8dsvtwpYHzQMRFCn/data/589847209/attachments/atttRtQ2DP64gD2sopuxzyt4/" TargetMode="External"/><Relationship Id="rId121" Type="http://schemas.openxmlformats.org/officeDocument/2006/relationships/hyperlink" Target="https://kf.kobotoolbox.org/api/v2/assets/a2jMyW8dsvtwpYHzQMRFCn/data/589841021/attachments/att87nhMZUBGD4VMxJBeUBry/" TargetMode="External"/><Relationship Id="rId120" Type="http://schemas.openxmlformats.org/officeDocument/2006/relationships/hyperlink" Target="https://kf.kobotoolbox.org/api/v2/assets/a2jMyW8dsvtwpYHzQMRFCn/data/589840787/attachments/attSXNqASgzJgbEn4mGqqxJX/" TargetMode="External"/><Relationship Id="rId12" Type="http://schemas.openxmlformats.org/officeDocument/2006/relationships/hyperlink" Target="https://kf.kobotoolbox.org/api/v2/assets/a2jMyW8dsvtwpYHzQMRFCn/data/588191100/attachments/att6uucpDdxUnS4ep4gGZYAN/" TargetMode="External"/><Relationship Id="rId119" Type="http://schemas.openxmlformats.org/officeDocument/2006/relationships/hyperlink" Target="https://kf.kobotoolbox.org/api/v2/assets/a2jMyW8dsvtwpYHzQMRFCn/data/589838398/attachments/attdDuta67dy9A8V2DiYVFG3/" TargetMode="External"/><Relationship Id="rId118" Type="http://schemas.openxmlformats.org/officeDocument/2006/relationships/hyperlink" Target="https://kf.kobotoolbox.org/api/v2/assets/a2jMyW8dsvtwpYHzQMRFCn/data/589834280/attachments/attdrgQjZSJTSpJHo4HfpQjn/" TargetMode="External"/><Relationship Id="rId117" Type="http://schemas.openxmlformats.org/officeDocument/2006/relationships/hyperlink" Target="https://kf.kobotoolbox.org/api/v2/assets/a2jMyW8dsvtwpYHzQMRFCn/data/589833473/attachments/attQJVXcr6HTgCJ8d6ifmDwU/" TargetMode="External"/><Relationship Id="rId116" Type="http://schemas.openxmlformats.org/officeDocument/2006/relationships/hyperlink" Target="https://kf.kobotoolbox.org/api/v2/assets/a2jMyW8dsvtwpYHzQMRFCn/data/589832597/attachments/attp6kFpr4RDPAzManPrunFD/" TargetMode="External"/><Relationship Id="rId115" Type="http://schemas.openxmlformats.org/officeDocument/2006/relationships/hyperlink" Target="https://kf.kobotoolbox.org/api/v2/assets/a2jMyW8dsvtwpYHzQMRFCn/data/589825465/attachments/att7jys9ciiA582hvQCBbkio/" TargetMode="External"/><Relationship Id="rId114" Type="http://schemas.openxmlformats.org/officeDocument/2006/relationships/hyperlink" Target="https://kf.kobotoolbox.org/api/v2/assets/a2jMyW8dsvtwpYHzQMRFCn/data/589825400/attachments/atttzuvn9KEXdHoCGrhadZH4/" TargetMode="External"/><Relationship Id="rId113" Type="http://schemas.openxmlformats.org/officeDocument/2006/relationships/hyperlink" Target="https://kf.kobotoolbox.org/api/v2/assets/a2jMyW8dsvtwpYHzQMRFCn/data/589820080/attachments/att4tWsnRiyKyqwDiXQrMpSi/" TargetMode="External"/><Relationship Id="rId112" Type="http://schemas.openxmlformats.org/officeDocument/2006/relationships/hyperlink" Target="https://kf.kobotoolbox.org/api/v2/assets/a2jMyW8dsvtwpYHzQMRFCn/data/589818555/attachments/attgHinWSfb9iUq3AENxujh2/" TargetMode="External"/><Relationship Id="rId111" Type="http://schemas.openxmlformats.org/officeDocument/2006/relationships/hyperlink" Target="https://kf.kobotoolbox.org/api/v2/assets/a2jMyW8dsvtwpYHzQMRFCn/data/589818364/attachments/attAf2whzwEm2UumPLQejVxH/" TargetMode="External"/><Relationship Id="rId110" Type="http://schemas.openxmlformats.org/officeDocument/2006/relationships/hyperlink" Target="https://kf.kobotoolbox.org/api/v2/assets/a2jMyW8dsvtwpYHzQMRFCn/data/589817814/attachments/attnWr4bV7tvLqJJvzv9Prj5/" TargetMode="External"/><Relationship Id="rId11" Type="http://schemas.openxmlformats.org/officeDocument/2006/relationships/hyperlink" Target="https://kf.kobotoolbox.org/api/v2/assets/a2jMyW8dsvtwpYHzQMRFCn/data/588178138/attachments/attEFFidQksx2hq3xqsng79w/" TargetMode="External"/><Relationship Id="rId109" Type="http://schemas.openxmlformats.org/officeDocument/2006/relationships/hyperlink" Target="https://kf.kobotoolbox.org/api/v2/assets/a2jMyW8dsvtwpYHzQMRFCn/data/589817553/attachments/attAy3swfsoadmRXngfGm7wv/" TargetMode="External"/><Relationship Id="rId108" Type="http://schemas.openxmlformats.org/officeDocument/2006/relationships/hyperlink" Target="https://kf.kobotoolbox.org/api/v2/assets/a2jMyW8dsvtwpYHzQMRFCn/data/589807952/attachments/attRGS6N5YD3uqeiG7Z2w42t/" TargetMode="External"/><Relationship Id="rId107" Type="http://schemas.openxmlformats.org/officeDocument/2006/relationships/hyperlink" Target="https://kf.kobotoolbox.org/api/v2/assets/a2jMyW8dsvtwpYHzQMRFCn/data/589806432/attachments/attUNGZEqD8MqfiZS5Mueozj/" TargetMode="External"/><Relationship Id="rId106" Type="http://schemas.openxmlformats.org/officeDocument/2006/relationships/hyperlink" Target="https://kf.kobotoolbox.org/api/v2/assets/a2jMyW8dsvtwpYHzQMRFCn/data/589804499/attachments/attwxMwvmAGiEKCozUpuvd6B/" TargetMode="External"/><Relationship Id="rId105" Type="http://schemas.openxmlformats.org/officeDocument/2006/relationships/hyperlink" Target="https://kf.kobotoolbox.org/api/v2/assets/a2jMyW8dsvtwpYHzQMRFCn/data/589803087/attachments/attLcSjXtBBkuhwXFudXYG3Y/" TargetMode="External"/><Relationship Id="rId104" Type="http://schemas.openxmlformats.org/officeDocument/2006/relationships/hyperlink" Target="https://kf.kobotoolbox.org/api/v2/assets/a2jMyW8dsvtwpYHzQMRFCn/data/589802014/attachments/attL95awYtww6NufFPpDXWGi/" TargetMode="External"/><Relationship Id="rId103" Type="http://schemas.openxmlformats.org/officeDocument/2006/relationships/hyperlink" Target="https://kf.kobotoolbox.org/api/v2/assets/a2jMyW8dsvtwpYHzQMRFCn/data/589801979/attachments/attCHBUkwpz3E5SeT89VhcE3/" TargetMode="External"/><Relationship Id="rId102" Type="http://schemas.openxmlformats.org/officeDocument/2006/relationships/hyperlink" Target="https://kf.kobotoolbox.org/api/v2/assets/a2jMyW8dsvtwpYHzQMRFCn/data/589801912/attachments/attT5nkAahaRhXiARNWN2GdY/" TargetMode="External"/><Relationship Id="rId101" Type="http://schemas.openxmlformats.org/officeDocument/2006/relationships/hyperlink" Target="https://kf.kobotoolbox.org/api/v2/assets/a2jMyW8dsvtwpYHzQMRFCn/data/589790382/attachments/atthqgSzXRFqdQUzDSUmrt3s/" TargetMode="External"/><Relationship Id="rId100" Type="http://schemas.openxmlformats.org/officeDocument/2006/relationships/hyperlink" Target="https://kf.kobotoolbox.org/api/v2/assets/a2jMyW8dsvtwpYHzQMRFCn/data/589790129/attachments/att2BuaAT7Vc6LfRFirFHLMZ/" TargetMode="External"/><Relationship Id="rId10" Type="http://schemas.openxmlformats.org/officeDocument/2006/relationships/hyperlink" Target="https://kf.kobotoolbox.org/api/v2/assets/a2jMyW8dsvtwpYHzQMRFCn/data/588173524/attachments/attuiwkeJybp3cVnPixhMtMw/" TargetMode="External"/><Relationship Id="rId1" Type="http://schemas.openxmlformats.org/officeDocument/2006/relationships/hyperlink" Target="https://kf.kobotoolbox.org/api/v2/assets/a2jMyW8dsvtwpYHzQMRFCn/data/588058792/attachments/attYEzWQC9xSkSxvN36hQwa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C941"/>
  <sheetViews>
    <sheetView tabSelected="1" zoomScale="70" zoomScaleNormal="70" topLeftCell="HZ91" workbookViewId="0">
      <selection activeCell="IA132" sqref="IA132"/>
    </sheetView>
  </sheetViews>
  <sheetFormatPr defaultColWidth="9" defaultRowHeight="15"/>
  <cols>
    <col min="1" max="1" width="26.7142857142857" customWidth="1"/>
    <col min="2" max="2" width="22.4285714285714" customWidth="1"/>
    <col min="3" max="3" width="32.4285714285714" customWidth="1"/>
    <col min="4" max="4" width="14.2857142857143" customWidth="1"/>
    <col min="5" max="5" width="30.4285714285714" customWidth="1"/>
    <col min="6" max="6" width="10.8571428571429" style="1" customWidth="1"/>
    <col min="8" max="8" width="28" customWidth="1"/>
    <col min="9" max="9" width="31.2857142857143" style="2" customWidth="1"/>
    <col min="10" max="10" width="40.4285714285714" customWidth="1"/>
    <col min="11" max="11" width="20.5714285714286" customWidth="1"/>
    <col min="12" max="12" width="52.5714285714286" customWidth="1"/>
    <col min="13" max="13" width="25.7142857142857" customWidth="1"/>
    <col min="14" max="14" width="39.4285714285714" customWidth="1"/>
    <col min="15" max="15" width="21.8571428571429" customWidth="1"/>
    <col min="16" max="16" width="16.1428571428571" customWidth="1"/>
    <col min="17" max="17" width="17.8571428571429" customWidth="1"/>
    <col min="18" max="18" width="50.4285714285714" customWidth="1"/>
    <col min="19" max="19" width="20" customWidth="1"/>
    <col min="20" max="20" width="58.2857142857143" customWidth="1"/>
    <col min="21" max="21" width="25.2857142857143" customWidth="1"/>
    <col min="22" max="22" width="55.8571428571429" customWidth="1"/>
    <col min="23" max="23" width="22.5714285714286" customWidth="1"/>
    <col min="24" max="24" width="27.4285714285714" customWidth="1"/>
    <col min="25" max="25" width="23.5714285714286" customWidth="1"/>
    <col min="26" max="26" width="35.5714285714286" customWidth="1"/>
    <col min="27" max="27" width="20.1428571428571" customWidth="1"/>
    <col min="28" max="28" width="60.8571428571429" customWidth="1"/>
    <col min="29" max="29" width="25.5714285714286" style="2" customWidth="1"/>
    <col min="30" max="30" width="93.2857142857143" customWidth="1"/>
    <col min="31" max="31" width="17.2857142857143" customWidth="1"/>
    <col min="32" max="32" width="13.5714285714286" customWidth="1"/>
    <col min="33" max="33" width="20.7142857142857" customWidth="1"/>
    <col min="39" max="39" width="57" customWidth="1"/>
    <col min="40" max="40" width="41.8571428571429" style="2" customWidth="1"/>
    <col min="41" max="41" width="156.857142857143" customWidth="1"/>
    <col min="42" max="42" width="38.2857142857143" customWidth="1"/>
    <col min="43" max="43" width="17.2857142857143" customWidth="1"/>
    <col min="44" max="44" width="37.4285714285714" customWidth="1"/>
    <col min="48" max="48" width="22.4285714285714" customWidth="1"/>
    <col min="49" max="49" width="25.4285714285714" customWidth="1"/>
    <col min="50" max="50" width="22.4285714285714" customWidth="1"/>
    <col min="51" max="51" width="49" customWidth="1"/>
    <col min="52" max="52" width="15.4285714285714" customWidth="1"/>
    <col min="53" max="53" width="19.5714285714286" customWidth="1"/>
    <col min="58" max="58" width="15.8571428571429" customWidth="1"/>
    <col min="59" max="59" width="47.4285714285714" customWidth="1"/>
    <col min="60" max="60" width="22.7142857142857" customWidth="1"/>
    <col min="61" max="61" width="20" customWidth="1"/>
    <col min="63" max="63" width="13.1428571428571" customWidth="1"/>
    <col min="69" max="69" width="42.7142857142857" customWidth="1"/>
    <col min="70" max="70" width="21.8571428571429" customWidth="1"/>
    <col min="71" max="71" width="27.8571428571429" customWidth="1"/>
    <col min="74" max="74" width="9.14285714285714" style="2"/>
    <col min="75" max="75" width="171.857142857143" style="2" customWidth="1"/>
    <col min="76" max="76" width="119.571428571429" style="2" customWidth="1"/>
    <col min="77" max="77" width="198.285714285714" customWidth="1"/>
    <col min="93" max="93" width="27.5714285714286" style="2" customWidth="1"/>
    <col min="94" max="94" width="134.857142857143" style="2" customWidth="1"/>
    <col min="95" max="95" width="160.142857142857" customWidth="1"/>
    <col min="96" max="96" width="10.5714285714286" style="2" customWidth="1"/>
    <col min="97" max="97" width="84.5714285714286" customWidth="1"/>
    <col min="98" max="98" width="63.2857142857143" customWidth="1"/>
    <col min="100" max="100" width="19.2857142857143" customWidth="1"/>
    <col min="102" max="102" width="90" style="2" customWidth="1"/>
    <col min="103" max="103" width="158.285714285714" customWidth="1"/>
    <col min="108" max="108" width="16.4285714285714" style="2" customWidth="1"/>
    <col min="109" max="109" width="138.714285714286" style="2" customWidth="1"/>
    <col min="110" max="110" width="169.285714285714" customWidth="1"/>
    <col min="116" max="116" width="22.2857142857143" customWidth="1"/>
    <col min="117" max="117" width="45.2857142857143" customWidth="1"/>
    <col min="118" max="118" width="29.5714285714286" customWidth="1"/>
    <col min="121" max="121" width="22.4285714285714" customWidth="1"/>
    <col min="124" max="124" width="22.8571428571429" style="29" customWidth="1"/>
    <col min="125" max="125" width="171.571428571429" customWidth="1"/>
    <col min="126" max="126" width="137.142857142857" customWidth="1"/>
    <col min="127" max="127" width="25" customWidth="1"/>
    <col min="128" max="128" width="211.714285714286" customWidth="1"/>
    <col min="129" max="129" width="65.5714285714286" customWidth="1"/>
    <col min="130" max="130" width="255.714285714286" customWidth="1"/>
    <col min="140" max="140" width="255.714285714286" customWidth="1"/>
    <col min="150" max="150" width="26.1428571428571" customWidth="1"/>
    <col min="151" max="151" width="195.428571428571" customWidth="1"/>
    <col min="152" max="152" width="116.285714285714" customWidth="1"/>
    <col min="153" max="153" width="19.8571428571429" customWidth="1"/>
    <col min="155" max="155" width="15.8571428571429" customWidth="1"/>
    <col min="162" max="162" width="82.7142857142857" customWidth="1"/>
    <col min="163" max="163" width="21.4285714285714" customWidth="1"/>
    <col min="176" max="176" width="112.571428571429" customWidth="1"/>
    <col min="177" max="177" width="127.714285714286" customWidth="1"/>
    <col min="178" max="178" width="42.5714285714286" customWidth="1"/>
    <col min="179" max="179" width="162.571428571429" customWidth="1"/>
    <col min="180" max="180" width="131" style="2" customWidth="1"/>
    <col min="181" max="181" width="98.7142857142857" customWidth="1"/>
    <col min="182" max="182" width="32.7142857142857" customWidth="1"/>
    <col min="183" max="183" width="93.8571428571429" customWidth="1"/>
    <col min="184" max="184" width="97.7142857142857" customWidth="1"/>
    <col min="185" max="185" width="50" customWidth="1"/>
    <col min="186" max="186" width="64.5714285714286" customWidth="1"/>
    <col min="187" max="187" width="91.7142857142857" customWidth="1"/>
    <col min="188" max="188" width="126.428571428571" customWidth="1"/>
    <col min="189" max="189" width="20.7142857142857" customWidth="1"/>
    <col min="190" max="190" width="85.8571428571429" style="2" customWidth="1"/>
    <col min="191" max="191" width="20.2857142857143" customWidth="1"/>
    <col min="192" max="192" width="97.2857142857143" customWidth="1"/>
    <col min="193" max="193" width="103.428571428571" customWidth="1"/>
    <col min="194" max="194" width="127.714285714286" customWidth="1"/>
    <col min="203" max="203" width="74.8571428571429" customWidth="1"/>
    <col min="204" max="205" width="91.4285714285714" customWidth="1"/>
    <col min="211" max="211" width="69.5714285714286" customWidth="1"/>
    <col min="212" max="212" width="27.1428571428571" customWidth="1"/>
    <col min="213" max="213" width="112.857142857143" customWidth="1"/>
    <col min="220" max="220" width="43.8571428571429" style="2" customWidth="1"/>
    <col min="221" max="221" width="62.1428571428571" customWidth="1"/>
    <col min="222" max="222" width="31.7142857142857" customWidth="1"/>
    <col min="223" max="223" width="122" customWidth="1"/>
    <col min="224" max="224" width="71" customWidth="1"/>
    <col min="225" max="225" width="96.5714285714286" customWidth="1"/>
    <col min="226" max="226" width="82.7142857142857" customWidth="1"/>
    <col min="227" max="227" width="143.142857142857" customWidth="1"/>
    <col min="228" max="228" width="24.4285714285714" customWidth="1"/>
    <col min="229" max="229" width="19.5714285714286" customWidth="1"/>
    <col min="230" max="230" width="33.8571428571429" customWidth="1"/>
    <col min="231" max="231" width="24.4285714285714" customWidth="1"/>
    <col min="232" max="232" width="37.7142857142857" customWidth="1"/>
    <col min="233" max="233" width="31.7142857142857" customWidth="1"/>
    <col min="234" max="234" width="29.5714285714286" customWidth="1"/>
    <col min="235" max="235" width="163.285714285714" customWidth="1"/>
    <col min="236" max="236" width="34" customWidth="1"/>
    <col min="237" max="237" width="55.2857142857143" customWidth="1"/>
    <col min="238" max="238" width="31.1428571428571" customWidth="1"/>
    <col min="239" max="239" width="34.5714285714286" customWidth="1"/>
    <col min="240" max="240" width="43.5714285714286" customWidth="1"/>
    <col min="241" max="241" width="92.5714285714286" customWidth="1"/>
    <col min="242" max="242" width="104" style="2" customWidth="1"/>
    <col min="243" max="243" width="122.428571428571" customWidth="1"/>
    <col min="244" max="244" width="97.4285714285714" customWidth="1"/>
    <col min="256" max="256" width="19.1428571428571" customWidth="1"/>
    <col min="257" max="257" width="117.857142857143" customWidth="1"/>
    <col min="258" max="258" width="105" customWidth="1"/>
    <col min="259" max="259" width="87.2857142857143" customWidth="1"/>
    <col min="260" max="260" width="127.142857142857" customWidth="1"/>
    <col min="261" max="261" width="96.8571428571429" customWidth="1"/>
    <col min="262" max="262" width="79.2857142857143" customWidth="1"/>
    <col min="263" max="263" width="116" customWidth="1"/>
    <col min="269" max="269" width="28.5714285714286" customWidth="1"/>
    <col min="270" max="270" width="103.857142857143" customWidth="1"/>
    <col min="271" max="271" width="100" customWidth="1"/>
    <col min="272" max="272" width="23.1428571428571" customWidth="1"/>
    <col min="273" max="273" width="48" customWidth="1"/>
    <col min="281" max="281" width="94.7142857142857" customWidth="1"/>
    <col min="282" max="282" width="51.4285714285714" style="2" customWidth="1"/>
    <col min="288" max="288" width="37" style="2" customWidth="1"/>
    <col min="289" max="289" width="158.571428571429" style="2" customWidth="1"/>
  </cols>
  <sheetData>
    <row r="1" s="28" customFormat="1" ht="26.25" spans="1:289">
      <c r="A1" s="3" t="s">
        <v>0</v>
      </c>
      <c r="B1" s="3"/>
      <c r="C1" s="3"/>
      <c r="D1" s="3"/>
      <c r="E1" s="3"/>
      <c r="F1" s="3"/>
      <c r="G1" s="3"/>
      <c r="H1" s="3"/>
      <c r="I1" s="3"/>
      <c r="J1" s="30" t="s">
        <v>1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74" t="s">
        <v>2</v>
      </c>
      <c r="FZ1" s="74"/>
      <c r="GA1" s="74"/>
      <c r="GB1" s="74"/>
      <c r="GC1" s="74"/>
      <c r="GD1" s="74"/>
      <c r="GE1" s="74"/>
      <c r="GF1" s="74"/>
      <c r="GG1" s="74"/>
      <c r="GH1" s="74"/>
      <c r="GI1" s="79" t="s">
        <v>3</v>
      </c>
      <c r="GJ1" s="79"/>
      <c r="GK1" s="79"/>
      <c r="GL1" s="79"/>
      <c r="GM1" s="79"/>
      <c r="GN1" s="79"/>
      <c r="GO1" s="79"/>
      <c r="GP1" s="79"/>
      <c r="GQ1" s="79"/>
      <c r="GR1" s="79"/>
      <c r="GS1" s="79"/>
      <c r="GT1" s="79"/>
      <c r="GU1" s="79"/>
      <c r="GV1" s="79"/>
      <c r="GW1" s="79"/>
      <c r="GX1" s="79"/>
      <c r="GY1" s="79"/>
      <c r="GZ1" s="79"/>
      <c r="HA1" s="79"/>
      <c r="HB1" s="79"/>
      <c r="HC1" s="79"/>
      <c r="HD1" s="79"/>
      <c r="HE1" s="79"/>
      <c r="HF1" s="79"/>
      <c r="HG1" s="79"/>
      <c r="HH1" s="79"/>
      <c r="HI1" s="79"/>
      <c r="HJ1" s="79"/>
      <c r="HK1" s="79"/>
      <c r="HL1" s="79"/>
      <c r="HM1" s="82" t="s">
        <v>4</v>
      </c>
      <c r="HN1" s="82"/>
      <c r="HO1" s="82"/>
      <c r="HP1" s="82"/>
      <c r="HQ1" s="82"/>
      <c r="HR1" s="82"/>
      <c r="HS1" s="82"/>
      <c r="HT1" s="82"/>
      <c r="HU1" s="82"/>
      <c r="HV1" s="82"/>
      <c r="HW1" s="82"/>
      <c r="HX1" s="82"/>
      <c r="HY1" s="82"/>
      <c r="HZ1" s="82"/>
      <c r="IA1" s="82"/>
      <c r="IB1" s="82"/>
      <c r="IC1" s="82"/>
      <c r="ID1" s="82"/>
      <c r="IE1" s="82"/>
      <c r="IF1" s="82"/>
      <c r="IG1" s="82"/>
      <c r="IH1" s="82"/>
      <c r="II1" s="10" t="s">
        <v>5</v>
      </c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90" t="s">
        <v>6</v>
      </c>
      <c r="JX1" s="90"/>
      <c r="JY1" s="90"/>
      <c r="JZ1" s="90"/>
      <c r="KA1" s="90"/>
      <c r="KB1" s="91"/>
      <c r="KC1" s="96" t="s">
        <v>7</v>
      </c>
    </row>
    <row r="2" ht="23.25" spans="1:289">
      <c r="A2" s="3"/>
      <c r="B2" s="3"/>
      <c r="C2" s="3"/>
      <c r="D2" s="3"/>
      <c r="E2" s="3"/>
      <c r="F2" s="3"/>
      <c r="G2" s="3"/>
      <c r="H2" s="3"/>
      <c r="I2" s="3"/>
      <c r="J2" s="31" t="s">
        <v>8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40" t="s">
        <v>9</v>
      </c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4" t="s">
        <v>10</v>
      </c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8" t="s">
        <v>11</v>
      </c>
      <c r="BX2" s="49" t="s">
        <v>12</v>
      </c>
      <c r="BY2" s="47" t="s">
        <v>13</v>
      </c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3" t="s">
        <v>14</v>
      </c>
      <c r="CQ2" s="54" t="s">
        <v>15</v>
      </c>
      <c r="CR2" s="54"/>
      <c r="CS2" s="47" t="s">
        <v>16</v>
      </c>
      <c r="CT2" s="47"/>
      <c r="CU2" s="47"/>
      <c r="CV2" s="47"/>
      <c r="CW2" s="47"/>
      <c r="CX2" s="47"/>
      <c r="CY2" s="57" t="s">
        <v>17</v>
      </c>
      <c r="CZ2" s="57"/>
      <c r="DA2" s="57"/>
      <c r="DB2" s="57"/>
      <c r="DC2" s="57"/>
      <c r="DD2" s="58"/>
      <c r="DE2" s="59" t="s">
        <v>18</v>
      </c>
      <c r="DF2" s="41" t="s">
        <v>19</v>
      </c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61" t="s">
        <v>20</v>
      </c>
      <c r="DV2" s="62" t="s">
        <v>21</v>
      </c>
      <c r="DW2" s="62"/>
      <c r="DX2" s="63" t="s">
        <v>22</v>
      </c>
      <c r="DY2" s="63"/>
      <c r="DZ2" s="68" t="s">
        <v>23</v>
      </c>
      <c r="EA2" s="68"/>
      <c r="EB2" s="68"/>
      <c r="EC2" s="68"/>
      <c r="ED2" s="68"/>
      <c r="EE2" s="68"/>
      <c r="EF2" s="68"/>
      <c r="EG2" s="68"/>
      <c r="EH2" s="68"/>
      <c r="EI2" s="68"/>
      <c r="EJ2" s="61" t="s">
        <v>24</v>
      </c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47" t="s">
        <v>25</v>
      </c>
      <c r="EV2" s="70" t="s">
        <v>26</v>
      </c>
      <c r="EW2" s="70"/>
      <c r="EX2" s="47" t="s">
        <v>27</v>
      </c>
      <c r="EY2" s="47"/>
      <c r="EZ2" s="47"/>
      <c r="FA2" s="47"/>
      <c r="FB2" s="47"/>
      <c r="FC2" s="47"/>
      <c r="FD2" s="47"/>
      <c r="FE2" s="47"/>
      <c r="FF2" s="47"/>
      <c r="FG2" s="47"/>
      <c r="FH2" s="62" t="s">
        <v>28</v>
      </c>
      <c r="FI2" s="62"/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72" t="s">
        <v>29</v>
      </c>
      <c r="FU2" s="13" t="s">
        <v>30</v>
      </c>
      <c r="FV2" s="13"/>
      <c r="FW2" s="62" t="s">
        <v>31</v>
      </c>
      <c r="FX2" s="75" t="s">
        <v>32</v>
      </c>
      <c r="FY2" s="13" t="s">
        <v>33</v>
      </c>
      <c r="FZ2" s="13"/>
      <c r="GA2" s="69" t="s">
        <v>34</v>
      </c>
      <c r="GB2" s="34" t="s">
        <v>35</v>
      </c>
      <c r="GC2" s="34"/>
      <c r="GD2" s="34"/>
      <c r="GE2" s="80" t="s">
        <v>36</v>
      </c>
      <c r="GF2" s="80"/>
      <c r="GG2" s="34" t="s">
        <v>37</v>
      </c>
      <c r="GH2" s="34"/>
      <c r="GI2" s="45" t="s">
        <v>38</v>
      </c>
      <c r="GJ2" s="45"/>
      <c r="GK2" s="13" t="s">
        <v>39</v>
      </c>
      <c r="GL2" s="34" t="s">
        <v>40</v>
      </c>
      <c r="GM2" s="34"/>
      <c r="GN2" s="34"/>
      <c r="GO2" s="34"/>
      <c r="GP2" s="34"/>
      <c r="GQ2" s="34"/>
      <c r="GR2" s="34"/>
      <c r="GS2" s="34"/>
      <c r="GT2" s="34"/>
      <c r="GU2" s="61" t="s">
        <v>41</v>
      </c>
      <c r="GV2" s="62" t="s">
        <v>42</v>
      </c>
      <c r="GW2" s="61" t="s">
        <v>43</v>
      </c>
      <c r="GX2" s="61"/>
      <c r="GY2" s="61"/>
      <c r="GZ2" s="61"/>
      <c r="HA2" s="61"/>
      <c r="HB2" s="61"/>
      <c r="HC2" s="61"/>
      <c r="HD2" s="61"/>
      <c r="HE2" s="69" t="s">
        <v>44</v>
      </c>
      <c r="HF2" s="69"/>
      <c r="HG2" s="69"/>
      <c r="HH2" s="69"/>
      <c r="HI2" s="69"/>
      <c r="HJ2" s="69"/>
      <c r="HK2" s="69"/>
      <c r="HL2" s="69"/>
      <c r="HM2" s="61" t="s">
        <v>45</v>
      </c>
      <c r="HN2" s="61"/>
      <c r="HO2" s="61"/>
      <c r="HP2" s="83" t="s">
        <v>46</v>
      </c>
      <c r="HQ2" s="83"/>
      <c r="HR2" s="83"/>
      <c r="HS2" s="61" t="s">
        <v>47</v>
      </c>
      <c r="HT2" s="61"/>
      <c r="HU2" s="61"/>
      <c r="HV2" s="61"/>
      <c r="HW2" s="61"/>
      <c r="HX2" s="61"/>
      <c r="HY2" s="61"/>
      <c r="HZ2" s="61"/>
      <c r="IA2" s="62" t="s">
        <v>48</v>
      </c>
      <c r="IB2" s="62"/>
      <c r="IC2" s="62"/>
      <c r="ID2" s="62"/>
      <c r="IE2" s="62"/>
      <c r="IF2" s="62"/>
      <c r="IG2" s="62"/>
      <c r="IH2" s="52" t="s">
        <v>49</v>
      </c>
      <c r="II2" s="85" t="s">
        <v>50</v>
      </c>
      <c r="IJ2" s="61"/>
      <c r="IK2" s="61"/>
      <c r="IL2" s="61"/>
      <c r="IM2" s="61"/>
      <c r="IN2" s="61"/>
      <c r="IO2" s="61"/>
      <c r="IP2" s="61"/>
      <c r="IQ2" s="61"/>
      <c r="IR2" s="61"/>
      <c r="IS2" s="61"/>
      <c r="IT2" s="61"/>
      <c r="IU2" s="61"/>
      <c r="IV2" s="61"/>
      <c r="IW2" s="87" t="s">
        <v>51</v>
      </c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88" t="s">
        <v>52</v>
      </c>
      <c r="JK2" s="89"/>
      <c r="JL2" s="89"/>
      <c r="JM2" s="89"/>
      <c r="JN2" s="89"/>
      <c r="JO2" s="89"/>
      <c r="JP2" s="89"/>
      <c r="JQ2" s="89"/>
      <c r="JR2" s="89"/>
      <c r="JS2" s="89"/>
      <c r="JT2" s="89"/>
      <c r="JU2" s="89"/>
      <c r="JV2" s="89"/>
      <c r="JW2" s="92" t="s">
        <v>6</v>
      </c>
      <c r="JX2" s="93"/>
      <c r="JY2" s="93"/>
      <c r="JZ2" s="93"/>
      <c r="KA2" s="93"/>
      <c r="KB2" s="93"/>
      <c r="KC2" s="97" t="s">
        <v>7</v>
      </c>
    </row>
    <row r="3" ht="21" spans="1:289">
      <c r="A3" s="3"/>
      <c r="B3" s="3"/>
      <c r="C3" s="3"/>
      <c r="D3" s="3"/>
      <c r="E3" s="3"/>
      <c r="F3" s="3"/>
      <c r="G3" s="3"/>
      <c r="H3" s="3"/>
      <c r="I3" s="3"/>
      <c r="J3" s="32" t="s">
        <v>53</v>
      </c>
      <c r="K3" s="32"/>
      <c r="L3" s="33" t="s">
        <v>54</v>
      </c>
      <c r="M3" s="33"/>
      <c r="N3" s="34" t="s">
        <v>55</v>
      </c>
      <c r="O3" s="34"/>
      <c r="P3" s="35" t="s">
        <v>56</v>
      </c>
      <c r="Q3" s="35"/>
      <c r="R3" s="12" t="s">
        <v>57</v>
      </c>
      <c r="S3" s="12"/>
      <c r="T3" s="37" t="s">
        <v>58</v>
      </c>
      <c r="U3" s="37"/>
      <c r="V3" s="38" t="s">
        <v>59</v>
      </c>
      <c r="W3" s="38"/>
      <c r="X3" s="39" t="s">
        <v>60</v>
      </c>
      <c r="Y3" s="39"/>
      <c r="Z3" s="41" t="s">
        <v>61</v>
      </c>
      <c r="AA3" s="41"/>
      <c r="AB3" s="34" t="s">
        <v>62</v>
      </c>
      <c r="AC3" s="34"/>
      <c r="AD3" s="32" t="s">
        <v>63</v>
      </c>
      <c r="AE3" s="32"/>
      <c r="AF3" s="32"/>
      <c r="AG3" s="32"/>
      <c r="AH3" s="32"/>
      <c r="AI3" s="32"/>
      <c r="AJ3" s="32"/>
      <c r="AK3" s="32"/>
      <c r="AL3" s="32"/>
      <c r="AM3" s="32"/>
      <c r="AN3" s="43"/>
      <c r="AO3" s="45" t="s">
        <v>64</v>
      </c>
      <c r="AP3" s="45"/>
      <c r="AQ3" s="45"/>
      <c r="AR3" s="45"/>
      <c r="AS3" s="45"/>
      <c r="AT3" s="45"/>
      <c r="AU3" s="45"/>
      <c r="AV3" s="45"/>
      <c r="AW3" s="45"/>
      <c r="AX3" s="45"/>
      <c r="AY3" s="46" t="s">
        <v>65</v>
      </c>
      <c r="AZ3" s="46"/>
      <c r="BA3" s="46"/>
      <c r="BB3" s="46"/>
      <c r="BC3" s="46"/>
      <c r="BD3" s="46"/>
      <c r="BE3" s="46"/>
      <c r="BF3" s="46"/>
      <c r="BG3" s="45" t="s">
        <v>66</v>
      </c>
      <c r="BH3" s="45"/>
      <c r="BI3" s="45"/>
      <c r="BJ3" s="45"/>
      <c r="BK3" s="45"/>
      <c r="BL3" s="45"/>
      <c r="BM3" s="45"/>
      <c r="BN3" s="45"/>
      <c r="BO3" s="45"/>
      <c r="BP3" s="45"/>
      <c r="BQ3" s="47" t="s">
        <v>67</v>
      </c>
      <c r="BR3" s="47"/>
      <c r="BS3" s="47"/>
      <c r="BT3" s="47"/>
      <c r="BU3" s="47"/>
      <c r="BV3" s="50"/>
      <c r="BW3" s="51" t="s">
        <v>68</v>
      </c>
      <c r="BX3" s="52" t="s">
        <v>69</v>
      </c>
      <c r="BY3" s="53" t="s">
        <v>70</v>
      </c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5" t="s">
        <v>71</v>
      </c>
      <c r="CQ3" s="56" t="s">
        <v>72</v>
      </c>
      <c r="CR3" s="56"/>
      <c r="CS3" s="34" t="s">
        <v>73</v>
      </c>
      <c r="CT3" s="34"/>
      <c r="CU3" s="34"/>
      <c r="CV3" s="34"/>
      <c r="CW3" s="34"/>
      <c r="CX3" s="34"/>
      <c r="CY3" s="37" t="s">
        <v>74</v>
      </c>
      <c r="CZ3" s="37"/>
      <c r="DA3" s="37"/>
      <c r="DB3" s="37"/>
      <c r="DC3" s="37"/>
      <c r="DD3" s="37"/>
      <c r="DE3" s="52" t="s">
        <v>75</v>
      </c>
      <c r="DF3" s="12" t="s">
        <v>76</v>
      </c>
      <c r="DG3" s="12"/>
      <c r="DH3" s="12"/>
      <c r="DI3" s="12"/>
      <c r="DJ3" s="12"/>
      <c r="DK3" s="12"/>
      <c r="DL3" s="12"/>
      <c r="DM3" s="12"/>
      <c r="DN3" s="60" t="s">
        <v>77</v>
      </c>
      <c r="DO3" s="60"/>
      <c r="DP3" s="60"/>
      <c r="DQ3" s="60"/>
      <c r="DR3" s="60"/>
      <c r="DS3" s="60"/>
      <c r="DT3" s="60"/>
      <c r="DU3" s="64" t="s">
        <v>78</v>
      </c>
      <c r="DV3" s="13" t="s">
        <v>79</v>
      </c>
      <c r="DW3" s="13"/>
      <c r="DX3" s="34" t="s">
        <v>80</v>
      </c>
      <c r="DY3" s="34"/>
      <c r="DZ3" s="69" t="s">
        <v>81</v>
      </c>
      <c r="EA3" s="69"/>
      <c r="EB3" s="69"/>
      <c r="EC3" s="69"/>
      <c r="ED3" s="69"/>
      <c r="EE3" s="69"/>
      <c r="EF3" s="69"/>
      <c r="EG3" s="69"/>
      <c r="EH3" s="69"/>
      <c r="EI3" s="69"/>
      <c r="EJ3" s="13" t="s">
        <v>82</v>
      </c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63" t="s">
        <v>83</v>
      </c>
      <c r="EV3" s="71" t="s">
        <v>84</v>
      </c>
      <c r="EW3" s="71"/>
      <c r="EX3" s="45" t="s">
        <v>85</v>
      </c>
      <c r="EY3" s="45"/>
      <c r="EZ3" s="45"/>
      <c r="FA3" s="45"/>
      <c r="FB3" s="45"/>
      <c r="FC3" s="45"/>
      <c r="FD3" s="45"/>
      <c r="FE3" s="45"/>
      <c r="FF3" s="45"/>
      <c r="FG3" s="45"/>
      <c r="FH3" s="61" t="s">
        <v>86</v>
      </c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73" t="s">
        <v>87</v>
      </c>
      <c r="FU3" s="47" t="s">
        <v>88</v>
      </c>
      <c r="FV3" s="47"/>
      <c r="FW3" s="76" t="s">
        <v>89</v>
      </c>
      <c r="FX3" s="77" t="s">
        <v>90</v>
      </c>
      <c r="FY3" s="61" t="s">
        <v>91</v>
      </c>
      <c r="FZ3" s="61"/>
      <c r="GA3" s="68" t="s">
        <v>92</v>
      </c>
      <c r="GB3" s="13" t="s">
        <v>93</v>
      </c>
      <c r="GC3" s="41" t="s">
        <v>94</v>
      </c>
      <c r="GD3" s="47" t="s">
        <v>95</v>
      </c>
      <c r="GE3" s="62" t="s">
        <v>96</v>
      </c>
      <c r="GF3" s="62"/>
      <c r="GG3" s="81" t="s">
        <v>97</v>
      </c>
      <c r="GH3" s="81"/>
      <c r="GI3" s="76" t="s">
        <v>98</v>
      </c>
      <c r="GJ3" s="76"/>
      <c r="GK3" s="69" t="s">
        <v>99</v>
      </c>
      <c r="GL3" s="73" t="s">
        <v>100</v>
      </c>
      <c r="GM3" s="73"/>
      <c r="GN3" s="73"/>
      <c r="GO3" s="73"/>
      <c r="GP3" s="73"/>
      <c r="GQ3" s="73"/>
      <c r="GR3" s="73"/>
      <c r="GS3" s="73"/>
      <c r="GT3" s="73"/>
      <c r="GU3" s="13" t="s">
        <v>101</v>
      </c>
      <c r="GV3" s="63" t="s">
        <v>102</v>
      </c>
      <c r="GW3" s="80" t="s">
        <v>103</v>
      </c>
      <c r="GX3" s="80"/>
      <c r="GY3" s="80"/>
      <c r="GZ3" s="80"/>
      <c r="HA3" s="80"/>
      <c r="HB3" s="80"/>
      <c r="HC3" s="80"/>
      <c r="HD3" s="80"/>
      <c r="HE3" s="13" t="s">
        <v>104</v>
      </c>
      <c r="HF3" s="13"/>
      <c r="HG3" s="13"/>
      <c r="HH3" s="13"/>
      <c r="HI3" s="13"/>
      <c r="HJ3" s="13"/>
      <c r="HK3" s="13"/>
      <c r="HL3" s="13"/>
      <c r="HM3" s="76" t="s">
        <v>105</v>
      </c>
      <c r="HN3" s="76"/>
      <c r="HO3" s="69" t="s">
        <v>106</v>
      </c>
      <c r="HP3" s="62" t="s">
        <v>107</v>
      </c>
      <c r="HQ3" s="62"/>
      <c r="HR3" s="13" t="s">
        <v>108</v>
      </c>
      <c r="HS3" s="69" t="s">
        <v>109</v>
      </c>
      <c r="HT3" s="69"/>
      <c r="HU3" s="69"/>
      <c r="HV3" s="69"/>
      <c r="HW3" s="69"/>
      <c r="HX3" s="69"/>
      <c r="HY3" s="69"/>
      <c r="HZ3" s="69"/>
      <c r="IA3" s="76" t="s">
        <v>110</v>
      </c>
      <c r="IB3" s="76" t="s">
        <v>111</v>
      </c>
      <c r="IC3" s="84" t="s">
        <v>112</v>
      </c>
      <c r="ID3" s="61" t="s">
        <v>113</v>
      </c>
      <c r="IE3" s="73" t="s">
        <v>114</v>
      </c>
      <c r="IF3" s="84" t="s">
        <v>115</v>
      </c>
      <c r="IG3" s="47" t="s">
        <v>116</v>
      </c>
      <c r="IH3" s="86" t="s">
        <v>117</v>
      </c>
      <c r="II3" s="69" t="s">
        <v>118</v>
      </c>
      <c r="IJ3" s="13" t="s">
        <v>119</v>
      </c>
      <c r="IK3" s="13"/>
      <c r="IL3" s="13"/>
      <c r="IM3" s="13"/>
      <c r="IN3" s="13"/>
      <c r="IO3" s="76" t="s">
        <v>120</v>
      </c>
      <c r="IP3" s="76"/>
      <c r="IQ3" s="76"/>
      <c r="IR3" s="76"/>
      <c r="IS3" s="76"/>
      <c r="IT3" s="76"/>
      <c r="IU3" s="76"/>
      <c r="IV3" s="76"/>
      <c r="IW3" s="12" t="s">
        <v>121</v>
      </c>
      <c r="IX3" s="13" t="s">
        <v>122</v>
      </c>
      <c r="IY3" s="12" t="s">
        <v>123</v>
      </c>
      <c r="IZ3" s="76" t="s">
        <v>124</v>
      </c>
      <c r="JA3" s="12" t="s">
        <v>125</v>
      </c>
      <c r="JB3" s="13" t="s">
        <v>126</v>
      </c>
      <c r="JC3" s="12" t="s">
        <v>127</v>
      </c>
      <c r="JD3" s="12"/>
      <c r="JE3" s="12"/>
      <c r="JF3" s="12"/>
      <c r="JG3" s="12"/>
      <c r="JH3" s="12"/>
      <c r="JI3" s="12"/>
      <c r="JJ3" s="34" t="s">
        <v>128</v>
      </c>
      <c r="JK3" s="68" t="s">
        <v>129</v>
      </c>
      <c r="JL3" s="76" t="s">
        <v>130</v>
      </c>
      <c r="JM3" s="76"/>
      <c r="JN3" s="76"/>
      <c r="JO3" s="76"/>
      <c r="JP3" s="76"/>
      <c r="JQ3" s="76"/>
      <c r="JR3" s="76"/>
      <c r="JS3" s="76"/>
      <c r="JT3" s="76"/>
      <c r="JU3" s="64" t="s">
        <v>131</v>
      </c>
      <c r="JV3" s="64"/>
      <c r="JW3" s="68" t="s">
        <v>6</v>
      </c>
      <c r="JX3" s="68"/>
      <c r="JY3" s="68"/>
      <c r="JZ3" s="68"/>
      <c r="KA3" s="68"/>
      <c r="KB3" s="68"/>
      <c r="KC3" s="59" t="s">
        <v>7</v>
      </c>
    </row>
    <row r="4" s="25" customFormat="1" spans="1:289">
      <c r="A4" s="4" t="s">
        <v>132</v>
      </c>
      <c r="B4" s="4" t="s">
        <v>133</v>
      </c>
      <c r="C4" s="4" t="s">
        <v>134</v>
      </c>
      <c r="D4" s="4" t="s">
        <v>135</v>
      </c>
      <c r="E4" s="4" t="s">
        <v>136</v>
      </c>
      <c r="F4" s="5" t="s">
        <v>137</v>
      </c>
      <c r="G4" s="4" t="s">
        <v>138</v>
      </c>
      <c r="H4" s="4" t="s">
        <v>139</v>
      </c>
      <c r="I4" s="14" t="s">
        <v>140</v>
      </c>
      <c r="J4" s="4" t="s">
        <v>141</v>
      </c>
      <c r="K4" s="4" t="s">
        <v>142</v>
      </c>
      <c r="L4" s="4" t="s">
        <v>143</v>
      </c>
      <c r="M4" s="4" t="s">
        <v>144</v>
      </c>
      <c r="N4" s="4" t="s">
        <v>145</v>
      </c>
      <c r="O4" s="4" t="s">
        <v>146</v>
      </c>
      <c r="P4" s="4" t="s">
        <v>147</v>
      </c>
      <c r="Q4" s="4" t="s">
        <v>148</v>
      </c>
      <c r="R4" s="4" t="s">
        <v>149</v>
      </c>
      <c r="S4" s="4" t="s">
        <v>150</v>
      </c>
      <c r="T4" s="4" t="s">
        <v>151</v>
      </c>
      <c r="U4" s="4" t="s">
        <v>152</v>
      </c>
      <c r="V4" s="4" t="s">
        <v>153</v>
      </c>
      <c r="W4" s="4" t="s">
        <v>154</v>
      </c>
      <c r="X4" s="4" t="s">
        <v>155</v>
      </c>
      <c r="Y4" s="4" t="s">
        <v>156</v>
      </c>
      <c r="Z4" s="4" t="s">
        <v>157</v>
      </c>
      <c r="AA4" s="4" t="s">
        <v>158</v>
      </c>
      <c r="AB4" s="4" t="s">
        <v>159</v>
      </c>
      <c r="AC4" s="14" t="s">
        <v>160</v>
      </c>
      <c r="AD4" s="4" t="s">
        <v>161</v>
      </c>
      <c r="AE4" s="4" t="s">
        <v>162</v>
      </c>
      <c r="AF4" s="4" t="s">
        <v>163</v>
      </c>
      <c r="AG4" s="4" t="s">
        <v>164</v>
      </c>
      <c r="AH4" s="4" t="s">
        <v>165</v>
      </c>
      <c r="AI4" s="4" t="s">
        <v>166</v>
      </c>
      <c r="AJ4" s="4" t="s">
        <v>167</v>
      </c>
      <c r="AK4" s="4" t="s">
        <v>168</v>
      </c>
      <c r="AL4" s="4" t="s">
        <v>169</v>
      </c>
      <c r="AM4" s="4" t="s">
        <v>170</v>
      </c>
      <c r="AN4" s="14" t="s">
        <v>171</v>
      </c>
      <c r="AO4" s="4" t="s">
        <v>172</v>
      </c>
      <c r="AP4" s="4" t="s">
        <v>173</v>
      </c>
      <c r="AQ4" s="4" t="s">
        <v>174</v>
      </c>
      <c r="AR4" s="4" t="s">
        <v>175</v>
      </c>
      <c r="AS4" s="4" t="s">
        <v>176</v>
      </c>
      <c r="AT4" s="4" t="s">
        <v>177</v>
      </c>
      <c r="AU4" s="4" t="s">
        <v>178</v>
      </c>
      <c r="AV4" s="4" t="s">
        <v>179</v>
      </c>
      <c r="AW4" s="4" t="s">
        <v>180</v>
      </c>
      <c r="AX4" s="4" t="s">
        <v>181</v>
      </c>
      <c r="AY4" s="4" t="s">
        <v>182</v>
      </c>
      <c r="AZ4" s="4" t="s">
        <v>183</v>
      </c>
      <c r="BA4" s="4" t="s">
        <v>184</v>
      </c>
      <c r="BB4" s="4" t="s">
        <v>185</v>
      </c>
      <c r="BC4" s="4" t="s">
        <v>186</v>
      </c>
      <c r="BD4" s="4" t="s">
        <v>187</v>
      </c>
      <c r="BE4" s="4" t="s">
        <v>188</v>
      </c>
      <c r="BF4" s="4" t="s">
        <v>189</v>
      </c>
      <c r="BG4" s="4" t="s">
        <v>190</v>
      </c>
      <c r="BH4" s="4" t="s">
        <v>191</v>
      </c>
      <c r="BI4" s="4" t="s">
        <v>192</v>
      </c>
      <c r="BJ4" s="4" t="s">
        <v>193</v>
      </c>
      <c r="BK4" s="4" t="s">
        <v>194</v>
      </c>
      <c r="BL4" s="4" t="s">
        <v>195</v>
      </c>
      <c r="BM4" s="4" t="s">
        <v>196</v>
      </c>
      <c r="BN4" s="4" t="s">
        <v>197</v>
      </c>
      <c r="BO4" s="4" t="s">
        <v>198</v>
      </c>
      <c r="BP4" s="4" t="s">
        <v>199</v>
      </c>
      <c r="BQ4" s="4" t="s">
        <v>200</v>
      </c>
      <c r="BR4" s="4" t="s">
        <v>201</v>
      </c>
      <c r="BS4" s="4" t="s">
        <v>202</v>
      </c>
      <c r="BT4" s="4" t="s">
        <v>203</v>
      </c>
      <c r="BU4" s="4" t="s">
        <v>204</v>
      </c>
      <c r="BV4" s="14" t="s">
        <v>205</v>
      </c>
      <c r="BW4" s="14" t="s">
        <v>206</v>
      </c>
      <c r="BX4" s="14" t="s">
        <v>207</v>
      </c>
      <c r="BY4" s="4" t="s">
        <v>208</v>
      </c>
      <c r="BZ4" s="4" t="s">
        <v>209</v>
      </c>
      <c r="CA4" s="4" t="s">
        <v>210</v>
      </c>
      <c r="CB4" s="4" t="s">
        <v>211</v>
      </c>
      <c r="CC4" s="4" t="s">
        <v>212</v>
      </c>
      <c r="CD4" s="4" t="s">
        <v>213</v>
      </c>
      <c r="CE4" s="4" t="s">
        <v>214</v>
      </c>
      <c r="CF4" s="4" t="s">
        <v>215</v>
      </c>
      <c r="CG4" s="4" t="s">
        <v>216</v>
      </c>
      <c r="CH4" s="4" t="s">
        <v>217</v>
      </c>
      <c r="CI4" s="4" t="s">
        <v>218</v>
      </c>
      <c r="CJ4" s="4" t="s">
        <v>219</v>
      </c>
      <c r="CK4" s="4" t="s">
        <v>220</v>
      </c>
      <c r="CL4" s="4" t="s">
        <v>221</v>
      </c>
      <c r="CM4" s="4" t="s">
        <v>222</v>
      </c>
      <c r="CN4" s="4" t="s">
        <v>223</v>
      </c>
      <c r="CO4" s="14" t="s">
        <v>224</v>
      </c>
      <c r="CP4" s="14" t="s">
        <v>225</v>
      </c>
      <c r="CQ4" s="4" t="s">
        <v>226</v>
      </c>
      <c r="CR4" s="14" t="s">
        <v>227</v>
      </c>
      <c r="CS4" s="4" t="s">
        <v>228</v>
      </c>
      <c r="CT4" s="4" t="s">
        <v>229</v>
      </c>
      <c r="CU4" s="4" t="s">
        <v>230</v>
      </c>
      <c r="CV4" s="4" t="s">
        <v>231</v>
      </c>
      <c r="CW4" s="4" t="s">
        <v>232</v>
      </c>
      <c r="CX4" s="14" t="s">
        <v>233</v>
      </c>
      <c r="CY4" s="6" t="s">
        <v>234</v>
      </c>
      <c r="CZ4" s="4" t="s">
        <v>235</v>
      </c>
      <c r="DA4" s="4" t="s">
        <v>236</v>
      </c>
      <c r="DB4" s="4" t="s">
        <v>237</v>
      </c>
      <c r="DC4" s="4" t="s">
        <v>238</v>
      </c>
      <c r="DD4" s="14" t="s">
        <v>239</v>
      </c>
      <c r="DE4" s="14" t="s">
        <v>240</v>
      </c>
      <c r="DF4" s="4" t="s">
        <v>241</v>
      </c>
      <c r="DG4" s="4" t="s">
        <v>242</v>
      </c>
      <c r="DH4" s="4" t="s">
        <v>243</v>
      </c>
      <c r="DI4" s="4" t="s">
        <v>244</v>
      </c>
      <c r="DJ4" s="4" t="s">
        <v>245</v>
      </c>
      <c r="DK4" s="4" t="s">
        <v>246</v>
      </c>
      <c r="DL4" s="4" t="s">
        <v>247</v>
      </c>
      <c r="DM4" s="4" t="s">
        <v>248</v>
      </c>
      <c r="DN4" s="4" t="s">
        <v>249</v>
      </c>
      <c r="DO4" s="4" t="s">
        <v>250</v>
      </c>
      <c r="DP4" s="4" t="s">
        <v>251</v>
      </c>
      <c r="DQ4" s="4" t="s">
        <v>252</v>
      </c>
      <c r="DR4" s="4" t="s">
        <v>253</v>
      </c>
      <c r="DS4" s="4" t="s">
        <v>254</v>
      </c>
      <c r="DT4" s="65" t="s">
        <v>255</v>
      </c>
      <c r="DU4" s="4" t="s">
        <v>256</v>
      </c>
      <c r="DV4" s="4" t="s">
        <v>257</v>
      </c>
      <c r="DW4" s="4" t="s">
        <v>258</v>
      </c>
      <c r="DX4" s="4" t="s">
        <v>259</v>
      </c>
      <c r="DY4" s="4" t="s">
        <v>260</v>
      </c>
      <c r="DZ4" s="4" t="s">
        <v>261</v>
      </c>
      <c r="EA4" s="4" t="s">
        <v>262</v>
      </c>
      <c r="EB4" s="4" t="s">
        <v>263</v>
      </c>
      <c r="EC4" s="4" t="s">
        <v>264</v>
      </c>
      <c r="ED4" s="4" t="s">
        <v>265</v>
      </c>
      <c r="EE4" s="4" t="s">
        <v>266</v>
      </c>
      <c r="EF4" s="4" t="s">
        <v>267</v>
      </c>
      <c r="EG4" s="4" t="s">
        <v>268</v>
      </c>
      <c r="EH4" s="4" t="s">
        <v>269</v>
      </c>
      <c r="EI4" s="4" t="s">
        <v>270</v>
      </c>
      <c r="EJ4" s="4" t="s">
        <v>271</v>
      </c>
      <c r="EK4" s="4" t="s">
        <v>272</v>
      </c>
      <c r="EL4" s="4" t="s">
        <v>273</v>
      </c>
      <c r="EM4" s="4" t="s">
        <v>274</v>
      </c>
      <c r="EN4" s="4" t="s">
        <v>275</v>
      </c>
      <c r="EO4" s="4" t="s">
        <v>276</v>
      </c>
      <c r="EP4" s="4" t="s">
        <v>277</v>
      </c>
      <c r="EQ4" s="4" t="s">
        <v>278</v>
      </c>
      <c r="ER4" s="4" t="s">
        <v>279</v>
      </c>
      <c r="ES4" s="4" t="s">
        <v>280</v>
      </c>
      <c r="ET4" s="4" t="s">
        <v>281</v>
      </c>
      <c r="EU4" s="4" t="s">
        <v>282</v>
      </c>
      <c r="EV4" s="4" t="s">
        <v>283</v>
      </c>
      <c r="EW4" s="4" t="s">
        <v>284</v>
      </c>
      <c r="EX4" s="4" t="s">
        <v>285</v>
      </c>
      <c r="EY4" s="4" t="s">
        <v>286</v>
      </c>
      <c r="EZ4" s="4" t="s">
        <v>287</v>
      </c>
      <c r="FA4" s="4" t="s">
        <v>288</v>
      </c>
      <c r="FB4" s="4" t="s">
        <v>289</v>
      </c>
      <c r="FC4" s="4" t="s">
        <v>290</v>
      </c>
      <c r="FD4" s="4" t="s">
        <v>291</v>
      </c>
      <c r="FE4" s="4" t="s">
        <v>292</v>
      </c>
      <c r="FF4" s="4" t="s">
        <v>292</v>
      </c>
      <c r="FG4" s="4" t="s">
        <v>293</v>
      </c>
      <c r="FH4" s="4" t="s">
        <v>294</v>
      </c>
      <c r="FI4" s="4" t="s">
        <v>295</v>
      </c>
      <c r="FJ4" s="4" t="s">
        <v>296</v>
      </c>
      <c r="FK4" s="4" t="s">
        <v>297</v>
      </c>
      <c r="FL4" s="4" t="s">
        <v>298</v>
      </c>
      <c r="FM4" s="4" t="s">
        <v>299</v>
      </c>
      <c r="FN4" s="4" t="s">
        <v>300</v>
      </c>
      <c r="FO4" s="4" t="s">
        <v>301</v>
      </c>
      <c r="FP4" s="4" t="s">
        <v>302</v>
      </c>
      <c r="FQ4" s="4" t="s">
        <v>303</v>
      </c>
      <c r="FR4" s="4" t="s">
        <v>302</v>
      </c>
      <c r="FS4" s="4" t="s">
        <v>304</v>
      </c>
      <c r="FT4" s="4" t="s">
        <v>305</v>
      </c>
      <c r="FU4" s="4" t="s">
        <v>306</v>
      </c>
      <c r="FV4" s="4" t="s">
        <v>307</v>
      </c>
      <c r="FW4" s="4" t="s">
        <v>308</v>
      </c>
      <c r="FX4" s="14" t="s">
        <v>309</v>
      </c>
      <c r="FY4" s="4" t="s">
        <v>310</v>
      </c>
      <c r="FZ4" s="4" t="s">
        <v>311</v>
      </c>
      <c r="GA4" s="4" t="s">
        <v>312</v>
      </c>
      <c r="GB4" s="4" t="s">
        <v>313</v>
      </c>
      <c r="GC4" s="4" t="s">
        <v>314</v>
      </c>
      <c r="GD4" s="4" t="s">
        <v>315</v>
      </c>
      <c r="GE4" s="4" t="s">
        <v>316</v>
      </c>
      <c r="GF4" s="4" t="s">
        <v>317</v>
      </c>
      <c r="GG4" s="4" t="s">
        <v>318</v>
      </c>
      <c r="GH4" s="14" t="s">
        <v>319</v>
      </c>
      <c r="GI4" s="4" t="s">
        <v>320</v>
      </c>
      <c r="GJ4" s="4" t="s">
        <v>321</v>
      </c>
      <c r="GK4" s="4" t="s">
        <v>322</v>
      </c>
      <c r="GL4" s="4" t="s">
        <v>323</v>
      </c>
      <c r="GM4" s="4" t="s">
        <v>324</v>
      </c>
      <c r="GN4" s="4" t="s">
        <v>325</v>
      </c>
      <c r="GO4" s="4" t="s">
        <v>326</v>
      </c>
      <c r="GP4" s="4" t="s">
        <v>327</v>
      </c>
      <c r="GQ4" s="4" t="s">
        <v>328</v>
      </c>
      <c r="GR4" s="4" t="s">
        <v>329</v>
      </c>
      <c r="GS4" s="4" t="s">
        <v>330</v>
      </c>
      <c r="GT4" s="4" t="s">
        <v>331</v>
      </c>
      <c r="GU4" s="4" t="s">
        <v>332</v>
      </c>
      <c r="GV4" s="4" t="s">
        <v>333</v>
      </c>
      <c r="GW4" s="4" t="s">
        <v>334</v>
      </c>
      <c r="GX4" s="4" t="s">
        <v>335</v>
      </c>
      <c r="GY4" s="4" t="s">
        <v>336</v>
      </c>
      <c r="GZ4" s="4" t="s">
        <v>337</v>
      </c>
      <c r="HA4" s="4" t="s">
        <v>338</v>
      </c>
      <c r="HB4" s="4" t="s">
        <v>339</v>
      </c>
      <c r="HC4" s="4" t="s">
        <v>340</v>
      </c>
      <c r="HD4" s="4" t="s">
        <v>341</v>
      </c>
      <c r="HE4" s="4" t="s">
        <v>342</v>
      </c>
      <c r="HF4" s="4" t="s">
        <v>343</v>
      </c>
      <c r="HG4" s="4" t="s">
        <v>344</v>
      </c>
      <c r="HH4" s="4" t="s">
        <v>345</v>
      </c>
      <c r="HI4" s="4" t="s">
        <v>346</v>
      </c>
      <c r="HJ4" s="4" t="s">
        <v>347</v>
      </c>
      <c r="HK4" s="4" t="s">
        <v>348</v>
      </c>
      <c r="HL4" s="14" t="s">
        <v>349</v>
      </c>
      <c r="HM4" s="4" t="s">
        <v>350</v>
      </c>
      <c r="HN4" s="4" t="s">
        <v>351</v>
      </c>
      <c r="HO4" s="4" t="s">
        <v>352</v>
      </c>
      <c r="HP4" s="4" t="s">
        <v>353</v>
      </c>
      <c r="HQ4" s="4" t="s">
        <v>354</v>
      </c>
      <c r="HR4" s="4" t="s">
        <v>355</v>
      </c>
      <c r="HS4" s="4" t="s">
        <v>356</v>
      </c>
      <c r="HT4" s="4" t="s">
        <v>357</v>
      </c>
      <c r="HU4" s="4" t="s">
        <v>358</v>
      </c>
      <c r="HV4" s="4" t="s">
        <v>359</v>
      </c>
      <c r="HW4" s="4" t="s">
        <v>360</v>
      </c>
      <c r="HX4" s="4" t="s">
        <v>361</v>
      </c>
      <c r="HY4" s="4" t="s">
        <v>362</v>
      </c>
      <c r="HZ4" s="4" t="s">
        <v>363</v>
      </c>
      <c r="IA4" s="4" t="s">
        <v>364</v>
      </c>
      <c r="IB4" s="4" t="s">
        <v>365</v>
      </c>
      <c r="IC4" s="4" t="s">
        <v>366</v>
      </c>
      <c r="ID4" s="4" t="s">
        <v>367</v>
      </c>
      <c r="IE4" s="4" t="s">
        <v>368</v>
      </c>
      <c r="IF4" s="4" t="s">
        <v>369</v>
      </c>
      <c r="IG4" s="4" t="s">
        <v>370</v>
      </c>
      <c r="IH4" s="14" t="s">
        <v>371</v>
      </c>
      <c r="II4" s="4" t="s">
        <v>372</v>
      </c>
      <c r="IJ4" s="4" t="s">
        <v>373</v>
      </c>
      <c r="IK4" s="4" t="s">
        <v>374</v>
      </c>
      <c r="IL4" s="4" t="s">
        <v>375</v>
      </c>
      <c r="IM4" s="4" t="s">
        <v>376</v>
      </c>
      <c r="IN4" s="4" t="s">
        <v>377</v>
      </c>
      <c r="IO4" s="4" t="s">
        <v>378</v>
      </c>
      <c r="IP4" s="4" t="s">
        <v>379</v>
      </c>
      <c r="IQ4" s="4" t="s">
        <v>380</v>
      </c>
      <c r="IR4" s="4" t="s">
        <v>381</v>
      </c>
      <c r="IS4" s="4" t="s">
        <v>382</v>
      </c>
      <c r="IT4" s="4" t="s">
        <v>383</v>
      </c>
      <c r="IU4" s="4" t="s">
        <v>384</v>
      </c>
      <c r="IV4" s="4" t="s">
        <v>385</v>
      </c>
      <c r="IW4" s="4" t="s">
        <v>386</v>
      </c>
      <c r="IX4" s="4" t="s">
        <v>387</v>
      </c>
      <c r="IY4" s="4" t="s">
        <v>388</v>
      </c>
      <c r="IZ4" s="4" t="s">
        <v>389</v>
      </c>
      <c r="JA4" s="4" t="s">
        <v>390</v>
      </c>
      <c r="JB4" s="4" t="s">
        <v>391</v>
      </c>
      <c r="JC4" s="4" t="s">
        <v>392</v>
      </c>
      <c r="JD4" s="4" t="s">
        <v>393</v>
      </c>
      <c r="JE4" s="4" t="s">
        <v>394</v>
      </c>
      <c r="JF4" s="4" t="s">
        <v>395</v>
      </c>
      <c r="JG4" s="4" t="s">
        <v>396</v>
      </c>
      <c r="JH4" s="4" t="s">
        <v>397</v>
      </c>
      <c r="JI4" s="4" t="s">
        <v>398</v>
      </c>
      <c r="JJ4" s="4" t="s">
        <v>399</v>
      </c>
      <c r="JK4" s="4" t="s">
        <v>400</v>
      </c>
      <c r="JL4" s="4" t="s">
        <v>401</v>
      </c>
      <c r="JM4" s="4" t="s">
        <v>402</v>
      </c>
      <c r="JN4" s="4" t="s">
        <v>403</v>
      </c>
      <c r="JO4" s="4" t="s">
        <v>404</v>
      </c>
      <c r="JP4" s="4" t="s">
        <v>405</v>
      </c>
      <c r="JQ4" s="4" t="s">
        <v>406</v>
      </c>
      <c r="JR4" s="4" t="s">
        <v>407</v>
      </c>
      <c r="JS4" s="4" t="s">
        <v>408</v>
      </c>
      <c r="JT4" s="4" t="s">
        <v>409</v>
      </c>
      <c r="JU4" s="4" t="s">
        <v>410</v>
      </c>
      <c r="JV4" s="14" t="s">
        <v>411</v>
      </c>
      <c r="JW4" s="4" t="s">
        <v>412</v>
      </c>
      <c r="JX4" s="4" t="s">
        <v>413</v>
      </c>
      <c r="JY4" s="4" t="s">
        <v>414</v>
      </c>
      <c r="JZ4" s="4" t="s">
        <v>415</v>
      </c>
      <c r="KA4" s="4" t="s">
        <v>416</v>
      </c>
      <c r="KB4" s="14" t="s">
        <v>417</v>
      </c>
      <c r="KC4" s="14" t="s">
        <v>418</v>
      </c>
    </row>
    <row r="5" spans="1:289">
      <c r="A5" s="6" t="s">
        <v>419</v>
      </c>
      <c r="B5" s="7" t="s">
        <v>420</v>
      </c>
      <c r="C5" s="6" t="s">
        <v>421</v>
      </c>
      <c r="D5" s="6" t="s">
        <v>421</v>
      </c>
      <c r="E5" s="6" t="s">
        <v>422</v>
      </c>
      <c r="F5" s="8" t="s">
        <v>423</v>
      </c>
      <c r="G5" s="6" t="s">
        <v>424</v>
      </c>
      <c r="H5" s="6" t="s">
        <v>425</v>
      </c>
      <c r="I5" s="15"/>
      <c r="J5" s="6" t="s">
        <v>426</v>
      </c>
      <c r="K5" s="6" t="s">
        <v>426</v>
      </c>
      <c r="L5" s="6" t="s">
        <v>426</v>
      </c>
      <c r="M5" s="6" t="s">
        <v>426</v>
      </c>
      <c r="N5" s="6" t="s">
        <v>426</v>
      </c>
      <c r="O5" s="6" t="s">
        <v>426</v>
      </c>
      <c r="P5" s="6" t="s">
        <v>426</v>
      </c>
      <c r="Q5" s="6" t="s">
        <v>426</v>
      </c>
      <c r="R5" s="6" t="s">
        <v>426</v>
      </c>
      <c r="S5" s="6" t="s">
        <v>426</v>
      </c>
      <c r="T5" s="6" t="s">
        <v>426</v>
      </c>
      <c r="U5" s="6" t="s">
        <v>426</v>
      </c>
      <c r="V5" s="6" t="s">
        <v>426</v>
      </c>
      <c r="W5" s="6" t="s">
        <v>426</v>
      </c>
      <c r="X5" s="6" t="s">
        <v>426</v>
      </c>
      <c r="Y5" s="6" t="s">
        <v>426</v>
      </c>
      <c r="Z5" s="6" t="s">
        <v>426</v>
      </c>
      <c r="AA5" s="6" t="s">
        <v>426</v>
      </c>
      <c r="AB5" s="6" t="s">
        <v>426</v>
      </c>
      <c r="AC5" s="15" t="s">
        <v>426</v>
      </c>
      <c r="AD5" s="6" t="s">
        <v>427</v>
      </c>
      <c r="AE5" s="6">
        <v>0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/>
      <c r="AN5" s="15"/>
      <c r="AO5" s="6" t="s">
        <v>426</v>
      </c>
      <c r="AP5" s="6">
        <v>10</v>
      </c>
      <c r="AQ5" s="6" t="s">
        <v>426</v>
      </c>
      <c r="AR5" s="6">
        <v>10</v>
      </c>
      <c r="AS5" s="6" t="s">
        <v>426</v>
      </c>
      <c r="AT5" s="6"/>
      <c r="AU5" s="6" t="s">
        <v>426</v>
      </c>
      <c r="AV5" s="6"/>
      <c r="AW5" s="6" t="s">
        <v>426</v>
      </c>
      <c r="AX5" s="6"/>
      <c r="AY5" s="6" t="s">
        <v>426</v>
      </c>
      <c r="AZ5" s="6">
        <v>1</v>
      </c>
      <c r="BA5" s="6" t="s">
        <v>426</v>
      </c>
      <c r="BB5" s="6"/>
      <c r="BC5" s="6" t="s">
        <v>426</v>
      </c>
      <c r="BD5" s="6"/>
      <c r="BE5" s="6" t="s">
        <v>426</v>
      </c>
      <c r="BF5" s="6">
        <v>10</v>
      </c>
      <c r="BG5" s="6" t="s">
        <v>426</v>
      </c>
      <c r="BH5" s="6"/>
      <c r="BI5" s="6" t="s">
        <v>426</v>
      </c>
      <c r="BJ5" s="6"/>
      <c r="BK5" s="6" t="s">
        <v>426</v>
      </c>
      <c r="BL5" s="6"/>
      <c r="BM5" s="6" t="s">
        <v>426</v>
      </c>
      <c r="BN5" s="6">
        <v>5</v>
      </c>
      <c r="BO5" s="6" t="s">
        <v>426</v>
      </c>
      <c r="BP5" s="6"/>
      <c r="BQ5" s="6" t="s">
        <v>426</v>
      </c>
      <c r="BR5" s="6">
        <v>50</v>
      </c>
      <c r="BS5" s="6" t="s">
        <v>426</v>
      </c>
      <c r="BT5" s="6">
        <v>3</v>
      </c>
      <c r="BU5" s="6" t="s">
        <v>426</v>
      </c>
      <c r="BV5" s="15"/>
      <c r="BW5" s="15" t="s">
        <v>428</v>
      </c>
      <c r="BX5" s="15" t="s">
        <v>429</v>
      </c>
      <c r="BY5" s="6" t="s">
        <v>430</v>
      </c>
      <c r="BZ5" s="6" t="s">
        <v>430</v>
      </c>
      <c r="CA5" s="6" t="s">
        <v>430</v>
      </c>
      <c r="CB5" s="6" t="s">
        <v>431</v>
      </c>
      <c r="CC5" s="6" t="s">
        <v>430</v>
      </c>
      <c r="CD5" s="6" t="s">
        <v>430</v>
      </c>
      <c r="CE5" s="6" t="s">
        <v>431</v>
      </c>
      <c r="CF5" s="6" t="s">
        <v>430</v>
      </c>
      <c r="CG5" s="6" t="s">
        <v>431</v>
      </c>
      <c r="CH5" s="6" t="s">
        <v>431</v>
      </c>
      <c r="CI5" s="6" t="s">
        <v>430</v>
      </c>
      <c r="CJ5" s="6" t="s">
        <v>430</v>
      </c>
      <c r="CK5" s="6" t="s">
        <v>430</v>
      </c>
      <c r="CL5" s="6" t="s">
        <v>430</v>
      </c>
      <c r="CM5" s="6" t="s">
        <v>430</v>
      </c>
      <c r="CN5" s="6" t="s">
        <v>431</v>
      </c>
      <c r="CO5" s="15" t="s">
        <v>430</v>
      </c>
      <c r="CP5" s="15" t="s">
        <v>432</v>
      </c>
      <c r="CQ5" s="6" t="s">
        <v>433</v>
      </c>
      <c r="CR5" s="15"/>
      <c r="CS5" s="6" t="s">
        <v>426</v>
      </c>
      <c r="CT5" s="6" t="s">
        <v>434</v>
      </c>
      <c r="CU5" s="6">
        <v>200</v>
      </c>
      <c r="CV5" s="6">
        <v>100000</v>
      </c>
      <c r="CW5" s="6">
        <v>120000</v>
      </c>
      <c r="CX5" s="15" t="s">
        <v>426</v>
      </c>
      <c r="CY5" s="6" t="s">
        <v>426</v>
      </c>
      <c r="CZ5" s="6" t="s">
        <v>435</v>
      </c>
      <c r="DA5" s="6">
        <v>110000</v>
      </c>
      <c r="DB5" s="6">
        <v>520</v>
      </c>
      <c r="DC5" s="6">
        <v>130000</v>
      </c>
      <c r="DD5" s="15">
        <v>140000</v>
      </c>
      <c r="DE5" s="15" t="s">
        <v>436</v>
      </c>
      <c r="DF5" s="6" t="s">
        <v>437</v>
      </c>
      <c r="DG5" s="6">
        <v>1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/>
      <c r="DN5" s="6"/>
      <c r="DO5" s="6"/>
      <c r="DP5" s="6"/>
      <c r="DQ5" s="6"/>
      <c r="DR5" s="6"/>
      <c r="DS5" s="6"/>
      <c r="DT5" s="66"/>
      <c r="DU5" s="6" t="s">
        <v>438</v>
      </c>
      <c r="DV5" s="6" t="s">
        <v>426</v>
      </c>
      <c r="DW5" s="6" t="s">
        <v>439</v>
      </c>
      <c r="DX5" s="6" t="s">
        <v>440</v>
      </c>
      <c r="DY5" s="6"/>
      <c r="DZ5" s="6" t="s">
        <v>441</v>
      </c>
      <c r="EA5" s="6">
        <v>1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/>
      <c r="EJ5" s="6" t="s">
        <v>442</v>
      </c>
      <c r="EK5" s="6">
        <v>1</v>
      </c>
      <c r="EL5" s="6">
        <v>1</v>
      </c>
      <c r="EM5" s="6">
        <v>1</v>
      </c>
      <c r="EN5" s="6">
        <v>1</v>
      </c>
      <c r="EO5" s="6">
        <v>1</v>
      </c>
      <c r="EP5" s="6">
        <v>1</v>
      </c>
      <c r="EQ5" s="6">
        <v>0</v>
      </c>
      <c r="ER5" s="6">
        <v>0</v>
      </c>
      <c r="ES5" s="6">
        <v>0</v>
      </c>
      <c r="ET5" s="6"/>
      <c r="EU5" s="6" t="s">
        <v>443</v>
      </c>
      <c r="EV5" s="6" t="s">
        <v>444</v>
      </c>
      <c r="EW5" s="6"/>
      <c r="EX5" s="6" t="s">
        <v>445</v>
      </c>
      <c r="EY5" s="6">
        <v>0</v>
      </c>
      <c r="EZ5" s="6">
        <v>0</v>
      </c>
      <c r="FA5" s="6">
        <v>1</v>
      </c>
      <c r="FB5" s="6">
        <v>0</v>
      </c>
      <c r="FC5" s="6">
        <v>0</v>
      </c>
      <c r="FD5" s="6">
        <v>0</v>
      </c>
      <c r="FE5" s="6"/>
      <c r="FF5" s="6">
        <v>0</v>
      </c>
      <c r="FG5" s="6"/>
      <c r="FH5" s="6" t="s">
        <v>446</v>
      </c>
      <c r="FI5" s="6">
        <v>1</v>
      </c>
      <c r="FJ5" s="6"/>
      <c r="FK5" s="6">
        <v>0</v>
      </c>
      <c r="FL5" s="6">
        <v>0</v>
      </c>
      <c r="FM5" s="6">
        <v>1</v>
      </c>
      <c r="FN5" s="6">
        <v>0</v>
      </c>
      <c r="FO5" s="6">
        <v>0</v>
      </c>
      <c r="FP5" s="6"/>
      <c r="FQ5" s="6">
        <v>0</v>
      </c>
      <c r="FR5" s="6">
        <v>0</v>
      </c>
      <c r="FS5" s="6"/>
      <c r="FT5" s="6" t="s">
        <v>447</v>
      </c>
      <c r="FU5" s="6" t="s">
        <v>448</v>
      </c>
      <c r="FV5" s="6"/>
      <c r="FW5" s="6" t="s">
        <v>449</v>
      </c>
      <c r="FX5" s="15" t="s">
        <v>450</v>
      </c>
      <c r="FY5" s="6" t="s">
        <v>451</v>
      </c>
      <c r="FZ5" s="6"/>
      <c r="GA5" s="6" t="s">
        <v>450</v>
      </c>
      <c r="GB5" s="6" t="s">
        <v>452</v>
      </c>
      <c r="GC5" s="6" t="s">
        <v>453</v>
      </c>
      <c r="GD5" s="6"/>
      <c r="GE5" s="6" t="s">
        <v>454</v>
      </c>
      <c r="GF5" s="6" t="s">
        <v>455</v>
      </c>
      <c r="GG5" s="6" t="s">
        <v>456</v>
      </c>
      <c r="GH5" s="15" t="s">
        <v>457</v>
      </c>
      <c r="GI5" s="6" t="s">
        <v>458</v>
      </c>
      <c r="GJ5" s="6" t="s">
        <v>459</v>
      </c>
      <c r="GK5" s="6" t="s">
        <v>460</v>
      </c>
      <c r="GL5" s="6" t="s">
        <v>461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1</v>
      </c>
      <c r="GS5" s="6">
        <v>0</v>
      </c>
      <c r="GT5" s="6"/>
      <c r="GU5" s="6" t="s">
        <v>462</v>
      </c>
      <c r="GV5" s="6" t="s">
        <v>463</v>
      </c>
      <c r="GW5" s="6" t="s">
        <v>464</v>
      </c>
      <c r="GX5" s="6">
        <v>1</v>
      </c>
      <c r="GY5" s="6">
        <v>0</v>
      </c>
      <c r="GZ5" s="6">
        <v>0</v>
      </c>
      <c r="HA5" s="6">
        <v>0</v>
      </c>
      <c r="HB5" s="6">
        <v>0</v>
      </c>
      <c r="HC5" s="6">
        <v>0</v>
      </c>
      <c r="HD5" s="6"/>
      <c r="HE5" s="6" t="s">
        <v>465</v>
      </c>
      <c r="HF5" s="6">
        <v>0</v>
      </c>
      <c r="HG5" s="6">
        <v>1</v>
      </c>
      <c r="HH5" s="6">
        <v>0</v>
      </c>
      <c r="HI5" s="6">
        <v>0</v>
      </c>
      <c r="HJ5" s="6">
        <v>0</v>
      </c>
      <c r="HK5" s="6">
        <v>0</v>
      </c>
      <c r="HL5" s="15"/>
      <c r="HM5" s="6" t="s">
        <v>466</v>
      </c>
      <c r="HN5" s="6"/>
      <c r="HO5" s="6" t="s">
        <v>467</v>
      </c>
      <c r="HP5" s="6" t="s">
        <v>468</v>
      </c>
      <c r="HQ5" s="6"/>
      <c r="HR5" s="6" t="s">
        <v>469</v>
      </c>
      <c r="HS5" s="6" t="s">
        <v>470</v>
      </c>
      <c r="HT5" s="6">
        <v>0</v>
      </c>
      <c r="HU5" s="6">
        <v>0</v>
      </c>
      <c r="HV5" s="6">
        <v>0</v>
      </c>
      <c r="HW5" s="6">
        <v>0</v>
      </c>
      <c r="HX5" s="6">
        <v>1</v>
      </c>
      <c r="HY5" s="6">
        <v>0</v>
      </c>
      <c r="HZ5" s="6"/>
      <c r="IA5" s="6" t="s">
        <v>112</v>
      </c>
      <c r="IB5" s="6">
        <v>0</v>
      </c>
      <c r="IC5" s="6">
        <v>1</v>
      </c>
      <c r="ID5" s="6">
        <v>0</v>
      </c>
      <c r="IE5" s="6">
        <v>0</v>
      </c>
      <c r="IF5" s="6">
        <v>0</v>
      </c>
      <c r="IG5" s="6">
        <v>0</v>
      </c>
      <c r="IH5" s="15" t="s">
        <v>471</v>
      </c>
      <c r="II5" s="6" t="s">
        <v>426</v>
      </c>
      <c r="IJ5" s="6" t="s">
        <v>472</v>
      </c>
      <c r="IK5" s="6">
        <v>1</v>
      </c>
      <c r="IL5" s="6">
        <v>0</v>
      </c>
      <c r="IM5" s="6">
        <v>0</v>
      </c>
      <c r="IN5" s="6"/>
      <c r="IO5" s="6" t="s">
        <v>473</v>
      </c>
      <c r="IP5" s="6">
        <v>1</v>
      </c>
      <c r="IQ5" s="6">
        <v>0</v>
      </c>
      <c r="IR5" s="6">
        <v>0</v>
      </c>
      <c r="IS5" s="6">
        <v>0</v>
      </c>
      <c r="IT5" s="6">
        <v>0</v>
      </c>
      <c r="IU5" s="6">
        <v>0</v>
      </c>
      <c r="IV5" s="6"/>
      <c r="IW5" s="6" t="s">
        <v>426</v>
      </c>
      <c r="IX5" s="6">
        <v>1</v>
      </c>
      <c r="IY5" s="6" t="s">
        <v>474</v>
      </c>
      <c r="IZ5" s="6" t="s">
        <v>475</v>
      </c>
      <c r="JA5" s="6" t="s">
        <v>426</v>
      </c>
      <c r="JB5" s="6" t="s">
        <v>476</v>
      </c>
      <c r="JC5" s="6"/>
      <c r="JD5" s="6"/>
      <c r="JE5" s="6"/>
      <c r="JF5" s="6"/>
      <c r="JG5" s="6"/>
      <c r="JH5" s="6"/>
      <c r="JI5" s="6"/>
      <c r="JJ5" s="6"/>
      <c r="JK5" s="6" t="s">
        <v>426</v>
      </c>
      <c r="JL5" s="6" t="s">
        <v>426</v>
      </c>
      <c r="JM5" s="6"/>
      <c r="JN5" s="6"/>
      <c r="JO5" s="6"/>
      <c r="JP5" s="6"/>
      <c r="JQ5" s="6"/>
      <c r="JR5" s="6"/>
      <c r="JS5" s="6"/>
      <c r="JT5" s="6"/>
      <c r="JU5" s="6" t="s">
        <v>477</v>
      </c>
      <c r="JV5" s="15"/>
      <c r="JW5" s="94" t="s">
        <v>478</v>
      </c>
      <c r="JX5" s="6" t="s">
        <v>479</v>
      </c>
      <c r="JY5" s="6">
        <v>0.833635</v>
      </c>
      <c r="JZ5" s="6">
        <v>34.747328</v>
      </c>
      <c r="KA5" s="6">
        <v>1709.7</v>
      </c>
      <c r="KB5" s="15">
        <v>5</v>
      </c>
      <c r="KC5" s="15"/>
    </row>
    <row r="6" spans="1:289">
      <c r="A6" s="6" t="s">
        <v>480</v>
      </c>
      <c r="B6" s="6" t="s">
        <v>420</v>
      </c>
      <c r="C6" s="6" t="s">
        <v>421</v>
      </c>
      <c r="D6" s="6" t="s">
        <v>481</v>
      </c>
      <c r="E6" s="6" t="s">
        <v>482</v>
      </c>
      <c r="F6" s="8" t="s">
        <v>483</v>
      </c>
      <c r="G6" s="6" t="s">
        <v>484</v>
      </c>
      <c r="H6" s="6" t="s">
        <v>425</v>
      </c>
      <c r="I6" s="15"/>
      <c r="J6" s="6" t="s">
        <v>426</v>
      </c>
      <c r="K6" s="6" t="s">
        <v>426</v>
      </c>
      <c r="L6" s="6" t="s">
        <v>453</v>
      </c>
      <c r="M6" s="6" t="s">
        <v>453</v>
      </c>
      <c r="N6" s="6" t="s">
        <v>426</v>
      </c>
      <c r="O6" s="6" t="s">
        <v>426</v>
      </c>
      <c r="P6" s="6" t="s">
        <v>453</v>
      </c>
      <c r="Q6" s="6" t="s">
        <v>453</v>
      </c>
      <c r="R6" s="6" t="s">
        <v>426</v>
      </c>
      <c r="S6" s="6" t="s">
        <v>426</v>
      </c>
      <c r="T6" s="6" t="s">
        <v>426</v>
      </c>
      <c r="U6" s="6" t="s">
        <v>426</v>
      </c>
      <c r="V6" s="6" t="s">
        <v>426</v>
      </c>
      <c r="W6" s="6" t="s">
        <v>453</v>
      </c>
      <c r="X6" s="6" t="s">
        <v>426</v>
      </c>
      <c r="Y6" s="6" t="s">
        <v>426</v>
      </c>
      <c r="Z6" s="6" t="s">
        <v>426</v>
      </c>
      <c r="AA6" s="6" t="s">
        <v>426</v>
      </c>
      <c r="AB6" s="6" t="s">
        <v>426</v>
      </c>
      <c r="AC6" s="15" t="s">
        <v>426</v>
      </c>
      <c r="AD6" s="6" t="s">
        <v>427</v>
      </c>
      <c r="AE6" s="6">
        <v>0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0</v>
      </c>
      <c r="AL6" s="6">
        <v>0</v>
      </c>
      <c r="AM6" s="6"/>
      <c r="AN6" s="15"/>
      <c r="AO6" s="6" t="s">
        <v>426</v>
      </c>
      <c r="AP6" s="6">
        <v>5</v>
      </c>
      <c r="AQ6" s="6" t="s">
        <v>426</v>
      </c>
      <c r="AR6" s="6">
        <v>5</v>
      </c>
      <c r="AS6" s="6" t="s">
        <v>426</v>
      </c>
      <c r="AT6" s="6"/>
      <c r="AU6" s="6" t="s">
        <v>426</v>
      </c>
      <c r="AV6" s="6"/>
      <c r="AW6" s="6" t="s">
        <v>426</v>
      </c>
      <c r="AX6" s="6"/>
      <c r="AY6" s="6" t="s">
        <v>426</v>
      </c>
      <c r="AZ6" s="6">
        <v>1</v>
      </c>
      <c r="BA6" s="6" t="s">
        <v>426</v>
      </c>
      <c r="BB6" s="6"/>
      <c r="BC6" s="6" t="s">
        <v>426</v>
      </c>
      <c r="BD6" s="6"/>
      <c r="BE6" s="6" t="s">
        <v>453</v>
      </c>
      <c r="BF6" s="6"/>
      <c r="BG6" s="6" t="s">
        <v>453</v>
      </c>
      <c r="BH6" s="6"/>
      <c r="BI6" s="6" t="s">
        <v>426</v>
      </c>
      <c r="BJ6" s="6"/>
      <c r="BK6" s="6" t="s">
        <v>426</v>
      </c>
      <c r="BL6" s="6"/>
      <c r="BM6" s="6" t="s">
        <v>426</v>
      </c>
      <c r="BN6" s="6">
        <v>6</v>
      </c>
      <c r="BO6" s="6" t="s">
        <v>426</v>
      </c>
      <c r="BP6" s="6"/>
      <c r="BQ6" s="6" t="s">
        <v>426</v>
      </c>
      <c r="BR6" s="6">
        <v>30</v>
      </c>
      <c r="BS6" s="6" t="s">
        <v>426</v>
      </c>
      <c r="BT6" s="6">
        <v>5</v>
      </c>
      <c r="BU6" s="6" t="s">
        <v>426</v>
      </c>
      <c r="BV6" s="15"/>
      <c r="BW6" s="15" t="s">
        <v>428</v>
      </c>
      <c r="BX6" s="15" t="s">
        <v>485</v>
      </c>
      <c r="BY6" s="6" t="s">
        <v>430</v>
      </c>
      <c r="BZ6" s="6" t="s">
        <v>430</v>
      </c>
      <c r="CA6" s="6" t="s">
        <v>430</v>
      </c>
      <c r="CB6" s="6" t="s">
        <v>486</v>
      </c>
      <c r="CC6" s="6" t="s">
        <v>431</v>
      </c>
      <c r="CD6" s="6" t="s">
        <v>430</v>
      </c>
      <c r="CE6" s="6" t="s">
        <v>487</v>
      </c>
      <c r="CF6" s="6" t="s">
        <v>431</v>
      </c>
      <c r="CG6" s="6" t="s">
        <v>487</v>
      </c>
      <c r="CH6" s="6" t="s">
        <v>487</v>
      </c>
      <c r="CI6" s="6" t="s">
        <v>430</v>
      </c>
      <c r="CJ6" s="6" t="s">
        <v>430</v>
      </c>
      <c r="CK6" s="6" t="s">
        <v>430</v>
      </c>
      <c r="CL6" s="6" t="s">
        <v>430</v>
      </c>
      <c r="CM6" s="6" t="s">
        <v>430</v>
      </c>
      <c r="CN6" s="6" t="s">
        <v>431</v>
      </c>
      <c r="CO6" s="15" t="s">
        <v>430</v>
      </c>
      <c r="CP6" s="15" t="s">
        <v>488</v>
      </c>
      <c r="CQ6" s="6" t="s">
        <v>433</v>
      </c>
      <c r="CR6" s="15"/>
      <c r="CS6" s="6" t="s">
        <v>453</v>
      </c>
      <c r="CT6" s="6"/>
      <c r="CU6" s="6"/>
      <c r="CV6" s="6"/>
      <c r="CW6" s="6"/>
      <c r="CX6" s="15" t="s">
        <v>426</v>
      </c>
      <c r="CY6" s="6" t="s">
        <v>453</v>
      </c>
      <c r="CZ6" s="6"/>
      <c r="DA6" s="6"/>
      <c r="DB6" s="6"/>
      <c r="DC6" s="6"/>
      <c r="DD6" s="15"/>
      <c r="DE6" s="15" t="s">
        <v>436</v>
      </c>
      <c r="DF6" s="6" t="s">
        <v>489</v>
      </c>
      <c r="DG6" s="6">
        <v>1</v>
      </c>
      <c r="DH6" s="6">
        <v>1</v>
      </c>
      <c r="DI6" s="6">
        <v>1</v>
      </c>
      <c r="DJ6" s="6">
        <v>0</v>
      </c>
      <c r="DK6" s="6">
        <v>0</v>
      </c>
      <c r="DL6" s="6">
        <v>0</v>
      </c>
      <c r="DM6" s="6"/>
      <c r="DN6" s="6"/>
      <c r="DO6" s="6"/>
      <c r="DP6" s="6"/>
      <c r="DQ6" s="6"/>
      <c r="DR6" s="6"/>
      <c r="DS6" s="6"/>
      <c r="DT6" s="66"/>
      <c r="DU6" s="6" t="s">
        <v>438</v>
      </c>
      <c r="DV6" s="6" t="s">
        <v>426</v>
      </c>
      <c r="DW6" s="6" t="s">
        <v>490</v>
      </c>
      <c r="DX6" s="6" t="s">
        <v>491</v>
      </c>
      <c r="DY6" s="6"/>
      <c r="DZ6" s="6" t="s">
        <v>492</v>
      </c>
      <c r="EA6" s="6">
        <v>1</v>
      </c>
      <c r="EB6" s="6">
        <v>1</v>
      </c>
      <c r="EC6" s="6">
        <v>0</v>
      </c>
      <c r="ED6" s="6">
        <v>1</v>
      </c>
      <c r="EE6" s="6">
        <v>1</v>
      </c>
      <c r="EF6" s="6">
        <v>0</v>
      </c>
      <c r="EG6" s="6">
        <v>0</v>
      </c>
      <c r="EH6" s="6">
        <v>0</v>
      </c>
      <c r="EI6" s="6"/>
      <c r="EJ6" s="6" t="s">
        <v>493</v>
      </c>
      <c r="EK6" s="6">
        <v>1</v>
      </c>
      <c r="EL6" s="6">
        <v>1</v>
      </c>
      <c r="EM6" s="6">
        <v>0</v>
      </c>
      <c r="EN6" s="6">
        <v>1</v>
      </c>
      <c r="EO6" s="6">
        <v>0</v>
      </c>
      <c r="EP6" s="6">
        <v>1</v>
      </c>
      <c r="EQ6" s="6">
        <v>0</v>
      </c>
      <c r="ER6" s="6">
        <v>0</v>
      </c>
      <c r="ES6" s="6">
        <v>0</v>
      </c>
      <c r="ET6" s="6"/>
      <c r="EU6" s="6" t="s">
        <v>494</v>
      </c>
      <c r="EV6" s="6" t="s">
        <v>495</v>
      </c>
      <c r="EW6" s="6"/>
      <c r="EX6" s="6" t="s">
        <v>496</v>
      </c>
      <c r="EY6" s="6">
        <v>0</v>
      </c>
      <c r="EZ6" s="6">
        <v>1</v>
      </c>
      <c r="FA6" s="6">
        <v>1</v>
      </c>
      <c r="FB6" s="6">
        <v>0</v>
      </c>
      <c r="FC6" s="6">
        <v>1</v>
      </c>
      <c r="FD6" s="6">
        <v>0</v>
      </c>
      <c r="FE6" s="6"/>
      <c r="FF6" s="6">
        <v>0</v>
      </c>
      <c r="FG6" s="6"/>
      <c r="FH6" s="6" t="s">
        <v>497</v>
      </c>
      <c r="FI6" s="6">
        <v>1</v>
      </c>
      <c r="FJ6" s="6"/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/>
      <c r="FQ6" s="6">
        <v>1</v>
      </c>
      <c r="FR6" s="6">
        <v>0</v>
      </c>
      <c r="FS6" s="6"/>
      <c r="FT6" s="6" t="s">
        <v>498</v>
      </c>
      <c r="FU6" s="6" t="s">
        <v>499</v>
      </c>
      <c r="FV6" s="6"/>
      <c r="FW6" s="6" t="s">
        <v>449</v>
      </c>
      <c r="FX6" s="15" t="s">
        <v>450</v>
      </c>
      <c r="FY6" s="6" t="s">
        <v>500</v>
      </c>
      <c r="FZ6" s="6"/>
      <c r="GA6" s="6" t="s">
        <v>450</v>
      </c>
      <c r="GB6" s="6" t="s">
        <v>501</v>
      </c>
      <c r="GC6" s="6" t="s">
        <v>453</v>
      </c>
      <c r="GD6" s="6"/>
      <c r="GE6" s="6" t="s">
        <v>453</v>
      </c>
      <c r="GF6" s="6"/>
      <c r="GG6" s="6" t="s">
        <v>502</v>
      </c>
      <c r="GH6" s="15"/>
      <c r="GI6" s="6" t="s">
        <v>458</v>
      </c>
      <c r="GJ6" s="6" t="s">
        <v>503</v>
      </c>
      <c r="GK6" s="6" t="s">
        <v>460</v>
      </c>
      <c r="GL6" s="6" t="s">
        <v>461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1</v>
      </c>
      <c r="GS6" s="6">
        <v>0</v>
      </c>
      <c r="GT6" s="6"/>
      <c r="GU6" s="6" t="s">
        <v>462</v>
      </c>
      <c r="GV6" s="6" t="s">
        <v>463</v>
      </c>
      <c r="GW6" s="6" t="s">
        <v>464</v>
      </c>
      <c r="GX6" s="6">
        <v>1</v>
      </c>
      <c r="GY6" s="6">
        <v>0</v>
      </c>
      <c r="GZ6" s="6">
        <v>0</v>
      </c>
      <c r="HA6" s="6">
        <v>0</v>
      </c>
      <c r="HB6" s="6">
        <v>0</v>
      </c>
      <c r="HC6" s="6">
        <v>0</v>
      </c>
      <c r="HD6" s="6"/>
      <c r="HE6" s="6" t="s">
        <v>504</v>
      </c>
      <c r="HF6" s="6">
        <v>1</v>
      </c>
      <c r="HG6" s="6">
        <v>1</v>
      </c>
      <c r="HH6" s="6">
        <v>1</v>
      </c>
      <c r="HI6" s="6">
        <v>1</v>
      </c>
      <c r="HJ6" s="6">
        <v>0</v>
      </c>
      <c r="HK6" s="6">
        <v>0</v>
      </c>
      <c r="HL6" s="15"/>
      <c r="HM6" s="6" t="s">
        <v>505</v>
      </c>
      <c r="HN6" s="6"/>
      <c r="HO6" s="6" t="s">
        <v>506</v>
      </c>
      <c r="HP6" s="6" t="s">
        <v>468</v>
      </c>
      <c r="HQ6" s="6"/>
      <c r="HR6" s="6" t="s">
        <v>507</v>
      </c>
      <c r="HS6" s="6" t="s">
        <v>508</v>
      </c>
      <c r="HT6" s="6">
        <v>0</v>
      </c>
      <c r="HU6" s="6">
        <v>0</v>
      </c>
      <c r="HV6" s="6">
        <v>1</v>
      </c>
      <c r="HW6" s="6">
        <v>0</v>
      </c>
      <c r="HX6" s="6">
        <v>0</v>
      </c>
      <c r="HY6" s="6">
        <v>0</v>
      </c>
      <c r="HZ6" s="6"/>
      <c r="IA6" s="6" t="s">
        <v>112</v>
      </c>
      <c r="IB6" s="6">
        <v>0</v>
      </c>
      <c r="IC6" s="6">
        <v>1</v>
      </c>
      <c r="ID6" s="6">
        <v>0</v>
      </c>
      <c r="IE6" s="6">
        <v>0</v>
      </c>
      <c r="IF6" s="6">
        <v>0</v>
      </c>
      <c r="IG6" s="6">
        <v>0</v>
      </c>
      <c r="IH6" s="15" t="s">
        <v>509</v>
      </c>
      <c r="II6" s="6" t="s">
        <v>426</v>
      </c>
      <c r="IJ6" s="6" t="s">
        <v>472</v>
      </c>
      <c r="IK6" s="6">
        <v>1</v>
      </c>
      <c r="IL6" s="6">
        <v>0</v>
      </c>
      <c r="IM6" s="6">
        <v>0</v>
      </c>
      <c r="IN6" s="6"/>
      <c r="IO6" s="6" t="s">
        <v>473</v>
      </c>
      <c r="IP6" s="6">
        <v>1</v>
      </c>
      <c r="IQ6" s="6">
        <v>0</v>
      </c>
      <c r="IR6" s="6">
        <v>0</v>
      </c>
      <c r="IS6" s="6">
        <v>0</v>
      </c>
      <c r="IT6" s="6">
        <v>0</v>
      </c>
      <c r="IU6" s="6">
        <v>0</v>
      </c>
      <c r="IV6" s="6"/>
      <c r="IW6" s="6" t="s">
        <v>453</v>
      </c>
      <c r="IX6" s="6"/>
      <c r="IY6" s="6" t="s">
        <v>510</v>
      </c>
      <c r="IZ6" s="6"/>
      <c r="JA6" s="6"/>
      <c r="JB6" s="6"/>
      <c r="JC6" s="6"/>
      <c r="JD6" s="6"/>
      <c r="JE6" s="6"/>
      <c r="JF6" s="6"/>
      <c r="JG6" s="6"/>
      <c r="JH6" s="6"/>
      <c r="JI6" s="6"/>
      <c r="JJ6" s="6" t="s">
        <v>453</v>
      </c>
      <c r="JK6" s="6" t="s">
        <v>426</v>
      </c>
      <c r="JL6" s="6" t="s">
        <v>426</v>
      </c>
      <c r="JM6" s="6"/>
      <c r="JN6" s="6"/>
      <c r="JO6" s="6"/>
      <c r="JP6" s="6"/>
      <c r="JQ6" s="6"/>
      <c r="JR6" s="6"/>
      <c r="JS6" s="6"/>
      <c r="JT6" s="6"/>
      <c r="JU6" s="6" t="s">
        <v>511</v>
      </c>
      <c r="JV6" s="15"/>
      <c r="JW6" s="94" t="s">
        <v>512</v>
      </c>
      <c r="JX6" s="6" t="s">
        <v>513</v>
      </c>
      <c r="JY6" s="6">
        <v>0.8355639</v>
      </c>
      <c r="JZ6" s="6">
        <v>34.7346469</v>
      </c>
      <c r="KA6" s="6">
        <v>1730.19311523437</v>
      </c>
      <c r="KB6" s="15">
        <v>4.869</v>
      </c>
      <c r="KC6" s="15"/>
    </row>
    <row r="7" spans="1:289">
      <c r="A7" s="6" t="s">
        <v>514</v>
      </c>
      <c r="B7" s="6" t="s">
        <v>420</v>
      </c>
      <c r="C7" s="6" t="s">
        <v>421</v>
      </c>
      <c r="D7" s="6" t="s">
        <v>515</v>
      </c>
      <c r="E7" s="6" t="s">
        <v>516</v>
      </c>
      <c r="F7" s="8" t="s">
        <v>483</v>
      </c>
      <c r="G7" s="6" t="s">
        <v>484</v>
      </c>
      <c r="H7" s="6" t="s">
        <v>517</v>
      </c>
      <c r="I7" s="15"/>
      <c r="J7" s="6" t="s">
        <v>426</v>
      </c>
      <c r="K7" s="6" t="s">
        <v>426</v>
      </c>
      <c r="L7" s="6" t="s">
        <v>453</v>
      </c>
      <c r="M7" s="6" t="s">
        <v>453</v>
      </c>
      <c r="N7" s="6" t="s">
        <v>426</v>
      </c>
      <c r="O7" s="6" t="s">
        <v>426</v>
      </c>
      <c r="P7" s="6" t="s">
        <v>426</v>
      </c>
      <c r="Q7" s="6" t="s">
        <v>426</v>
      </c>
      <c r="R7" s="6" t="s">
        <v>426</v>
      </c>
      <c r="S7" s="6" t="s">
        <v>426</v>
      </c>
      <c r="T7" s="6" t="s">
        <v>426</v>
      </c>
      <c r="U7" s="6" t="s">
        <v>426</v>
      </c>
      <c r="V7" s="6" t="s">
        <v>426</v>
      </c>
      <c r="W7" s="6" t="s">
        <v>426</v>
      </c>
      <c r="X7" s="6" t="s">
        <v>426</v>
      </c>
      <c r="Y7" s="6" t="s">
        <v>426</v>
      </c>
      <c r="Z7" s="6" t="s">
        <v>426</v>
      </c>
      <c r="AA7" s="6" t="s">
        <v>426</v>
      </c>
      <c r="AB7" s="6" t="s">
        <v>453</v>
      </c>
      <c r="AC7" s="15" t="s">
        <v>453</v>
      </c>
      <c r="AD7" s="6" t="s">
        <v>427</v>
      </c>
      <c r="AE7" s="6">
        <v>0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/>
      <c r="AN7" s="15"/>
      <c r="AO7" s="6" t="s">
        <v>426</v>
      </c>
      <c r="AP7" s="6">
        <v>5</v>
      </c>
      <c r="AQ7" s="6" t="s">
        <v>426</v>
      </c>
      <c r="AR7" s="6">
        <v>8</v>
      </c>
      <c r="AS7" s="6" t="s">
        <v>426</v>
      </c>
      <c r="AT7" s="6"/>
      <c r="AU7" s="6" t="s">
        <v>453</v>
      </c>
      <c r="AV7" s="6"/>
      <c r="AW7" s="6" t="s">
        <v>426</v>
      </c>
      <c r="AX7" s="6"/>
      <c r="AY7" s="6" t="s">
        <v>426</v>
      </c>
      <c r="AZ7" s="6">
        <v>1</v>
      </c>
      <c r="BA7" s="6" t="s">
        <v>453</v>
      </c>
      <c r="BB7" s="6"/>
      <c r="BC7" s="6" t="s">
        <v>426</v>
      </c>
      <c r="BD7" s="6"/>
      <c r="BE7" s="6" t="s">
        <v>426</v>
      </c>
      <c r="BF7" s="6">
        <v>28</v>
      </c>
      <c r="BG7" s="6" t="s">
        <v>453</v>
      </c>
      <c r="BH7" s="6"/>
      <c r="BI7" s="6" t="s">
        <v>426</v>
      </c>
      <c r="BJ7" s="6"/>
      <c r="BK7" s="6" t="s">
        <v>426</v>
      </c>
      <c r="BL7" s="6"/>
      <c r="BM7" s="6" t="s">
        <v>426</v>
      </c>
      <c r="BN7" s="6">
        <v>3</v>
      </c>
      <c r="BO7" s="6" t="s">
        <v>426</v>
      </c>
      <c r="BP7" s="6"/>
      <c r="BQ7" s="6" t="s">
        <v>426</v>
      </c>
      <c r="BR7" s="6">
        <v>20</v>
      </c>
      <c r="BS7" s="6" t="s">
        <v>426</v>
      </c>
      <c r="BT7" s="6">
        <v>15</v>
      </c>
      <c r="BU7" s="6" t="s">
        <v>426</v>
      </c>
      <c r="BV7" s="15"/>
      <c r="BW7" s="15" t="s">
        <v>518</v>
      </c>
      <c r="BX7" s="15" t="s">
        <v>429</v>
      </c>
      <c r="BY7" s="6" t="s">
        <v>430</v>
      </c>
      <c r="BZ7" s="6" t="s">
        <v>430</v>
      </c>
      <c r="CA7" s="6" t="s">
        <v>431</v>
      </c>
      <c r="CB7" s="6" t="s">
        <v>487</v>
      </c>
      <c r="CC7" s="6" t="s">
        <v>431</v>
      </c>
      <c r="CD7" s="6" t="s">
        <v>430</v>
      </c>
      <c r="CE7" s="6" t="s">
        <v>487</v>
      </c>
      <c r="CF7" s="6" t="s">
        <v>431</v>
      </c>
      <c r="CG7" s="6" t="s">
        <v>431</v>
      </c>
      <c r="CH7" s="6" t="s">
        <v>430</v>
      </c>
      <c r="CI7" s="6" t="s">
        <v>431</v>
      </c>
      <c r="CJ7" s="6" t="s">
        <v>431</v>
      </c>
      <c r="CK7" s="6" t="s">
        <v>430</v>
      </c>
      <c r="CL7" s="6" t="s">
        <v>430</v>
      </c>
      <c r="CM7" s="6" t="s">
        <v>430</v>
      </c>
      <c r="CN7" s="6" t="s">
        <v>430</v>
      </c>
      <c r="CO7" s="15" t="s">
        <v>430</v>
      </c>
      <c r="CP7" s="15" t="s">
        <v>432</v>
      </c>
      <c r="CQ7" s="6" t="s">
        <v>433</v>
      </c>
      <c r="CR7" s="15"/>
      <c r="CS7" s="6" t="s">
        <v>426</v>
      </c>
      <c r="CT7" s="6" t="s">
        <v>519</v>
      </c>
      <c r="CU7" s="6">
        <v>50</v>
      </c>
      <c r="CV7" s="6">
        <v>1400</v>
      </c>
      <c r="CW7" s="6">
        <v>5000</v>
      </c>
      <c r="CX7" s="15" t="s">
        <v>426</v>
      </c>
      <c r="CY7" s="6" t="s">
        <v>426</v>
      </c>
      <c r="CZ7" s="6" t="s">
        <v>520</v>
      </c>
      <c r="DA7" s="6">
        <v>2000</v>
      </c>
      <c r="DB7" s="6">
        <v>150</v>
      </c>
      <c r="DC7" s="6">
        <v>65</v>
      </c>
      <c r="DD7" s="15">
        <v>18750</v>
      </c>
      <c r="DE7" s="15" t="s">
        <v>521</v>
      </c>
      <c r="DF7" s="6" t="s">
        <v>522</v>
      </c>
      <c r="DG7" s="6">
        <v>0</v>
      </c>
      <c r="DH7" s="6">
        <v>1</v>
      </c>
      <c r="DI7" s="6">
        <v>0</v>
      </c>
      <c r="DJ7" s="6">
        <v>0</v>
      </c>
      <c r="DK7" s="6">
        <v>0</v>
      </c>
      <c r="DL7" s="6">
        <v>0</v>
      </c>
      <c r="DM7" s="6"/>
      <c r="DN7" s="6"/>
      <c r="DO7" s="6"/>
      <c r="DP7" s="6"/>
      <c r="DQ7" s="6"/>
      <c r="DR7" s="6"/>
      <c r="DS7" s="6"/>
      <c r="DT7" s="66"/>
      <c r="DU7" s="6" t="s">
        <v>523</v>
      </c>
      <c r="DV7" s="6" t="s">
        <v>426</v>
      </c>
      <c r="DW7" s="6" t="s">
        <v>439</v>
      </c>
      <c r="DX7" s="6" t="s">
        <v>440</v>
      </c>
      <c r="DY7" s="6"/>
      <c r="DZ7" s="6" t="s">
        <v>524</v>
      </c>
      <c r="EA7" s="6">
        <v>0</v>
      </c>
      <c r="EB7" s="6">
        <v>0</v>
      </c>
      <c r="EC7" s="6">
        <v>0</v>
      </c>
      <c r="ED7" s="6">
        <v>1</v>
      </c>
      <c r="EE7" s="6">
        <v>0</v>
      </c>
      <c r="EF7" s="6">
        <v>0</v>
      </c>
      <c r="EG7" s="6">
        <v>0</v>
      </c>
      <c r="EH7" s="6">
        <v>0</v>
      </c>
      <c r="EI7" s="6"/>
      <c r="EJ7" s="6" t="s">
        <v>525</v>
      </c>
      <c r="EK7" s="6">
        <v>1</v>
      </c>
      <c r="EL7" s="6">
        <v>0</v>
      </c>
      <c r="EM7" s="6">
        <v>0</v>
      </c>
      <c r="EN7" s="6">
        <v>1</v>
      </c>
      <c r="EO7" s="6">
        <v>0</v>
      </c>
      <c r="EP7" s="6">
        <v>1</v>
      </c>
      <c r="EQ7" s="6">
        <v>0</v>
      </c>
      <c r="ER7" s="6">
        <v>0</v>
      </c>
      <c r="ES7" s="6">
        <v>0</v>
      </c>
      <c r="ET7" s="6"/>
      <c r="EU7" s="6" t="s">
        <v>494</v>
      </c>
      <c r="EV7" s="6" t="s">
        <v>495</v>
      </c>
      <c r="EW7" s="6"/>
      <c r="EX7" s="6" t="s">
        <v>526</v>
      </c>
      <c r="EY7" s="6">
        <v>1</v>
      </c>
      <c r="EZ7" s="6">
        <v>1</v>
      </c>
      <c r="FA7" s="6">
        <v>1</v>
      </c>
      <c r="FB7" s="6">
        <v>1</v>
      </c>
      <c r="FC7" s="6">
        <v>0</v>
      </c>
      <c r="FD7" s="6">
        <v>0</v>
      </c>
      <c r="FE7" s="6"/>
      <c r="FF7" s="6">
        <v>0</v>
      </c>
      <c r="FG7" s="6"/>
      <c r="FH7" s="6" t="s">
        <v>527</v>
      </c>
      <c r="FI7" s="6">
        <v>0</v>
      </c>
      <c r="FJ7" s="6"/>
      <c r="FK7" s="6">
        <v>0</v>
      </c>
      <c r="FL7" s="6">
        <v>1</v>
      </c>
      <c r="FM7" s="6">
        <v>0</v>
      </c>
      <c r="FN7" s="6">
        <v>1</v>
      </c>
      <c r="FO7" s="6">
        <v>0</v>
      </c>
      <c r="FP7" s="6"/>
      <c r="FQ7" s="6">
        <v>0</v>
      </c>
      <c r="FR7" s="6">
        <v>0</v>
      </c>
      <c r="FS7" s="6"/>
      <c r="FT7" s="6" t="s">
        <v>498</v>
      </c>
      <c r="FU7" s="6" t="s">
        <v>448</v>
      </c>
      <c r="FV7" s="6"/>
      <c r="FW7" s="6" t="s">
        <v>449</v>
      </c>
      <c r="FX7" s="15" t="s">
        <v>528</v>
      </c>
      <c r="FY7" s="6" t="s">
        <v>529</v>
      </c>
      <c r="FZ7" s="6"/>
      <c r="GA7" s="6" t="s">
        <v>450</v>
      </c>
      <c r="GB7" s="6" t="s">
        <v>501</v>
      </c>
      <c r="GC7" s="6" t="s">
        <v>453</v>
      </c>
      <c r="GD7" s="6"/>
      <c r="GE7" s="6" t="s">
        <v>454</v>
      </c>
      <c r="GF7" s="6" t="s">
        <v>530</v>
      </c>
      <c r="GG7" s="6" t="s">
        <v>456</v>
      </c>
      <c r="GH7" s="15" t="s">
        <v>531</v>
      </c>
      <c r="GI7" s="6" t="s">
        <v>458</v>
      </c>
      <c r="GJ7" s="6" t="s">
        <v>532</v>
      </c>
      <c r="GK7" s="6" t="s">
        <v>460</v>
      </c>
      <c r="GL7" s="6" t="s">
        <v>533</v>
      </c>
      <c r="GM7" s="6">
        <v>0</v>
      </c>
      <c r="GN7" s="6">
        <v>0</v>
      </c>
      <c r="GO7" s="6">
        <v>0</v>
      </c>
      <c r="GP7" s="6">
        <v>0</v>
      </c>
      <c r="GQ7" s="6">
        <v>1</v>
      </c>
      <c r="GR7" s="6">
        <v>0</v>
      </c>
      <c r="GS7" s="6">
        <v>0</v>
      </c>
      <c r="GT7" s="6"/>
      <c r="GU7" s="6" t="s">
        <v>534</v>
      </c>
      <c r="GV7" s="6" t="s">
        <v>463</v>
      </c>
      <c r="GW7" s="6" t="s">
        <v>464</v>
      </c>
      <c r="GX7" s="6">
        <v>1</v>
      </c>
      <c r="GY7" s="6">
        <v>0</v>
      </c>
      <c r="GZ7" s="6">
        <v>0</v>
      </c>
      <c r="HA7" s="6">
        <v>0</v>
      </c>
      <c r="HB7" s="6">
        <v>0</v>
      </c>
      <c r="HC7" s="6">
        <v>0</v>
      </c>
      <c r="HD7" s="6"/>
      <c r="HE7" s="6" t="s">
        <v>535</v>
      </c>
      <c r="HF7" s="6">
        <v>1</v>
      </c>
      <c r="HG7" s="6">
        <v>0</v>
      </c>
      <c r="HH7" s="6">
        <v>0</v>
      </c>
      <c r="HI7" s="6">
        <v>0</v>
      </c>
      <c r="HJ7" s="6">
        <v>0</v>
      </c>
      <c r="HK7" s="6">
        <v>0</v>
      </c>
      <c r="HL7" s="15"/>
      <c r="HM7" s="6" t="s">
        <v>505</v>
      </c>
      <c r="HN7" s="6"/>
      <c r="HO7" s="6" t="s">
        <v>536</v>
      </c>
      <c r="HP7" s="6" t="s">
        <v>537</v>
      </c>
      <c r="HQ7" s="6" t="s">
        <v>538</v>
      </c>
      <c r="HR7" s="6" t="s">
        <v>539</v>
      </c>
      <c r="HS7" s="6" t="s">
        <v>540</v>
      </c>
      <c r="HT7" s="6">
        <v>1</v>
      </c>
      <c r="HU7" s="6">
        <v>0</v>
      </c>
      <c r="HV7" s="6">
        <v>0</v>
      </c>
      <c r="HW7" s="6">
        <v>0</v>
      </c>
      <c r="HX7" s="6">
        <v>0</v>
      </c>
      <c r="HY7" s="6">
        <v>0</v>
      </c>
      <c r="HZ7" s="6"/>
      <c r="IA7" s="6" t="s">
        <v>541</v>
      </c>
      <c r="IB7" s="6">
        <v>0</v>
      </c>
      <c r="IC7" s="6">
        <v>0</v>
      </c>
      <c r="ID7" s="6">
        <v>1</v>
      </c>
      <c r="IE7" s="6">
        <v>0</v>
      </c>
      <c r="IF7" s="6">
        <v>0</v>
      </c>
      <c r="IG7" s="6">
        <v>0</v>
      </c>
      <c r="IH7" s="15" t="s">
        <v>542</v>
      </c>
      <c r="II7" s="6" t="s">
        <v>426</v>
      </c>
      <c r="IJ7" s="6" t="s">
        <v>543</v>
      </c>
      <c r="IK7" s="6">
        <v>0</v>
      </c>
      <c r="IL7" s="6">
        <v>1</v>
      </c>
      <c r="IM7" s="6">
        <v>0</v>
      </c>
      <c r="IN7" s="6"/>
      <c r="IO7" s="6" t="s">
        <v>473</v>
      </c>
      <c r="IP7" s="6">
        <v>1</v>
      </c>
      <c r="IQ7" s="6">
        <v>0</v>
      </c>
      <c r="IR7" s="6">
        <v>0</v>
      </c>
      <c r="IS7" s="6">
        <v>0</v>
      </c>
      <c r="IT7" s="6">
        <v>0</v>
      </c>
      <c r="IU7" s="6">
        <v>0</v>
      </c>
      <c r="IV7" s="6"/>
      <c r="IW7" s="6" t="s">
        <v>426</v>
      </c>
      <c r="IX7" s="6">
        <v>1</v>
      </c>
      <c r="IY7" s="6" t="s">
        <v>474</v>
      </c>
      <c r="IZ7" s="6" t="s">
        <v>475</v>
      </c>
      <c r="JA7" s="6" t="s">
        <v>426</v>
      </c>
      <c r="JB7" s="6" t="s">
        <v>476</v>
      </c>
      <c r="JC7" s="6"/>
      <c r="JD7" s="6"/>
      <c r="JE7" s="6"/>
      <c r="JF7" s="6"/>
      <c r="JG7" s="6"/>
      <c r="JH7" s="6"/>
      <c r="JI7" s="6"/>
      <c r="JJ7" s="6"/>
      <c r="JK7" s="6" t="s">
        <v>453</v>
      </c>
      <c r="JL7" s="6"/>
      <c r="JM7" s="6"/>
      <c r="JN7" s="6"/>
      <c r="JO7" s="6"/>
      <c r="JP7" s="6"/>
      <c r="JQ7" s="6"/>
      <c r="JR7" s="6"/>
      <c r="JS7" s="6"/>
      <c r="JT7" s="6"/>
      <c r="JU7" s="6" t="s">
        <v>544</v>
      </c>
      <c r="JV7" s="15"/>
      <c r="JW7" s="94" t="s">
        <v>545</v>
      </c>
      <c r="JX7" s="6" t="s">
        <v>546</v>
      </c>
      <c r="JY7" s="6">
        <v>0.8471153</v>
      </c>
      <c r="JZ7" s="6">
        <v>34.7355545</v>
      </c>
      <c r="KA7" s="6">
        <v>1893.356</v>
      </c>
      <c r="KB7" s="15">
        <v>1.189</v>
      </c>
      <c r="KC7" s="15"/>
    </row>
    <row r="8" spans="1:289">
      <c r="A8" s="6" t="s">
        <v>547</v>
      </c>
      <c r="B8" s="6" t="s">
        <v>420</v>
      </c>
      <c r="C8" s="6" t="s">
        <v>421</v>
      </c>
      <c r="D8" s="6" t="s">
        <v>548</v>
      </c>
      <c r="E8" s="6" t="s">
        <v>549</v>
      </c>
      <c r="F8" s="8" t="s">
        <v>483</v>
      </c>
      <c r="G8" s="6" t="s">
        <v>424</v>
      </c>
      <c r="H8" s="6" t="s">
        <v>517</v>
      </c>
      <c r="I8" s="15"/>
      <c r="J8" s="6" t="s">
        <v>426</v>
      </c>
      <c r="K8" s="6" t="s">
        <v>426</v>
      </c>
      <c r="L8" s="6" t="s">
        <v>426</v>
      </c>
      <c r="M8" s="6" t="s">
        <v>426</v>
      </c>
      <c r="N8" s="6" t="s">
        <v>426</v>
      </c>
      <c r="O8" s="6" t="s">
        <v>426</v>
      </c>
      <c r="P8" s="6" t="s">
        <v>426</v>
      </c>
      <c r="Q8" s="6" t="s">
        <v>426</v>
      </c>
      <c r="R8" s="6" t="s">
        <v>426</v>
      </c>
      <c r="S8" s="6" t="s">
        <v>426</v>
      </c>
      <c r="T8" s="6" t="s">
        <v>426</v>
      </c>
      <c r="U8" s="6" t="s">
        <v>426</v>
      </c>
      <c r="V8" s="6" t="s">
        <v>426</v>
      </c>
      <c r="W8" s="6" t="s">
        <v>426</v>
      </c>
      <c r="X8" s="6" t="s">
        <v>426</v>
      </c>
      <c r="Y8" s="6" t="s">
        <v>426</v>
      </c>
      <c r="Z8" s="6" t="s">
        <v>426</v>
      </c>
      <c r="AA8" s="6" t="s">
        <v>426</v>
      </c>
      <c r="AB8" s="6" t="s">
        <v>426</v>
      </c>
      <c r="AC8" s="15" t="s">
        <v>426</v>
      </c>
      <c r="AD8" s="6" t="s">
        <v>427</v>
      </c>
      <c r="AE8" s="6">
        <v>0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/>
      <c r="AN8" s="15"/>
      <c r="AO8" s="6" t="s">
        <v>426</v>
      </c>
      <c r="AP8" s="6">
        <v>3</v>
      </c>
      <c r="AQ8" s="6" t="s">
        <v>426</v>
      </c>
      <c r="AR8" s="6">
        <v>90</v>
      </c>
      <c r="AS8" s="6" t="s">
        <v>426</v>
      </c>
      <c r="AT8" s="6"/>
      <c r="AU8" s="6" t="s">
        <v>426</v>
      </c>
      <c r="AV8" s="6"/>
      <c r="AW8" s="6" t="s">
        <v>426</v>
      </c>
      <c r="AX8" s="6"/>
      <c r="AY8" s="6" t="s">
        <v>426</v>
      </c>
      <c r="AZ8" s="6">
        <v>1</v>
      </c>
      <c r="BA8" s="6" t="s">
        <v>426</v>
      </c>
      <c r="BB8" s="6"/>
      <c r="BC8" s="6" t="s">
        <v>426</v>
      </c>
      <c r="BD8" s="6"/>
      <c r="BE8" s="6" t="s">
        <v>426</v>
      </c>
      <c r="BF8" s="6">
        <v>10</v>
      </c>
      <c r="BG8" s="6" t="s">
        <v>426</v>
      </c>
      <c r="BH8" s="6"/>
      <c r="BI8" s="6" t="s">
        <v>426</v>
      </c>
      <c r="BJ8" s="6"/>
      <c r="BK8" s="6" t="s">
        <v>426</v>
      </c>
      <c r="BL8" s="6"/>
      <c r="BM8" s="6" t="s">
        <v>426</v>
      </c>
      <c r="BN8" s="6">
        <v>1</v>
      </c>
      <c r="BO8" s="6" t="s">
        <v>426</v>
      </c>
      <c r="BP8" s="6"/>
      <c r="BQ8" s="6" t="s">
        <v>426</v>
      </c>
      <c r="BR8" s="6">
        <v>40</v>
      </c>
      <c r="BS8" s="6" t="s">
        <v>426</v>
      </c>
      <c r="BT8" s="6">
        <v>20</v>
      </c>
      <c r="BU8" s="6" t="s">
        <v>426</v>
      </c>
      <c r="BV8" s="15"/>
      <c r="BW8" s="15" t="s">
        <v>550</v>
      </c>
      <c r="BX8" s="15" t="s">
        <v>429</v>
      </c>
      <c r="BY8" s="6" t="s">
        <v>430</v>
      </c>
      <c r="BZ8" s="6" t="s">
        <v>430</v>
      </c>
      <c r="CA8" s="6" t="s">
        <v>430</v>
      </c>
      <c r="CB8" s="6" t="s">
        <v>431</v>
      </c>
      <c r="CC8" s="6" t="s">
        <v>430</v>
      </c>
      <c r="CD8" s="6" t="s">
        <v>430</v>
      </c>
      <c r="CE8" s="6" t="s">
        <v>431</v>
      </c>
      <c r="CF8" s="6" t="s">
        <v>430</v>
      </c>
      <c r="CG8" s="6" t="s">
        <v>430</v>
      </c>
      <c r="CH8" s="6" t="s">
        <v>430</v>
      </c>
      <c r="CI8" s="6" t="s">
        <v>430</v>
      </c>
      <c r="CJ8" s="6" t="s">
        <v>431</v>
      </c>
      <c r="CK8" s="6" t="s">
        <v>430</v>
      </c>
      <c r="CL8" s="6" t="s">
        <v>430</v>
      </c>
      <c r="CM8" s="6" t="s">
        <v>430</v>
      </c>
      <c r="CN8" s="6" t="s">
        <v>430</v>
      </c>
      <c r="CO8" s="15" t="s">
        <v>430</v>
      </c>
      <c r="CP8" s="15" t="s">
        <v>432</v>
      </c>
      <c r="CQ8" s="6" t="s">
        <v>433</v>
      </c>
      <c r="CR8" s="15"/>
      <c r="CS8" s="6" t="s">
        <v>426</v>
      </c>
      <c r="CT8" s="6" t="s">
        <v>551</v>
      </c>
      <c r="CU8" s="6">
        <v>90</v>
      </c>
      <c r="CV8" s="6">
        <v>200</v>
      </c>
      <c r="CW8" s="6">
        <v>18000</v>
      </c>
      <c r="CX8" s="15" t="s">
        <v>426</v>
      </c>
      <c r="CY8" s="6" t="s">
        <v>426</v>
      </c>
      <c r="CZ8" s="6" t="s">
        <v>552</v>
      </c>
      <c r="DA8" s="6">
        <v>5000</v>
      </c>
      <c r="DB8" s="6">
        <v>10</v>
      </c>
      <c r="DC8" s="6">
        <v>150</v>
      </c>
      <c r="DD8" s="15">
        <v>5000</v>
      </c>
      <c r="DE8" s="15" t="s">
        <v>436</v>
      </c>
      <c r="DF8" s="6" t="s">
        <v>522</v>
      </c>
      <c r="DG8" s="6">
        <v>0</v>
      </c>
      <c r="DH8" s="6">
        <v>1</v>
      </c>
      <c r="DI8" s="6">
        <v>0</v>
      </c>
      <c r="DJ8" s="6">
        <v>0</v>
      </c>
      <c r="DK8" s="6">
        <v>0</v>
      </c>
      <c r="DL8" s="6">
        <v>0</v>
      </c>
      <c r="DM8" s="6"/>
      <c r="DN8" s="6"/>
      <c r="DO8" s="6"/>
      <c r="DP8" s="6"/>
      <c r="DQ8" s="6"/>
      <c r="DR8" s="6"/>
      <c r="DS8" s="6"/>
      <c r="DT8" s="66"/>
      <c r="DU8" s="6" t="s">
        <v>438</v>
      </c>
      <c r="DV8" s="6" t="s">
        <v>426</v>
      </c>
      <c r="DW8" s="6" t="s">
        <v>439</v>
      </c>
      <c r="DX8" s="6" t="s">
        <v>440</v>
      </c>
      <c r="DY8" s="6"/>
      <c r="DZ8" s="6" t="s">
        <v>441</v>
      </c>
      <c r="EA8" s="6">
        <v>1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/>
      <c r="EJ8" s="6" t="s">
        <v>553</v>
      </c>
      <c r="EK8" s="6">
        <v>0</v>
      </c>
      <c r="EL8" s="6">
        <v>0</v>
      </c>
      <c r="EM8" s="6">
        <v>0</v>
      </c>
      <c r="EN8" s="6">
        <v>0</v>
      </c>
      <c r="EO8" s="6">
        <v>1</v>
      </c>
      <c r="EP8" s="6">
        <v>0</v>
      </c>
      <c r="EQ8" s="6">
        <v>0</v>
      </c>
      <c r="ER8" s="6">
        <v>0</v>
      </c>
      <c r="ES8" s="6">
        <v>0</v>
      </c>
      <c r="ET8" s="6"/>
      <c r="EU8" s="6" t="s">
        <v>443</v>
      </c>
      <c r="EV8" s="6" t="s">
        <v>554</v>
      </c>
      <c r="EW8" s="6"/>
      <c r="EX8" s="6" t="s">
        <v>445</v>
      </c>
      <c r="EY8" s="6">
        <v>0</v>
      </c>
      <c r="EZ8" s="6">
        <v>0</v>
      </c>
      <c r="FA8" s="6">
        <v>1</v>
      </c>
      <c r="FB8" s="6">
        <v>0</v>
      </c>
      <c r="FC8" s="6">
        <v>0</v>
      </c>
      <c r="FD8" s="6">
        <v>0</v>
      </c>
      <c r="FE8" s="6"/>
      <c r="FF8" s="6">
        <v>0</v>
      </c>
      <c r="FG8" s="6"/>
      <c r="FH8" s="6" t="s">
        <v>555</v>
      </c>
      <c r="FI8" s="6">
        <v>0</v>
      </c>
      <c r="FJ8" s="6"/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/>
      <c r="FQ8" s="6">
        <v>1</v>
      </c>
      <c r="FR8" s="6">
        <v>0</v>
      </c>
      <c r="FS8" s="6"/>
      <c r="FT8" s="6" t="s">
        <v>556</v>
      </c>
      <c r="FU8" s="6" t="s">
        <v>499</v>
      </c>
      <c r="FV8" s="6"/>
      <c r="FW8" s="6" t="s">
        <v>449</v>
      </c>
      <c r="FX8" s="15" t="s">
        <v>450</v>
      </c>
      <c r="FY8" s="6" t="s">
        <v>451</v>
      </c>
      <c r="FZ8" s="6"/>
      <c r="GA8" s="6" t="s">
        <v>450</v>
      </c>
      <c r="GB8" s="6" t="s">
        <v>501</v>
      </c>
      <c r="GC8" s="6" t="s">
        <v>453</v>
      </c>
      <c r="GD8" s="6"/>
      <c r="GE8" s="6" t="s">
        <v>454</v>
      </c>
      <c r="GF8" s="6" t="s">
        <v>557</v>
      </c>
      <c r="GG8" s="6" t="s">
        <v>502</v>
      </c>
      <c r="GH8" s="15"/>
      <c r="GI8" s="6" t="s">
        <v>458</v>
      </c>
      <c r="GJ8" s="6" t="s">
        <v>558</v>
      </c>
      <c r="GK8" s="6" t="s">
        <v>460</v>
      </c>
      <c r="GL8" s="6" t="s">
        <v>461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1</v>
      </c>
      <c r="GS8" s="6">
        <v>0</v>
      </c>
      <c r="GT8" s="6"/>
      <c r="GU8" s="6" t="s">
        <v>534</v>
      </c>
      <c r="GV8" s="6" t="s">
        <v>559</v>
      </c>
      <c r="GW8" s="6" t="s">
        <v>464</v>
      </c>
      <c r="GX8" s="6">
        <v>1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/>
      <c r="HE8" s="6" t="s">
        <v>465</v>
      </c>
      <c r="HF8" s="6">
        <v>0</v>
      </c>
      <c r="HG8" s="6">
        <v>1</v>
      </c>
      <c r="HH8" s="6">
        <v>0</v>
      </c>
      <c r="HI8" s="6">
        <v>0</v>
      </c>
      <c r="HJ8" s="6">
        <v>0</v>
      </c>
      <c r="HK8" s="6">
        <v>0</v>
      </c>
      <c r="HL8" s="15"/>
      <c r="HM8" s="6" t="s">
        <v>505</v>
      </c>
      <c r="HN8" s="6"/>
      <c r="HO8" s="6" t="s">
        <v>560</v>
      </c>
      <c r="HP8" s="6" t="s">
        <v>561</v>
      </c>
      <c r="HQ8" s="6"/>
      <c r="HR8" s="6" t="s">
        <v>562</v>
      </c>
      <c r="HS8" s="6" t="s">
        <v>470</v>
      </c>
      <c r="HT8" s="6">
        <v>0</v>
      </c>
      <c r="HU8" s="6">
        <v>0</v>
      </c>
      <c r="HV8" s="6">
        <v>0</v>
      </c>
      <c r="HW8" s="6">
        <v>0</v>
      </c>
      <c r="HX8" s="6">
        <v>1</v>
      </c>
      <c r="HY8" s="6">
        <v>0</v>
      </c>
      <c r="HZ8" s="6"/>
      <c r="IA8" s="6" t="s">
        <v>541</v>
      </c>
      <c r="IB8" s="6">
        <v>0</v>
      </c>
      <c r="IC8" s="6">
        <v>0</v>
      </c>
      <c r="ID8" s="6">
        <v>1</v>
      </c>
      <c r="IE8" s="6">
        <v>0</v>
      </c>
      <c r="IF8" s="6">
        <v>0</v>
      </c>
      <c r="IG8" s="6">
        <v>0</v>
      </c>
      <c r="IH8" s="15" t="s">
        <v>563</v>
      </c>
      <c r="II8" s="6" t="s">
        <v>453</v>
      </c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 t="s">
        <v>426</v>
      </c>
      <c r="IX8" s="6">
        <v>1</v>
      </c>
      <c r="IY8" s="6" t="s">
        <v>474</v>
      </c>
      <c r="IZ8" s="6" t="s">
        <v>475</v>
      </c>
      <c r="JA8" s="6" t="s">
        <v>426</v>
      </c>
      <c r="JB8" s="6" t="s">
        <v>476</v>
      </c>
      <c r="JC8" s="6"/>
      <c r="JD8" s="6"/>
      <c r="JE8" s="6"/>
      <c r="JF8" s="6"/>
      <c r="JG8" s="6"/>
      <c r="JH8" s="6"/>
      <c r="JI8" s="6"/>
      <c r="JJ8" s="6"/>
      <c r="JK8" s="6" t="s">
        <v>453</v>
      </c>
      <c r="JL8" s="6"/>
      <c r="JM8" s="6"/>
      <c r="JN8" s="6"/>
      <c r="JO8" s="6"/>
      <c r="JP8" s="6"/>
      <c r="JQ8" s="6"/>
      <c r="JR8" s="6"/>
      <c r="JS8" s="6"/>
      <c r="JT8" s="6"/>
      <c r="JU8" s="6" t="s">
        <v>477</v>
      </c>
      <c r="JV8" s="15"/>
      <c r="JW8" s="94" t="s">
        <v>564</v>
      </c>
      <c r="JX8" s="6" t="s">
        <v>565</v>
      </c>
      <c r="JY8" s="6">
        <v>0.8464187</v>
      </c>
      <c r="JZ8" s="6">
        <v>34.7353747</v>
      </c>
      <c r="KA8" s="6">
        <v>1888.7</v>
      </c>
      <c r="KB8" s="15">
        <v>4.866</v>
      </c>
      <c r="KC8" s="15"/>
    </row>
    <row r="9" spans="1:289">
      <c r="A9" s="6" t="s">
        <v>419</v>
      </c>
      <c r="B9" s="6" t="s">
        <v>420</v>
      </c>
      <c r="C9" s="6" t="s">
        <v>421</v>
      </c>
      <c r="D9" s="6" t="s">
        <v>421</v>
      </c>
      <c r="E9" s="6" t="s">
        <v>566</v>
      </c>
      <c r="F9" s="8" t="s">
        <v>423</v>
      </c>
      <c r="G9" s="6" t="s">
        <v>567</v>
      </c>
      <c r="H9" s="6" t="s">
        <v>425</v>
      </c>
      <c r="I9" s="15"/>
      <c r="J9" s="6" t="s">
        <v>426</v>
      </c>
      <c r="K9" s="6" t="s">
        <v>426</v>
      </c>
      <c r="L9" s="6" t="s">
        <v>426</v>
      </c>
      <c r="M9" s="6" t="s">
        <v>426</v>
      </c>
      <c r="N9" s="6" t="s">
        <v>426</v>
      </c>
      <c r="O9" s="6" t="s">
        <v>426</v>
      </c>
      <c r="P9" s="6" t="s">
        <v>426</v>
      </c>
      <c r="Q9" s="6" t="s">
        <v>426</v>
      </c>
      <c r="R9" s="6" t="s">
        <v>426</v>
      </c>
      <c r="S9" s="6" t="s">
        <v>426</v>
      </c>
      <c r="T9" s="6" t="s">
        <v>426</v>
      </c>
      <c r="U9" s="6" t="s">
        <v>426</v>
      </c>
      <c r="V9" s="6" t="s">
        <v>426</v>
      </c>
      <c r="W9" s="6" t="s">
        <v>426</v>
      </c>
      <c r="X9" s="6" t="s">
        <v>426</v>
      </c>
      <c r="Y9" s="6" t="s">
        <v>426</v>
      </c>
      <c r="Z9" s="6" t="s">
        <v>426</v>
      </c>
      <c r="AA9" s="6" t="s">
        <v>426</v>
      </c>
      <c r="AB9" s="6" t="s">
        <v>426</v>
      </c>
      <c r="AC9" s="15" t="s">
        <v>426</v>
      </c>
      <c r="AD9" s="6" t="s">
        <v>427</v>
      </c>
      <c r="AE9" s="6">
        <v>0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0</v>
      </c>
      <c r="AM9" s="6"/>
      <c r="AN9" s="15"/>
      <c r="AO9" s="6" t="s">
        <v>426</v>
      </c>
      <c r="AP9" s="6">
        <v>5</v>
      </c>
      <c r="AQ9" s="6" t="s">
        <v>426</v>
      </c>
      <c r="AR9" s="6">
        <v>6</v>
      </c>
      <c r="AS9" s="6" t="s">
        <v>426</v>
      </c>
      <c r="AT9" s="6"/>
      <c r="AU9" s="6" t="s">
        <v>426</v>
      </c>
      <c r="AV9" s="6"/>
      <c r="AW9" s="6" t="s">
        <v>426</v>
      </c>
      <c r="AX9" s="6"/>
      <c r="AY9" s="6" t="s">
        <v>426</v>
      </c>
      <c r="AZ9" s="6">
        <v>1</v>
      </c>
      <c r="BA9" s="6" t="s">
        <v>426</v>
      </c>
      <c r="BB9" s="6"/>
      <c r="BC9" s="6" t="s">
        <v>426</v>
      </c>
      <c r="BD9" s="6"/>
      <c r="BE9" s="6" t="s">
        <v>426</v>
      </c>
      <c r="BF9" s="6">
        <v>10</v>
      </c>
      <c r="BG9" s="6" t="s">
        <v>426</v>
      </c>
      <c r="BH9" s="6"/>
      <c r="BI9" s="6" t="s">
        <v>426</v>
      </c>
      <c r="BJ9" s="6"/>
      <c r="BK9" s="6" t="s">
        <v>426</v>
      </c>
      <c r="BL9" s="6"/>
      <c r="BM9" s="6" t="s">
        <v>426</v>
      </c>
      <c r="BN9" s="6">
        <v>6</v>
      </c>
      <c r="BO9" s="6" t="s">
        <v>426</v>
      </c>
      <c r="BP9" s="6"/>
      <c r="BQ9" s="6" t="s">
        <v>426</v>
      </c>
      <c r="BR9" s="6">
        <v>500</v>
      </c>
      <c r="BS9" s="6" t="s">
        <v>426</v>
      </c>
      <c r="BT9" s="6">
        <v>5</v>
      </c>
      <c r="BU9" s="6" t="s">
        <v>426</v>
      </c>
      <c r="BV9" s="15"/>
      <c r="BW9" s="15" t="s">
        <v>428</v>
      </c>
      <c r="BX9" s="15" t="s">
        <v>429</v>
      </c>
      <c r="BY9" s="6" t="s">
        <v>430</v>
      </c>
      <c r="BZ9" s="6" t="s">
        <v>430</v>
      </c>
      <c r="CA9" s="6" t="s">
        <v>430</v>
      </c>
      <c r="CB9" s="6" t="s">
        <v>431</v>
      </c>
      <c r="CC9" s="6" t="s">
        <v>430</v>
      </c>
      <c r="CD9" s="6" t="s">
        <v>431</v>
      </c>
      <c r="CE9" s="6" t="s">
        <v>431</v>
      </c>
      <c r="CF9" s="6" t="s">
        <v>430</v>
      </c>
      <c r="CG9" s="6" t="s">
        <v>431</v>
      </c>
      <c r="CH9" s="6" t="s">
        <v>431</v>
      </c>
      <c r="CI9" s="6" t="s">
        <v>431</v>
      </c>
      <c r="CJ9" s="6" t="s">
        <v>430</v>
      </c>
      <c r="CK9" s="6" t="s">
        <v>430</v>
      </c>
      <c r="CL9" s="6" t="s">
        <v>430</v>
      </c>
      <c r="CM9" s="6" t="s">
        <v>430</v>
      </c>
      <c r="CN9" s="6" t="s">
        <v>431</v>
      </c>
      <c r="CO9" s="15" t="s">
        <v>431</v>
      </c>
      <c r="CP9" s="15" t="s">
        <v>432</v>
      </c>
      <c r="CQ9" s="6" t="s">
        <v>433</v>
      </c>
      <c r="CR9" s="15"/>
      <c r="CS9" s="6" t="s">
        <v>426</v>
      </c>
      <c r="CT9" s="6" t="s">
        <v>568</v>
      </c>
      <c r="CU9" s="6">
        <v>90</v>
      </c>
      <c r="CV9" s="6">
        <v>8000</v>
      </c>
      <c r="CW9" s="6">
        <v>720000</v>
      </c>
      <c r="CX9" s="15" t="s">
        <v>426</v>
      </c>
      <c r="CY9" s="6" t="s">
        <v>426</v>
      </c>
      <c r="CZ9" s="6" t="s">
        <v>569</v>
      </c>
      <c r="DA9" s="6">
        <v>80000</v>
      </c>
      <c r="DB9" s="6">
        <v>40</v>
      </c>
      <c r="DC9" s="6">
        <v>60000</v>
      </c>
      <c r="DD9" s="15">
        <v>240000</v>
      </c>
      <c r="DE9" s="15" t="s">
        <v>436</v>
      </c>
      <c r="DF9" s="6" t="s">
        <v>437</v>
      </c>
      <c r="DG9" s="6">
        <v>1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/>
      <c r="DN9" s="6"/>
      <c r="DO9" s="6"/>
      <c r="DP9" s="6"/>
      <c r="DQ9" s="6"/>
      <c r="DR9" s="6"/>
      <c r="DS9" s="6"/>
      <c r="DT9" s="66"/>
      <c r="DU9" s="6" t="s">
        <v>438</v>
      </c>
      <c r="DV9" s="6" t="s">
        <v>426</v>
      </c>
      <c r="DW9" s="6" t="s">
        <v>439</v>
      </c>
      <c r="DX9" s="6" t="s">
        <v>491</v>
      </c>
      <c r="DY9" s="6"/>
      <c r="DZ9" s="6" t="s">
        <v>570</v>
      </c>
      <c r="EA9" s="6">
        <v>1</v>
      </c>
      <c r="EB9" s="6">
        <v>0</v>
      </c>
      <c r="EC9" s="6">
        <v>0</v>
      </c>
      <c r="ED9" s="6">
        <v>1</v>
      </c>
      <c r="EE9" s="6">
        <v>0</v>
      </c>
      <c r="EF9" s="6">
        <v>0</v>
      </c>
      <c r="EG9" s="6">
        <v>0</v>
      </c>
      <c r="EH9" s="6">
        <v>0</v>
      </c>
      <c r="EI9" s="6"/>
      <c r="EJ9" s="6" t="s">
        <v>571</v>
      </c>
      <c r="EK9" s="6">
        <v>1</v>
      </c>
      <c r="EL9" s="6">
        <v>1</v>
      </c>
      <c r="EM9" s="6">
        <v>1</v>
      </c>
      <c r="EN9" s="6">
        <v>1</v>
      </c>
      <c r="EO9" s="6">
        <v>1</v>
      </c>
      <c r="EP9" s="6">
        <v>1</v>
      </c>
      <c r="EQ9" s="6">
        <v>0</v>
      </c>
      <c r="ER9" s="6">
        <v>0</v>
      </c>
      <c r="ES9" s="6">
        <v>0</v>
      </c>
      <c r="ET9" s="6"/>
      <c r="EU9" s="6" t="s">
        <v>494</v>
      </c>
      <c r="EV9" s="6" t="s">
        <v>495</v>
      </c>
      <c r="EW9" s="6"/>
      <c r="EX9" s="6" t="s">
        <v>445</v>
      </c>
      <c r="EY9" s="6">
        <v>0</v>
      </c>
      <c r="EZ9" s="6">
        <v>0</v>
      </c>
      <c r="FA9" s="6">
        <v>1</v>
      </c>
      <c r="FB9" s="6">
        <v>0</v>
      </c>
      <c r="FC9" s="6">
        <v>0</v>
      </c>
      <c r="FD9" s="6">
        <v>0</v>
      </c>
      <c r="FE9" s="6"/>
      <c r="FF9" s="6">
        <v>0</v>
      </c>
      <c r="FG9" s="6"/>
      <c r="FH9" s="6" t="s">
        <v>572</v>
      </c>
      <c r="FI9" s="6">
        <v>1</v>
      </c>
      <c r="FJ9" s="6"/>
      <c r="FK9" s="6">
        <v>0</v>
      </c>
      <c r="FL9" s="6">
        <v>1</v>
      </c>
      <c r="FM9" s="6">
        <v>1</v>
      </c>
      <c r="FN9" s="6">
        <v>0</v>
      </c>
      <c r="FO9" s="6">
        <v>0</v>
      </c>
      <c r="FP9" s="6"/>
      <c r="FQ9" s="6">
        <v>0</v>
      </c>
      <c r="FR9" s="6">
        <v>0</v>
      </c>
      <c r="FS9" s="6"/>
      <c r="FT9" s="6" t="s">
        <v>447</v>
      </c>
      <c r="FU9" s="6" t="s">
        <v>448</v>
      </c>
      <c r="FV9" s="6"/>
      <c r="FW9" s="6" t="s">
        <v>449</v>
      </c>
      <c r="FX9" s="15" t="s">
        <v>450</v>
      </c>
      <c r="FY9" s="6" t="s">
        <v>451</v>
      </c>
      <c r="FZ9" s="6"/>
      <c r="GA9" s="6" t="s">
        <v>450</v>
      </c>
      <c r="GB9" s="6" t="s">
        <v>452</v>
      </c>
      <c r="GC9" s="6" t="s">
        <v>453</v>
      </c>
      <c r="GD9" s="6"/>
      <c r="GE9" s="6" t="s">
        <v>454</v>
      </c>
      <c r="GF9" s="6" t="s">
        <v>573</v>
      </c>
      <c r="GG9" s="6" t="s">
        <v>456</v>
      </c>
      <c r="GH9" s="15" t="s">
        <v>574</v>
      </c>
      <c r="GI9" s="6" t="s">
        <v>458</v>
      </c>
      <c r="GJ9" s="6" t="s">
        <v>575</v>
      </c>
      <c r="GK9" s="6" t="s">
        <v>460</v>
      </c>
      <c r="GL9" s="6" t="s">
        <v>461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1</v>
      </c>
      <c r="GS9" s="6">
        <v>0</v>
      </c>
      <c r="GT9" s="6"/>
      <c r="GU9" s="6" t="s">
        <v>462</v>
      </c>
      <c r="GV9" s="6" t="s">
        <v>463</v>
      </c>
      <c r="GW9" s="6" t="s">
        <v>464</v>
      </c>
      <c r="GX9" s="6">
        <v>1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/>
      <c r="HE9" s="6" t="s">
        <v>465</v>
      </c>
      <c r="HF9" s="6">
        <v>0</v>
      </c>
      <c r="HG9" s="6">
        <v>1</v>
      </c>
      <c r="HH9" s="6">
        <v>0</v>
      </c>
      <c r="HI9" s="6">
        <v>0</v>
      </c>
      <c r="HJ9" s="6">
        <v>0</v>
      </c>
      <c r="HK9" s="6">
        <v>0</v>
      </c>
      <c r="HL9" s="15"/>
      <c r="HM9" s="6" t="s">
        <v>466</v>
      </c>
      <c r="HN9" s="6"/>
      <c r="HO9" s="6" t="s">
        <v>576</v>
      </c>
      <c r="HP9" s="6" t="s">
        <v>468</v>
      </c>
      <c r="HQ9" s="6"/>
      <c r="HR9" s="6" t="s">
        <v>577</v>
      </c>
      <c r="HS9" s="6" t="s">
        <v>470</v>
      </c>
      <c r="HT9" s="6">
        <v>0</v>
      </c>
      <c r="HU9" s="6">
        <v>0</v>
      </c>
      <c r="HV9" s="6">
        <v>0</v>
      </c>
      <c r="HW9" s="6">
        <v>0</v>
      </c>
      <c r="HX9" s="6">
        <v>1</v>
      </c>
      <c r="HY9" s="6">
        <v>0</v>
      </c>
      <c r="HZ9" s="6"/>
      <c r="IA9" s="6" t="s">
        <v>111</v>
      </c>
      <c r="IB9" s="6">
        <v>1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15" t="s">
        <v>578</v>
      </c>
      <c r="II9" s="6" t="s">
        <v>426</v>
      </c>
      <c r="IJ9" s="6" t="s">
        <v>472</v>
      </c>
      <c r="IK9" s="6">
        <v>1</v>
      </c>
      <c r="IL9" s="6">
        <v>0</v>
      </c>
      <c r="IM9" s="6">
        <v>0</v>
      </c>
      <c r="IN9" s="6"/>
      <c r="IO9" s="6" t="s">
        <v>473</v>
      </c>
      <c r="IP9" s="6">
        <v>1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/>
      <c r="IW9" s="6" t="s">
        <v>426</v>
      </c>
      <c r="IX9" s="6">
        <v>1</v>
      </c>
      <c r="IY9" s="6" t="s">
        <v>474</v>
      </c>
      <c r="IZ9" s="6" t="s">
        <v>475</v>
      </c>
      <c r="JA9" s="6" t="s">
        <v>426</v>
      </c>
      <c r="JB9" s="6" t="s">
        <v>476</v>
      </c>
      <c r="JC9" s="6"/>
      <c r="JD9" s="6"/>
      <c r="JE9" s="6"/>
      <c r="JF9" s="6"/>
      <c r="JG9" s="6"/>
      <c r="JH9" s="6"/>
      <c r="JI9" s="6"/>
      <c r="JJ9" s="6"/>
      <c r="JK9" s="6" t="s">
        <v>426</v>
      </c>
      <c r="JL9" s="6" t="s">
        <v>426</v>
      </c>
      <c r="JM9" s="6"/>
      <c r="JN9" s="6"/>
      <c r="JO9" s="6"/>
      <c r="JP9" s="6"/>
      <c r="JQ9" s="6"/>
      <c r="JR9" s="6"/>
      <c r="JS9" s="6"/>
      <c r="JT9" s="6"/>
      <c r="JU9" s="6" t="s">
        <v>477</v>
      </c>
      <c r="JV9" s="15"/>
      <c r="JW9" s="94" t="s">
        <v>579</v>
      </c>
      <c r="JX9" s="6" t="s">
        <v>580</v>
      </c>
      <c r="JY9" s="6">
        <v>0.8345675</v>
      </c>
      <c r="JZ9" s="6">
        <v>34.7482022</v>
      </c>
      <c r="KA9" s="6">
        <v>1734.3</v>
      </c>
      <c r="KB9" s="15">
        <v>3.9</v>
      </c>
      <c r="KC9" s="15"/>
    </row>
    <row r="10" spans="1:289">
      <c r="A10" s="6" t="s">
        <v>581</v>
      </c>
      <c r="B10" s="6" t="s">
        <v>420</v>
      </c>
      <c r="C10" s="6" t="s">
        <v>421</v>
      </c>
      <c r="D10" s="6" t="s">
        <v>515</v>
      </c>
      <c r="E10" s="6" t="s">
        <v>582</v>
      </c>
      <c r="F10" s="8" t="s">
        <v>483</v>
      </c>
      <c r="G10" s="6" t="s">
        <v>567</v>
      </c>
      <c r="H10" s="6" t="s">
        <v>517</v>
      </c>
      <c r="I10" s="15"/>
      <c r="J10" s="6" t="s">
        <v>426</v>
      </c>
      <c r="K10" s="6" t="s">
        <v>426</v>
      </c>
      <c r="L10" s="6" t="s">
        <v>426</v>
      </c>
      <c r="M10" s="6" t="s">
        <v>426</v>
      </c>
      <c r="N10" s="6" t="s">
        <v>426</v>
      </c>
      <c r="O10" s="6" t="s">
        <v>426</v>
      </c>
      <c r="P10" s="6" t="s">
        <v>426</v>
      </c>
      <c r="Q10" s="6" t="s">
        <v>426</v>
      </c>
      <c r="R10" s="6" t="s">
        <v>426</v>
      </c>
      <c r="S10" s="6" t="s">
        <v>426</v>
      </c>
      <c r="T10" s="6" t="s">
        <v>426</v>
      </c>
      <c r="U10" s="6" t="s">
        <v>426</v>
      </c>
      <c r="V10" s="6" t="s">
        <v>426</v>
      </c>
      <c r="W10" s="6" t="s">
        <v>426</v>
      </c>
      <c r="X10" s="6" t="s">
        <v>426</v>
      </c>
      <c r="Y10" s="6" t="s">
        <v>426</v>
      </c>
      <c r="Z10" s="6" t="s">
        <v>426</v>
      </c>
      <c r="AA10" s="6" t="s">
        <v>426</v>
      </c>
      <c r="AB10" s="6" t="s">
        <v>426</v>
      </c>
      <c r="AC10" s="15" t="s">
        <v>426</v>
      </c>
      <c r="AD10" s="6" t="s">
        <v>427</v>
      </c>
      <c r="AE10" s="6">
        <v>0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/>
      <c r="AN10" s="15"/>
      <c r="AO10" s="6" t="s">
        <v>426</v>
      </c>
      <c r="AP10" s="6">
        <v>5</v>
      </c>
      <c r="AQ10" s="6" t="s">
        <v>426</v>
      </c>
      <c r="AR10" s="6">
        <v>5</v>
      </c>
      <c r="AS10" s="6" t="s">
        <v>426</v>
      </c>
      <c r="AT10" s="6"/>
      <c r="AU10" s="6" t="s">
        <v>426</v>
      </c>
      <c r="AV10" s="6"/>
      <c r="AW10" s="6" t="s">
        <v>426</v>
      </c>
      <c r="AX10" s="6"/>
      <c r="AY10" s="6" t="s">
        <v>426</v>
      </c>
      <c r="AZ10" s="6">
        <v>2</v>
      </c>
      <c r="BA10" s="6" t="s">
        <v>426</v>
      </c>
      <c r="BB10" s="6"/>
      <c r="BC10" s="6" t="s">
        <v>426</v>
      </c>
      <c r="BD10" s="6"/>
      <c r="BE10" s="6" t="s">
        <v>453</v>
      </c>
      <c r="BF10" s="6"/>
      <c r="BG10" s="6" t="s">
        <v>426</v>
      </c>
      <c r="BH10" s="6"/>
      <c r="BI10" s="6" t="s">
        <v>426</v>
      </c>
      <c r="BJ10" s="6"/>
      <c r="BK10" s="6" t="s">
        <v>426</v>
      </c>
      <c r="BL10" s="6"/>
      <c r="BM10" s="6" t="s">
        <v>426</v>
      </c>
      <c r="BN10" s="6">
        <v>100</v>
      </c>
      <c r="BO10" s="6" t="s">
        <v>426</v>
      </c>
      <c r="BP10" s="6"/>
      <c r="BQ10" s="6" t="s">
        <v>426</v>
      </c>
      <c r="BR10" s="6">
        <v>300</v>
      </c>
      <c r="BS10" s="6" t="s">
        <v>426</v>
      </c>
      <c r="BT10" s="6">
        <v>50</v>
      </c>
      <c r="BU10" s="6" t="s">
        <v>426</v>
      </c>
      <c r="BV10" s="15"/>
      <c r="BW10" s="15" t="s">
        <v>518</v>
      </c>
      <c r="BX10" s="15" t="s">
        <v>429</v>
      </c>
      <c r="BY10" s="6" t="s">
        <v>430</v>
      </c>
      <c r="BZ10" s="6" t="s">
        <v>430</v>
      </c>
      <c r="CA10" s="6" t="s">
        <v>430</v>
      </c>
      <c r="CB10" s="6" t="s">
        <v>486</v>
      </c>
      <c r="CC10" s="6" t="s">
        <v>430</v>
      </c>
      <c r="CD10" s="6" t="s">
        <v>430</v>
      </c>
      <c r="CE10" s="6" t="s">
        <v>430</v>
      </c>
      <c r="CF10" s="6" t="s">
        <v>430</v>
      </c>
      <c r="CG10" s="6" t="s">
        <v>486</v>
      </c>
      <c r="CH10" s="6" t="s">
        <v>430</v>
      </c>
      <c r="CI10" s="6" t="s">
        <v>430</v>
      </c>
      <c r="CJ10" s="6" t="s">
        <v>430</v>
      </c>
      <c r="CK10" s="6" t="s">
        <v>430</v>
      </c>
      <c r="CL10" s="6" t="s">
        <v>430</v>
      </c>
      <c r="CM10" s="6" t="s">
        <v>430</v>
      </c>
      <c r="CN10" s="6" t="s">
        <v>430</v>
      </c>
      <c r="CO10" s="15" t="s">
        <v>430</v>
      </c>
      <c r="CP10" s="15" t="s">
        <v>432</v>
      </c>
      <c r="CQ10" s="6" t="s">
        <v>433</v>
      </c>
      <c r="CR10" s="15"/>
      <c r="CS10" s="6" t="s">
        <v>426</v>
      </c>
      <c r="CT10" s="6" t="s">
        <v>583</v>
      </c>
      <c r="CU10" s="6">
        <v>90</v>
      </c>
      <c r="CV10" s="6">
        <v>300</v>
      </c>
      <c r="CW10" s="6">
        <v>27000</v>
      </c>
      <c r="CX10" s="15" t="s">
        <v>426</v>
      </c>
      <c r="CY10" s="6" t="s">
        <v>426</v>
      </c>
      <c r="CZ10" s="6" t="s">
        <v>584</v>
      </c>
      <c r="DA10" s="6">
        <v>30000</v>
      </c>
      <c r="DB10" s="6">
        <v>7</v>
      </c>
      <c r="DC10" s="6">
        <v>300</v>
      </c>
      <c r="DD10" s="15">
        <v>150000</v>
      </c>
      <c r="DE10" s="15" t="s">
        <v>436</v>
      </c>
      <c r="DF10" s="6" t="s">
        <v>585</v>
      </c>
      <c r="DG10" s="6">
        <v>0</v>
      </c>
      <c r="DH10" s="6">
        <v>0</v>
      </c>
      <c r="DI10" s="6">
        <v>1</v>
      </c>
      <c r="DJ10" s="6">
        <v>0</v>
      </c>
      <c r="DK10" s="6">
        <v>0</v>
      </c>
      <c r="DL10" s="6">
        <v>0</v>
      </c>
      <c r="DM10" s="6"/>
      <c r="DN10" s="6"/>
      <c r="DO10" s="6"/>
      <c r="DP10" s="6"/>
      <c r="DQ10" s="6"/>
      <c r="DR10" s="6"/>
      <c r="DS10" s="6"/>
      <c r="DT10" s="66"/>
      <c r="DU10" s="6" t="s">
        <v>523</v>
      </c>
      <c r="DV10" s="6" t="s">
        <v>426</v>
      </c>
      <c r="DW10" s="6" t="s">
        <v>439</v>
      </c>
      <c r="DX10" s="6" t="s">
        <v>440</v>
      </c>
      <c r="DY10" s="6"/>
      <c r="DZ10" s="6" t="s">
        <v>586</v>
      </c>
      <c r="EA10" s="6">
        <v>1</v>
      </c>
      <c r="EB10" s="6">
        <v>1</v>
      </c>
      <c r="EC10" s="6">
        <v>1</v>
      </c>
      <c r="ED10" s="6">
        <v>1</v>
      </c>
      <c r="EE10" s="6">
        <v>1</v>
      </c>
      <c r="EF10" s="6">
        <v>1</v>
      </c>
      <c r="EG10" s="6">
        <v>0</v>
      </c>
      <c r="EH10" s="6">
        <v>0</v>
      </c>
      <c r="EI10" s="6"/>
      <c r="EJ10" s="6" t="s">
        <v>587</v>
      </c>
      <c r="EK10" s="6">
        <v>1</v>
      </c>
      <c r="EL10" s="6">
        <v>0</v>
      </c>
      <c r="EM10" s="6">
        <v>1</v>
      </c>
      <c r="EN10" s="6">
        <v>1</v>
      </c>
      <c r="EO10" s="6">
        <v>0</v>
      </c>
      <c r="EP10" s="6">
        <v>1</v>
      </c>
      <c r="EQ10" s="6">
        <v>1</v>
      </c>
      <c r="ER10" s="6">
        <v>0</v>
      </c>
      <c r="ES10" s="6">
        <v>0</v>
      </c>
      <c r="ET10" s="6"/>
      <c r="EU10" s="6" t="s">
        <v>443</v>
      </c>
      <c r="EV10" s="6" t="s">
        <v>588</v>
      </c>
      <c r="EW10" s="6"/>
      <c r="EX10" s="6" t="s">
        <v>589</v>
      </c>
      <c r="EY10" s="6">
        <v>1</v>
      </c>
      <c r="EZ10" s="6">
        <v>1</v>
      </c>
      <c r="FA10" s="6">
        <v>1</v>
      </c>
      <c r="FB10" s="6">
        <v>1</v>
      </c>
      <c r="FC10" s="6">
        <v>1</v>
      </c>
      <c r="FD10" s="6">
        <v>1</v>
      </c>
      <c r="FE10" s="6"/>
      <c r="FF10" s="6">
        <v>0</v>
      </c>
      <c r="FG10" s="6"/>
      <c r="FH10" s="6" t="s">
        <v>590</v>
      </c>
      <c r="FI10" s="6">
        <v>1</v>
      </c>
      <c r="FJ10" s="6"/>
      <c r="FK10" s="6">
        <v>1</v>
      </c>
      <c r="FL10" s="6">
        <v>1</v>
      </c>
      <c r="FM10" s="6">
        <v>1</v>
      </c>
      <c r="FN10" s="6">
        <v>1</v>
      </c>
      <c r="FO10" s="6">
        <v>0</v>
      </c>
      <c r="FP10" s="6"/>
      <c r="FQ10" s="6">
        <v>0</v>
      </c>
      <c r="FR10" s="6">
        <v>0</v>
      </c>
      <c r="FS10" s="6"/>
      <c r="FT10" s="6" t="s">
        <v>556</v>
      </c>
      <c r="FU10" s="6" t="s">
        <v>448</v>
      </c>
      <c r="FV10" s="6"/>
      <c r="FW10" s="6" t="s">
        <v>449</v>
      </c>
      <c r="FX10" s="15" t="s">
        <v>450</v>
      </c>
      <c r="FY10" s="6" t="s">
        <v>529</v>
      </c>
      <c r="FZ10" s="6"/>
      <c r="GA10" s="6" t="s">
        <v>450</v>
      </c>
      <c r="GB10" s="6" t="s">
        <v>501</v>
      </c>
      <c r="GC10" s="6" t="s">
        <v>453</v>
      </c>
      <c r="GD10" s="6"/>
      <c r="GE10" s="6" t="s">
        <v>454</v>
      </c>
      <c r="GF10" s="6" t="s">
        <v>591</v>
      </c>
      <c r="GG10" s="6" t="s">
        <v>592</v>
      </c>
      <c r="GH10" s="15" t="s">
        <v>593</v>
      </c>
      <c r="GI10" s="6" t="s">
        <v>458</v>
      </c>
      <c r="GJ10" s="6" t="s">
        <v>594</v>
      </c>
      <c r="GK10" s="6" t="s">
        <v>460</v>
      </c>
      <c r="GL10" s="6" t="s">
        <v>461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1</v>
      </c>
      <c r="GS10" s="6">
        <v>0</v>
      </c>
      <c r="GT10" s="6"/>
      <c r="GU10" s="6" t="s">
        <v>534</v>
      </c>
      <c r="GV10" s="6" t="s">
        <v>595</v>
      </c>
      <c r="GW10" s="6" t="s">
        <v>464</v>
      </c>
      <c r="GX10" s="6">
        <v>1</v>
      </c>
      <c r="GY10" s="6">
        <v>0</v>
      </c>
      <c r="GZ10" s="6">
        <v>0</v>
      </c>
      <c r="HA10" s="6">
        <v>0</v>
      </c>
      <c r="HB10" s="6">
        <v>0</v>
      </c>
      <c r="HC10" s="6">
        <v>0</v>
      </c>
      <c r="HD10" s="6"/>
      <c r="HE10" s="6" t="s">
        <v>596</v>
      </c>
      <c r="HF10" s="6">
        <v>1</v>
      </c>
      <c r="HG10" s="6">
        <v>1</v>
      </c>
      <c r="HH10" s="6">
        <v>1</v>
      </c>
      <c r="HI10" s="6">
        <v>1</v>
      </c>
      <c r="HJ10" s="6">
        <v>0</v>
      </c>
      <c r="HK10" s="6">
        <v>0</v>
      </c>
      <c r="HL10" s="15"/>
      <c r="HM10" s="6" t="s">
        <v>505</v>
      </c>
      <c r="HN10" s="6"/>
      <c r="HO10" s="6" t="s">
        <v>597</v>
      </c>
      <c r="HP10" s="6" t="s">
        <v>561</v>
      </c>
      <c r="HQ10" s="6"/>
      <c r="HR10" s="6" t="s">
        <v>598</v>
      </c>
      <c r="HS10" s="6" t="s">
        <v>599</v>
      </c>
      <c r="HT10" s="6">
        <v>1</v>
      </c>
      <c r="HU10" s="6">
        <v>0</v>
      </c>
      <c r="HV10" s="6">
        <v>1</v>
      </c>
      <c r="HW10" s="6">
        <v>0</v>
      </c>
      <c r="HX10" s="6">
        <v>1</v>
      </c>
      <c r="HY10" s="6">
        <v>0</v>
      </c>
      <c r="HZ10" s="6"/>
      <c r="IA10" s="6" t="s">
        <v>600</v>
      </c>
      <c r="IB10" s="6">
        <v>1</v>
      </c>
      <c r="IC10" s="6">
        <v>1</v>
      </c>
      <c r="ID10" s="6">
        <v>1</v>
      </c>
      <c r="IE10" s="6">
        <v>1</v>
      </c>
      <c r="IF10" s="6">
        <v>0</v>
      </c>
      <c r="IG10" s="6">
        <v>0</v>
      </c>
      <c r="IH10" s="15" t="s">
        <v>601</v>
      </c>
      <c r="II10" s="6" t="s">
        <v>426</v>
      </c>
      <c r="IJ10" s="6" t="s">
        <v>602</v>
      </c>
      <c r="IK10" s="6">
        <v>1</v>
      </c>
      <c r="IL10" s="6">
        <v>1</v>
      </c>
      <c r="IM10" s="6">
        <v>0</v>
      </c>
      <c r="IN10" s="6"/>
      <c r="IO10" s="6" t="s">
        <v>603</v>
      </c>
      <c r="IP10" s="6">
        <v>1</v>
      </c>
      <c r="IQ10" s="6">
        <v>0</v>
      </c>
      <c r="IR10" s="6">
        <v>1</v>
      </c>
      <c r="IS10" s="6">
        <v>1</v>
      </c>
      <c r="IT10" s="6">
        <v>1</v>
      </c>
      <c r="IU10" s="6">
        <v>0</v>
      </c>
      <c r="IV10" s="6"/>
      <c r="IW10" s="6" t="s">
        <v>426</v>
      </c>
      <c r="IX10" s="6">
        <v>1</v>
      </c>
      <c r="IY10" s="6" t="s">
        <v>474</v>
      </c>
      <c r="IZ10" s="6" t="s">
        <v>604</v>
      </c>
      <c r="JA10" s="6" t="s">
        <v>605</v>
      </c>
      <c r="JB10" s="6"/>
      <c r="JC10" s="6"/>
      <c r="JD10" s="6"/>
      <c r="JE10" s="6"/>
      <c r="JF10" s="6"/>
      <c r="JG10" s="6"/>
      <c r="JH10" s="6"/>
      <c r="JI10" s="6"/>
      <c r="JJ10" s="6"/>
      <c r="JK10" s="6" t="s">
        <v>453</v>
      </c>
      <c r="JL10" s="6"/>
      <c r="JM10" s="6"/>
      <c r="JN10" s="6"/>
      <c r="JO10" s="6"/>
      <c r="JP10" s="6"/>
      <c r="JQ10" s="6"/>
      <c r="JR10" s="6"/>
      <c r="JS10" s="6"/>
      <c r="JT10" s="6"/>
      <c r="JU10" s="6" t="s">
        <v>477</v>
      </c>
      <c r="JV10" s="15"/>
      <c r="JW10" s="94" t="s">
        <v>606</v>
      </c>
      <c r="JX10" s="6" t="s">
        <v>607</v>
      </c>
      <c r="JY10" s="6">
        <v>0.8469092</v>
      </c>
      <c r="JZ10" s="6">
        <v>34.7354319</v>
      </c>
      <c r="KA10" s="6">
        <v>1868.5</v>
      </c>
      <c r="KB10" s="15">
        <v>4.8</v>
      </c>
      <c r="KC10" s="15"/>
    </row>
    <row r="11" spans="1:289">
      <c r="A11" s="6" t="s">
        <v>480</v>
      </c>
      <c r="B11" s="6" t="s">
        <v>420</v>
      </c>
      <c r="C11" s="6" t="s">
        <v>421</v>
      </c>
      <c r="D11" s="6" t="s">
        <v>481</v>
      </c>
      <c r="E11" s="6" t="s">
        <v>608</v>
      </c>
      <c r="F11" s="8" t="s">
        <v>483</v>
      </c>
      <c r="G11" s="6" t="s">
        <v>424</v>
      </c>
      <c r="H11" s="6" t="s">
        <v>425</v>
      </c>
      <c r="I11" s="15"/>
      <c r="J11" s="6" t="s">
        <v>426</v>
      </c>
      <c r="K11" s="6" t="s">
        <v>426</v>
      </c>
      <c r="L11" s="6" t="s">
        <v>426</v>
      </c>
      <c r="M11" s="6" t="s">
        <v>453</v>
      </c>
      <c r="N11" s="6" t="s">
        <v>426</v>
      </c>
      <c r="O11" s="6" t="s">
        <v>426</v>
      </c>
      <c r="P11" s="6" t="s">
        <v>426</v>
      </c>
      <c r="Q11" s="6" t="s">
        <v>426</v>
      </c>
      <c r="R11" s="6" t="s">
        <v>426</v>
      </c>
      <c r="S11" s="6" t="s">
        <v>426</v>
      </c>
      <c r="T11" s="6" t="s">
        <v>426</v>
      </c>
      <c r="U11" s="6" t="s">
        <v>426</v>
      </c>
      <c r="V11" s="6" t="s">
        <v>426</v>
      </c>
      <c r="W11" s="6" t="s">
        <v>426</v>
      </c>
      <c r="X11" s="6" t="s">
        <v>426</v>
      </c>
      <c r="Y11" s="6" t="s">
        <v>426</v>
      </c>
      <c r="Z11" s="6" t="s">
        <v>426</v>
      </c>
      <c r="AA11" s="6" t="s">
        <v>426</v>
      </c>
      <c r="AB11" s="6" t="s">
        <v>426</v>
      </c>
      <c r="AC11" s="15" t="s">
        <v>426</v>
      </c>
      <c r="AD11" s="6" t="s">
        <v>427</v>
      </c>
      <c r="AE11" s="6">
        <v>0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0</v>
      </c>
      <c r="AL11" s="6">
        <v>0</v>
      </c>
      <c r="AM11" s="6"/>
      <c r="AN11" s="15"/>
      <c r="AO11" s="6" t="s">
        <v>426</v>
      </c>
      <c r="AP11" s="6">
        <v>2</v>
      </c>
      <c r="AQ11" s="6" t="s">
        <v>426</v>
      </c>
      <c r="AR11" s="6">
        <v>2</v>
      </c>
      <c r="AS11" s="6" t="s">
        <v>426</v>
      </c>
      <c r="AT11" s="6"/>
      <c r="AU11" s="6" t="s">
        <v>453</v>
      </c>
      <c r="AV11" s="6"/>
      <c r="AW11" s="6" t="s">
        <v>426</v>
      </c>
      <c r="AX11" s="6"/>
      <c r="AY11" s="6" t="s">
        <v>426</v>
      </c>
      <c r="AZ11" s="6">
        <v>1</v>
      </c>
      <c r="BA11" s="6" t="s">
        <v>453</v>
      </c>
      <c r="BB11" s="6"/>
      <c r="BC11" s="6" t="s">
        <v>426</v>
      </c>
      <c r="BD11" s="6"/>
      <c r="BE11" s="6" t="s">
        <v>453</v>
      </c>
      <c r="BF11" s="6"/>
      <c r="BG11" s="6" t="s">
        <v>453</v>
      </c>
      <c r="BH11" s="6"/>
      <c r="BI11" s="6" t="s">
        <v>426</v>
      </c>
      <c r="BJ11" s="6"/>
      <c r="BK11" s="6" t="s">
        <v>426</v>
      </c>
      <c r="BL11" s="6"/>
      <c r="BM11" s="6" t="s">
        <v>426</v>
      </c>
      <c r="BN11" s="6">
        <v>3</v>
      </c>
      <c r="BO11" s="6" t="s">
        <v>426</v>
      </c>
      <c r="BP11" s="6"/>
      <c r="BQ11" s="6" t="s">
        <v>426</v>
      </c>
      <c r="BR11" s="6">
        <v>150</v>
      </c>
      <c r="BS11" s="6" t="s">
        <v>453</v>
      </c>
      <c r="BT11" s="6"/>
      <c r="BU11" s="6" t="s">
        <v>426</v>
      </c>
      <c r="BV11" s="15"/>
      <c r="BW11" s="15" t="s">
        <v>428</v>
      </c>
      <c r="BX11" s="15" t="s">
        <v>429</v>
      </c>
      <c r="BY11" s="6" t="s">
        <v>430</v>
      </c>
      <c r="BZ11" s="6" t="s">
        <v>430</v>
      </c>
      <c r="CA11" s="6" t="s">
        <v>430</v>
      </c>
      <c r="CB11" s="6" t="s">
        <v>487</v>
      </c>
      <c r="CC11" s="6" t="s">
        <v>430</v>
      </c>
      <c r="CD11" s="6" t="s">
        <v>430</v>
      </c>
      <c r="CE11" s="6" t="s">
        <v>431</v>
      </c>
      <c r="CF11" s="6" t="s">
        <v>609</v>
      </c>
      <c r="CG11" s="6" t="s">
        <v>487</v>
      </c>
      <c r="CH11" s="6" t="s">
        <v>487</v>
      </c>
      <c r="CI11" s="6" t="s">
        <v>430</v>
      </c>
      <c r="CJ11" s="6" t="s">
        <v>430</v>
      </c>
      <c r="CK11" s="6" t="s">
        <v>430</v>
      </c>
      <c r="CL11" s="6" t="s">
        <v>430</v>
      </c>
      <c r="CM11" s="6" t="s">
        <v>430</v>
      </c>
      <c r="CN11" s="6" t="s">
        <v>487</v>
      </c>
      <c r="CO11" s="15" t="s">
        <v>431</v>
      </c>
      <c r="CP11" s="15" t="s">
        <v>488</v>
      </c>
      <c r="CQ11" s="6" t="s">
        <v>433</v>
      </c>
      <c r="CR11" s="15"/>
      <c r="CS11" s="6" t="s">
        <v>426</v>
      </c>
      <c r="CT11" s="6" t="s">
        <v>610</v>
      </c>
      <c r="CU11" s="6">
        <v>145</v>
      </c>
      <c r="CV11" s="6">
        <v>400</v>
      </c>
      <c r="CW11" s="6">
        <v>58000</v>
      </c>
      <c r="CX11" s="15" t="s">
        <v>426</v>
      </c>
      <c r="CY11" s="6" t="s">
        <v>453</v>
      </c>
      <c r="CZ11" s="6"/>
      <c r="DA11" s="6"/>
      <c r="DB11" s="6"/>
      <c r="DC11" s="6"/>
      <c r="DD11" s="15"/>
      <c r="DE11" s="15" t="s">
        <v>436</v>
      </c>
      <c r="DF11" s="6" t="s">
        <v>611</v>
      </c>
      <c r="DG11" s="6">
        <v>1</v>
      </c>
      <c r="DH11" s="6">
        <v>1</v>
      </c>
      <c r="DI11" s="6">
        <v>0</v>
      </c>
      <c r="DJ11" s="6">
        <v>0</v>
      </c>
      <c r="DK11" s="6">
        <v>0</v>
      </c>
      <c r="DL11" s="6">
        <v>0</v>
      </c>
      <c r="DM11" s="6"/>
      <c r="DN11" s="6"/>
      <c r="DO11" s="6"/>
      <c r="DP11" s="6"/>
      <c r="DQ11" s="6"/>
      <c r="DR11" s="6"/>
      <c r="DS11" s="6"/>
      <c r="DT11" s="66"/>
      <c r="DU11" s="6" t="s">
        <v>438</v>
      </c>
      <c r="DV11" s="6" t="s">
        <v>426</v>
      </c>
      <c r="DW11" s="6" t="s">
        <v>439</v>
      </c>
      <c r="DX11" s="6" t="s">
        <v>612</v>
      </c>
      <c r="DY11" s="6" t="s">
        <v>613</v>
      </c>
      <c r="DZ11" s="6" t="s">
        <v>614</v>
      </c>
      <c r="EA11" s="6">
        <v>0</v>
      </c>
      <c r="EB11" s="6">
        <v>0</v>
      </c>
      <c r="EC11" s="6">
        <v>0</v>
      </c>
      <c r="ED11" s="6">
        <v>0</v>
      </c>
      <c r="EE11" s="6">
        <v>1</v>
      </c>
      <c r="EF11" s="6">
        <v>0</v>
      </c>
      <c r="EG11" s="6">
        <v>1</v>
      </c>
      <c r="EH11" s="6">
        <v>0</v>
      </c>
      <c r="EI11" s="6"/>
      <c r="EJ11" s="6" t="s">
        <v>615</v>
      </c>
      <c r="EK11" s="6">
        <v>1</v>
      </c>
      <c r="EL11" s="6">
        <v>1</v>
      </c>
      <c r="EM11" s="6">
        <v>1</v>
      </c>
      <c r="EN11" s="6">
        <v>1</v>
      </c>
      <c r="EO11" s="6">
        <v>0</v>
      </c>
      <c r="EP11" s="6">
        <v>1</v>
      </c>
      <c r="EQ11" s="6">
        <v>0</v>
      </c>
      <c r="ER11" s="6">
        <v>0</v>
      </c>
      <c r="ES11" s="6">
        <v>0</v>
      </c>
      <c r="ET11" s="6"/>
      <c r="EU11" s="6" t="s">
        <v>494</v>
      </c>
      <c r="EV11" s="6" t="s">
        <v>616</v>
      </c>
      <c r="EW11" s="6"/>
      <c r="EX11" s="6" t="s">
        <v>617</v>
      </c>
      <c r="EY11" s="6">
        <v>1</v>
      </c>
      <c r="EZ11" s="6">
        <v>1</v>
      </c>
      <c r="FA11" s="6">
        <v>0</v>
      </c>
      <c r="FB11" s="6">
        <v>0</v>
      </c>
      <c r="FC11" s="6">
        <v>0</v>
      </c>
      <c r="FD11" s="6">
        <v>0</v>
      </c>
      <c r="FE11" s="6"/>
      <c r="FF11" s="6">
        <v>0</v>
      </c>
      <c r="FG11" s="6"/>
      <c r="FH11" s="6" t="s">
        <v>618</v>
      </c>
      <c r="FI11" s="6">
        <v>0</v>
      </c>
      <c r="FJ11" s="6"/>
      <c r="FK11" s="6">
        <v>0</v>
      </c>
      <c r="FL11" s="6">
        <v>1</v>
      </c>
      <c r="FM11" s="6">
        <v>0</v>
      </c>
      <c r="FN11" s="6">
        <v>0</v>
      </c>
      <c r="FO11" s="6">
        <v>0</v>
      </c>
      <c r="FP11" s="6"/>
      <c r="FQ11" s="6">
        <v>0</v>
      </c>
      <c r="FR11" s="6">
        <v>0</v>
      </c>
      <c r="FS11" s="6"/>
      <c r="FT11" s="6" t="s">
        <v>556</v>
      </c>
      <c r="FU11" s="6" t="s">
        <v>448</v>
      </c>
      <c r="FV11" s="6"/>
      <c r="FW11" s="6" t="s">
        <v>449</v>
      </c>
      <c r="FX11" s="78" t="s">
        <v>450</v>
      </c>
      <c r="FY11" s="6" t="s">
        <v>619</v>
      </c>
      <c r="FZ11" s="6"/>
      <c r="GA11" s="6" t="s">
        <v>450</v>
      </c>
      <c r="GB11" s="6" t="s">
        <v>501</v>
      </c>
      <c r="GC11" s="6" t="s">
        <v>453</v>
      </c>
      <c r="GD11" s="6"/>
      <c r="GE11" s="6" t="s">
        <v>454</v>
      </c>
      <c r="GF11" s="6" t="s">
        <v>620</v>
      </c>
      <c r="GG11" s="6" t="s">
        <v>502</v>
      </c>
      <c r="GH11" s="15"/>
      <c r="GI11" s="6" t="s">
        <v>458</v>
      </c>
      <c r="GJ11" s="6" t="s">
        <v>621</v>
      </c>
      <c r="GK11" s="6" t="s">
        <v>460</v>
      </c>
      <c r="GL11" s="6" t="s">
        <v>461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1</v>
      </c>
      <c r="GS11" s="6">
        <v>0</v>
      </c>
      <c r="GT11" s="6"/>
      <c r="GU11" s="6" t="s">
        <v>622</v>
      </c>
      <c r="GV11" s="6" t="s">
        <v>623</v>
      </c>
      <c r="GW11" s="6" t="s">
        <v>624</v>
      </c>
      <c r="GX11" s="6">
        <v>0</v>
      </c>
      <c r="GY11" s="6">
        <v>0</v>
      </c>
      <c r="GZ11" s="6">
        <v>1</v>
      </c>
      <c r="HA11" s="6">
        <v>1</v>
      </c>
      <c r="HB11" s="6">
        <v>0</v>
      </c>
      <c r="HC11" s="6">
        <v>0</v>
      </c>
      <c r="HD11" s="6"/>
      <c r="HE11" s="6" t="s">
        <v>625</v>
      </c>
      <c r="HF11" s="6">
        <v>1</v>
      </c>
      <c r="HG11" s="6">
        <v>1</v>
      </c>
      <c r="HH11" s="6">
        <v>1</v>
      </c>
      <c r="HI11" s="6">
        <v>1</v>
      </c>
      <c r="HJ11" s="6">
        <v>1</v>
      </c>
      <c r="HK11" s="6">
        <v>0</v>
      </c>
      <c r="HL11" s="15"/>
      <c r="HM11" s="6" t="s">
        <v>505</v>
      </c>
      <c r="HN11" s="6"/>
      <c r="HO11" s="6" t="s">
        <v>626</v>
      </c>
      <c r="HP11" s="6" t="s">
        <v>561</v>
      </c>
      <c r="HQ11" s="6"/>
      <c r="HR11" s="6" t="s">
        <v>627</v>
      </c>
      <c r="HS11" s="6" t="s">
        <v>628</v>
      </c>
      <c r="HT11" s="6">
        <v>0</v>
      </c>
      <c r="HU11" s="6">
        <v>0</v>
      </c>
      <c r="HV11" s="6">
        <v>1</v>
      </c>
      <c r="HW11" s="6">
        <v>0</v>
      </c>
      <c r="HX11" s="6">
        <v>1</v>
      </c>
      <c r="HY11" s="6">
        <v>1</v>
      </c>
      <c r="HZ11" s="6"/>
      <c r="IA11" s="6" t="s">
        <v>629</v>
      </c>
      <c r="IB11" s="6">
        <v>0</v>
      </c>
      <c r="IC11" s="6">
        <v>0</v>
      </c>
      <c r="ID11" s="6">
        <v>0</v>
      </c>
      <c r="IE11" s="6">
        <v>1</v>
      </c>
      <c r="IF11" s="6">
        <v>1</v>
      </c>
      <c r="IG11" s="6">
        <v>0</v>
      </c>
      <c r="IH11" s="15" t="s">
        <v>509</v>
      </c>
      <c r="II11" s="6" t="s">
        <v>426</v>
      </c>
      <c r="IJ11" s="6" t="s">
        <v>472</v>
      </c>
      <c r="IK11" s="6">
        <v>1</v>
      </c>
      <c r="IL11" s="6">
        <v>0</v>
      </c>
      <c r="IM11" s="6">
        <v>0</v>
      </c>
      <c r="IN11" s="6"/>
      <c r="IO11" s="6" t="s">
        <v>630</v>
      </c>
      <c r="IP11" s="6">
        <v>0</v>
      </c>
      <c r="IQ11" s="6">
        <v>0</v>
      </c>
      <c r="IR11" s="6">
        <v>0</v>
      </c>
      <c r="IS11" s="6">
        <v>1</v>
      </c>
      <c r="IT11" s="6">
        <v>0</v>
      </c>
      <c r="IU11" s="6">
        <v>0</v>
      </c>
      <c r="IV11" s="6"/>
      <c r="IW11" s="6" t="s">
        <v>453</v>
      </c>
      <c r="IX11" s="6"/>
      <c r="IY11" s="6" t="s">
        <v>510</v>
      </c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 t="s">
        <v>453</v>
      </c>
      <c r="JK11" s="6" t="s">
        <v>453</v>
      </c>
      <c r="JL11" s="6"/>
      <c r="JM11" s="6"/>
      <c r="JN11" s="6"/>
      <c r="JO11" s="6"/>
      <c r="JP11" s="6"/>
      <c r="JQ11" s="6"/>
      <c r="JR11" s="6"/>
      <c r="JS11" s="6"/>
      <c r="JT11" s="6"/>
      <c r="JU11" s="6" t="s">
        <v>477</v>
      </c>
      <c r="JV11" s="15"/>
      <c r="JW11" s="94" t="s">
        <v>631</v>
      </c>
      <c r="JX11" s="6" t="s">
        <v>632</v>
      </c>
      <c r="JY11" s="6">
        <v>0.8326866</v>
      </c>
      <c r="JZ11" s="6">
        <v>34.7330426</v>
      </c>
      <c r="KA11" s="6">
        <v>1707.8681640625</v>
      </c>
      <c r="KB11" s="15">
        <v>4.956</v>
      </c>
      <c r="KC11" s="15"/>
    </row>
    <row r="12" spans="1:289">
      <c r="A12" s="6" t="s">
        <v>633</v>
      </c>
      <c r="B12" s="6" t="s">
        <v>420</v>
      </c>
      <c r="C12" s="6" t="s">
        <v>421</v>
      </c>
      <c r="D12" s="6" t="s">
        <v>634</v>
      </c>
      <c r="E12" s="6" t="s">
        <v>635</v>
      </c>
      <c r="F12" s="8" t="s">
        <v>483</v>
      </c>
      <c r="G12" s="6" t="s">
        <v>567</v>
      </c>
      <c r="H12" s="6" t="s">
        <v>517</v>
      </c>
      <c r="I12" s="15"/>
      <c r="J12" s="6" t="s">
        <v>426</v>
      </c>
      <c r="K12" s="6" t="s">
        <v>426</v>
      </c>
      <c r="L12" s="6" t="s">
        <v>426</v>
      </c>
      <c r="M12" s="6" t="s">
        <v>426</v>
      </c>
      <c r="N12" s="6" t="s">
        <v>426</v>
      </c>
      <c r="O12" s="6" t="s">
        <v>426</v>
      </c>
      <c r="P12" s="6" t="s">
        <v>426</v>
      </c>
      <c r="Q12" s="6" t="s">
        <v>453</v>
      </c>
      <c r="R12" s="6" t="s">
        <v>426</v>
      </c>
      <c r="S12" s="6" t="s">
        <v>426</v>
      </c>
      <c r="T12" s="6" t="s">
        <v>426</v>
      </c>
      <c r="U12" s="6" t="s">
        <v>426</v>
      </c>
      <c r="V12" s="6" t="s">
        <v>426</v>
      </c>
      <c r="W12" s="6" t="s">
        <v>426</v>
      </c>
      <c r="X12" s="6" t="s">
        <v>426</v>
      </c>
      <c r="Y12" s="6" t="s">
        <v>426</v>
      </c>
      <c r="Z12" s="6" t="s">
        <v>426</v>
      </c>
      <c r="AA12" s="6" t="s">
        <v>426</v>
      </c>
      <c r="AB12" s="6" t="s">
        <v>426</v>
      </c>
      <c r="AC12" s="15" t="s">
        <v>426</v>
      </c>
      <c r="AD12" s="6" t="s">
        <v>427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0</v>
      </c>
      <c r="AM12" s="6"/>
      <c r="AN12" s="15"/>
      <c r="AO12" s="6" t="s">
        <v>426</v>
      </c>
      <c r="AP12" s="6">
        <v>2</v>
      </c>
      <c r="AQ12" s="6" t="s">
        <v>426</v>
      </c>
      <c r="AR12" s="6">
        <v>2</v>
      </c>
      <c r="AS12" s="6" t="s">
        <v>426</v>
      </c>
      <c r="AT12" s="6"/>
      <c r="AU12" s="6" t="s">
        <v>453</v>
      </c>
      <c r="AV12" s="6"/>
      <c r="AW12" s="6" t="s">
        <v>426</v>
      </c>
      <c r="AX12" s="6"/>
      <c r="AY12" s="6" t="s">
        <v>426</v>
      </c>
      <c r="AZ12" s="6">
        <v>1</v>
      </c>
      <c r="BA12" s="6" t="s">
        <v>426</v>
      </c>
      <c r="BB12" s="6"/>
      <c r="BC12" s="6" t="s">
        <v>453</v>
      </c>
      <c r="BD12" s="6"/>
      <c r="BE12" s="6" t="s">
        <v>426</v>
      </c>
      <c r="BF12" s="6">
        <v>15</v>
      </c>
      <c r="BG12" s="6" t="s">
        <v>426</v>
      </c>
      <c r="BH12" s="6"/>
      <c r="BI12" s="6" t="s">
        <v>426</v>
      </c>
      <c r="BJ12" s="6"/>
      <c r="BK12" s="6" t="s">
        <v>426</v>
      </c>
      <c r="BL12" s="6"/>
      <c r="BM12" s="6" t="s">
        <v>426</v>
      </c>
      <c r="BN12" s="6">
        <v>15</v>
      </c>
      <c r="BO12" s="6" t="s">
        <v>426</v>
      </c>
      <c r="BP12" s="6"/>
      <c r="BQ12" s="6" t="s">
        <v>426</v>
      </c>
      <c r="BR12" s="6">
        <v>10</v>
      </c>
      <c r="BS12" s="6" t="s">
        <v>426</v>
      </c>
      <c r="BT12" s="6">
        <v>2</v>
      </c>
      <c r="BU12" s="6" t="s">
        <v>453</v>
      </c>
      <c r="BV12" s="15"/>
      <c r="BW12" s="15" t="s">
        <v>518</v>
      </c>
      <c r="BX12" s="15" t="s">
        <v>429</v>
      </c>
      <c r="BY12" s="6" t="s">
        <v>430</v>
      </c>
      <c r="BZ12" s="6" t="s">
        <v>430</v>
      </c>
      <c r="CA12" s="6" t="s">
        <v>430</v>
      </c>
      <c r="CB12" s="6" t="s">
        <v>430</v>
      </c>
      <c r="CC12" s="6" t="s">
        <v>430</v>
      </c>
      <c r="CD12" s="6" t="s">
        <v>430</v>
      </c>
      <c r="CE12" s="6" t="s">
        <v>430</v>
      </c>
      <c r="CF12" s="6" t="s">
        <v>430</v>
      </c>
      <c r="CG12" s="6" t="s">
        <v>430</v>
      </c>
      <c r="CH12" s="6" t="s">
        <v>430</v>
      </c>
      <c r="CI12" s="6" t="s">
        <v>430</v>
      </c>
      <c r="CJ12" s="6" t="s">
        <v>430</v>
      </c>
      <c r="CK12" s="6" t="s">
        <v>430</v>
      </c>
      <c r="CL12" s="6" t="s">
        <v>430</v>
      </c>
      <c r="CM12" s="6" t="s">
        <v>430</v>
      </c>
      <c r="CN12" s="6" t="s">
        <v>430</v>
      </c>
      <c r="CO12" s="15" t="s">
        <v>486</v>
      </c>
      <c r="CP12" s="15" t="s">
        <v>636</v>
      </c>
      <c r="CQ12" s="6" t="s">
        <v>433</v>
      </c>
      <c r="CR12" s="15"/>
      <c r="CS12" s="6" t="s">
        <v>426</v>
      </c>
      <c r="CT12" s="6" t="s">
        <v>637</v>
      </c>
      <c r="CU12" s="6">
        <v>450</v>
      </c>
      <c r="CV12" s="6">
        <v>70</v>
      </c>
      <c r="CW12" s="6">
        <v>31500</v>
      </c>
      <c r="CX12" s="15" t="s">
        <v>426</v>
      </c>
      <c r="CY12" s="6" t="s">
        <v>426</v>
      </c>
      <c r="CZ12" s="6" t="s">
        <v>638</v>
      </c>
      <c r="DA12" s="6">
        <v>35750</v>
      </c>
      <c r="DB12" s="6">
        <v>600</v>
      </c>
      <c r="DC12" s="6">
        <v>100</v>
      </c>
      <c r="DD12" s="15">
        <v>60000</v>
      </c>
      <c r="DE12" s="15" t="s">
        <v>521</v>
      </c>
      <c r="DF12" s="6" t="s">
        <v>522</v>
      </c>
      <c r="DG12" s="6">
        <v>0</v>
      </c>
      <c r="DH12" s="6">
        <v>1</v>
      </c>
      <c r="DI12" s="6">
        <v>0</v>
      </c>
      <c r="DJ12" s="6">
        <v>0</v>
      </c>
      <c r="DK12" s="6">
        <v>0</v>
      </c>
      <c r="DL12" s="6">
        <v>0</v>
      </c>
      <c r="DM12" s="6"/>
      <c r="DN12" s="6"/>
      <c r="DO12" s="6"/>
      <c r="DP12" s="6"/>
      <c r="DQ12" s="6"/>
      <c r="DR12" s="6"/>
      <c r="DS12" s="6"/>
      <c r="DT12" s="66"/>
      <c r="DU12" s="6" t="s">
        <v>523</v>
      </c>
      <c r="DV12" s="6" t="s">
        <v>426</v>
      </c>
      <c r="DW12" s="6" t="s">
        <v>490</v>
      </c>
      <c r="DX12" s="6" t="s">
        <v>440</v>
      </c>
      <c r="DY12" s="6"/>
      <c r="DZ12" s="6" t="s">
        <v>639</v>
      </c>
      <c r="EA12" s="6">
        <v>1</v>
      </c>
      <c r="EB12" s="6">
        <v>1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/>
      <c r="EJ12" s="6" t="s">
        <v>640</v>
      </c>
      <c r="EK12" s="6">
        <v>1</v>
      </c>
      <c r="EL12" s="6">
        <v>0</v>
      </c>
      <c r="EM12" s="6">
        <v>1</v>
      </c>
      <c r="EN12" s="6">
        <v>0</v>
      </c>
      <c r="EO12" s="6">
        <v>1</v>
      </c>
      <c r="EP12" s="6">
        <v>0</v>
      </c>
      <c r="EQ12" s="6">
        <v>0</v>
      </c>
      <c r="ER12" s="6">
        <v>0</v>
      </c>
      <c r="ES12" s="6">
        <v>0</v>
      </c>
      <c r="ET12" s="6"/>
      <c r="EU12" s="6" t="s">
        <v>443</v>
      </c>
      <c r="EV12" s="6" t="s">
        <v>641</v>
      </c>
      <c r="EW12" s="6"/>
      <c r="EX12" s="6" t="s">
        <v>445</v>
      </c>
      <c r="EY12" s="6">
        <v>0</v>
      </c>
      <c r="EZ12" s="6">
        <v>0</v>
      </c>
      <c r="FA12" s="6">
        <v>1</v>
      </c>
      <c r="FB12" s="6">
        <v>0</v>
      </c>
      <c r="FC12" s="6">
        <v>0</v>
      </c>
      <c r="FD12" s="6">
        <v>0</v>
      </c>
      <c r="FE12" s="6"/>
      <c r="FF12" s="6">
        <v>0</v>
      </c>
      <c r="FG12" s="6"/>
      <c r="FH12" s="6" t="s">
        <v>446</v>
      </c>
      <c r="FI12" s="6">
        <v>1</v>
      </c>
      <c r="FJ12" s="6"/>
      <c r="FK12" s="6">
        <v>0</v>
      </c>
      <c r="FL12" s="6">
        <v>0</v>
      </c>
      <c r="FM12" s="6">
        <v>1</v>
      </c>
      <c r="FN12" s="6">
        <v>0</v>
      </c>
      <c r="FO12" s="6">
        <v>0</v>
      </c>
      <c r="FP12" s="6"/>
      <c r="FQ12" s="6">
        <v>0</v>
      </c>
      <c r="FR12" s="6">
        <v>0</v>
      </c>
      <c r="FS12" s="6"/>
      <c r="FT12" s="6" t="s">
        <v>556</v>
      </c>
      <c r="FU12" s="6" t="s">
        <v>448</v>
      </c>
      <c r="FV12" s="6"/>
      <c r="FW12" s="6" t="s">
        <v>449</v>
      </c>
      <c r="FX12" s="15" t="s">
        <v>528</v>
      </c>
      <c r="FY12" s="6" t="s">
        <v>500</v>
      </c>
      <c r="FZ12" s="6"/>
      <c r="GA12" s="6" t="s">
        <v>450</v>
      </c>
      <c r="GB12" s="6" t="s">
        <v>501</v>
      </c>
      <c r="GC12" s="6" t="s">
        <v>453</v>
      </c>
      <c r="GD12" s="6"/>
      <c r="GE12" s="6" t="s">
        <v>642</v>
      </c>
      <c r="GF12" s="6" t="s">
        <v>643</v>
      </c>
      <c r="GG12" s="6" t="s">
        <v>592</v>
      </c>
      <c r="GH12" s="15" t="s">
        <v>644</v>
      </c>
      <c r="GI12" s="6" t="s">
        <v>458</v>
      </c>
      <c r="GJ12" s="6" t="s">
        <v>645</v>
      </c>
      <c r="GK12" s="6" t="s">
        <v>460</v>
      </c>
      <c r="GL12" s="6" t="s">
        <v>461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1</v>
      </c>
      <c r="GS12" s="6">
        <v>0</v>
      </c>
      <c r="GT12" s="6"/>
      <c r="GU12" s="6" t="s">
        <v>462</v>
      </c>
      <c r="GV12" s="6" t="s">
        <v>595</v>
      </c>
      <c r="GW12" s="6" t="s">
        <v>464</v>
      </c>
      <c r="GX12" s="6">
        <v>1</v>
      </c>
      <c r="GY12" s="6">
        <v>0</v>
      </c>
      <c r="GZ12" s="6">
        <v>0</v>
      </c>
      <c r="HA12" s="6">
        <v>0</v>
      </c>
      <c r="HB12" s="6">
        <v>0</v>
      </c>
      <c r="HC12" s="6">
        <v>0</v>
      </c>
      <c r="HD12" s="6"/>
      <c r="HE12" s="6" t="s">
        <v>646</v>
      </c>
      <c r="HF12" s="6">
        <v>0</v>
      </c>
      <c r="HG12" s="6">
        <v>0</v>
      </c>
      <c r="HH12" s="6">
        <v>1</v>
      </c>
      <c r="HI12" s="6">
        <v>0</v>
      </c>
      <c r="HJ12" s="6">
        <v>0</v>
      </c>
      <c r="HK12" s="6">
        <v>0</v>
      </c>
      <c r="HL12" s="15"/>
      <c r="HM12" s="6" t="s">
        <v>466</v>
      </c>
      <c r="HN12" s="6"/>
      <c r="HO12" s="6" t="s">
        <v>647</v>
      </c>
      <c r="HP12" s="6" t="s">
        <v>648</v>
      </c>
      <c r="HQ12" s="6"/>
      <c r="HR12" s="6" t="s">
        <v>649</v>
      </c>
      <c r="HS12" s="6" t="s">
        <v>470</v>
      </c>
      <c r="HT12" s="6">
        <v>0</v>
      </c>
      <c r="HU12" s="6">
        <v>0</v>
      </c>
      <c r="HV12" s="6">
        <v>0</v>
      </c>
      <c r="HW12" s="6">
        <v>0</v>
      </c>
      <c r="HX12" s="6">
        <v>1</v>
      </c>
      <c r="HY12" s="6">
        <v>0</v>
      </c>
      <c r="HZ12" s="6"/>
      <c r="IA12" s="6" t="s">
        <v>112</v>
      </c>
      <c r="IB12" s="6">
        <v>0</v>
      </c>
      <c r="IC12" s="6">
        <v>1</v>
      </c>
      <c r="ID12" s="6">
        <v>0</v>
      </c>
      <c r="IE12" s="6">
        <v>0</v>
      </c>
      <c r="IF12" s="6">
        <v>0</v>
      </c>
      <c r="IG12" s="6">
        <v>0</v>
      </c>
      <c r="IH12" s="15" t="s">
        <v>650</v>
      </c>
      <c r="II12" s="6" t="s">
        <v>453</v>
      </c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 t="s">
        <v>426</v>
      </c>
      <c r="IX12" s="6">
        <v>1</v>
      </c>
      <c r="IY12" s="6" t="s">
        <v>474</v>
      </c>
      <c r="IZ12" s="6" t="s">
        <v>475</v>
      </c>
      <c r="JA12" s="6" t="s">
        <v>426</v>
      </c>
      <c r="JB12" s="6" t="s">
        <v>651</v>
      </c>
      <c r="JC12" s="6"/>
      <c r="JD12" s="6"/>
      <c r="JE12" s="6"/>
      <c r="JF12" s="6"/>
      <c r="JG12" s="6"/>
      <c r="JH12" s="6"/>
      <c r="JI12" s="6"/>
      <c r="JJ12" s="6"/>
      <c r="JK12" s="6" t="s">
        <v>453</v>
      </c>
      <c r="JL12" s="6"/>
      <c r="JM12" s="6"/>
      <c r="JN12" s="6"/>
      <c r="JO12" s="6"/>
      <c r="JP12" s="6"/>
      <c r="JQ12" s="6"/>
      <c r="JR12" s="6"/>
      <c r="JS12" s="6"/>
      <c r="JT12" s="6"/>
      <c r="JU12" s="6" t="s">
        <v>477</v>
      </c>
      <c r="JV12" s="15"/>
      <c r="JW12" s="94" t="s">
        <v>652</v>
      </c>
      <c r="JX12" s="6" t="s">
        <v>653</v>
      </c>
      <c r="JY12" s="6">
        <v>0.8361009</v>
      </c>
      <c r="JZ12" s="6">
        <v>34.7347432</v>
      </c>
      <c r="KA12" s="6">
        <v>1733</v>
      </c>
      <c r="KB12" s="15">
        <v>6.5</v>
      </c>
      <c r="KC12" s="15"/>
    </row>
    <row r="13" spans="1:289">
      <c r="A13" s="6" t="s">
        <v>514</v>
      </c>
      <c r="B13" s="6" t="s">
        <v>420</v>
      </c>
      <c r="C13" s="6" t="s">
        <v>421</v>
      </c>
      <c r="D13" s="6" t="s">
        <v>654</v>
      </c>
      <c r="E13" s="6" t="s">
        <v>655</v>
      </c>
      <c r="F13" s="8" t="s">
        <v>483</v>
      </c>
      <c r="G13" s="6" t="s">
        <v>424</v>
      </c>
      <c r="H13" s="6" t="s">
        <v>517</v>
      </c>
      <c r="I13" s="15"/>
      <c r="J13" s="6" t="s">
        <v>426</v>
      </c>
      <c r="K13" s="6" t="s">
        <v>426</v>
      </c>
      <c r="L13" s="6" t="s">
        <v>426</v>
      </c>
      <c r="M13" s="6" t="s">
        <v>426</v>
      </c>
      <c r="N13" s="6" t="s">
        <v>426</v>
      </c>
      <c r="O13" s="6" t="s">
        <v>426</v>
      </c>
      <c r="P13" s="6" t="s">
        <v>426</v>
      </c>
      <c r="Q13" s="6" t="s">
        <v>426</v>
      </c>
      <c r="R13" s="6" t="s">
        <v>426</v>
      </c>
      <c r="S13" s="6" t="s">
        <v>453</v>
      </c>
      <c r="T13" s="6" t="s">
        <v>426</v>
      </c>
      <c r="U13" s="6" t="s">
        <v>426</v>
      </c>
      <c r="V13" s="6" t="s">
        <v>453</v>
      </c>
      <c r="W13" s="6" t="s">
        <v>453</v>
      </c>
      <c r="X13" s="6" t="s">
        <v>426</v>
      </c>
      <c r="Y13" s="6" t="s">
        <v>426</v>
      </c>
      <c r="Z13" s="6" t="s">
        <v>426</v>
      </c>
      <c r="AA13" s="6" t="s">
        <v>426</v>
      </c>
      <c r="AB13" s="6" t="s">
        <v>426</v>
      </c>
      <c r="AC13" s="15" t="s">
        <v>426</v>
      </c>
      <c r="AD13" s="6" t="s">
        <v>427</v>
      </c>
      <c r="AE13" s="6">
        <v>0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0</v>
      </c>
      <c r="AM13" s="6"/>
      <c r="AN13" s="15"/>
      <c r="AO13" s="6" t="s">
        <v>453</v>
      </c>
      <c r="AP13" s="6"/>
      <c r="AQ13" s="6" t="s">
        <v>426</v>
      </c>
      <c r="AR13" s="6" t="s">
        <v>656</v>
      </c>
      <c r="AS13" s="6" t="s">
        <v>426</v>
      </c>
      <c r="AT13" s="6" t="s">
        <v>657</v>
      </c>
      <c r="AU13" s="6" t="s">
        <v>453</v>
      </c>
      <c r="AV13" s="6"/>
      <c r="AW13" s="6" t="s">
        <v>426</v>
      </c>
      <c r="AX13" s="6" t="s">
        <v>658</v>
      </c>
      <c r="AY13" s="6" t="s">
        <v>426</v>
      </c>
      <c r="AZ13" s="6">
        <v>1</v>
      </c>
      <c r="BA13" s="6" t="s">
        <v>453</v>
      </c>
      <c r="BB13" s="6"/>
      <c r="BC13" s="6" t="s">
        <v>426</v>
      </c>
      <c r="BD13" s="6">
        <v>0.4</v>
      </c>
      <c r="BE13" s="6" t="s">
        <v>453</v>
      </c>
      <c r="BF13" s="6"/>
      <c r="BG13" s="6" t="s">
        <v>426</v>
      </c>
      <c r="BH13" s="6">
        <v>1</v>
      </c>
      <c r="BI13" s="6" t="s">
        <v>426</v>
      </c>
      <c r="BJ13" s="6">
        <v>1</v>
      </c>
      <c r="BK13" s="6" t="s">
        <v>426</v>
      </c>
      <c r="BL13" s="6">
        <v>1</v>
      </c>
      <c r="BM13" s="6" t="s">
        <v>426</v>
      </c>
      <c r="BN13" s="6">
        <v>2</v>
      </c>
      <c r="BO13" s="6" t="s">
        <v>426</v>
      </c>
      <c r="BP13" s="6">
        <v>1</v>
      </c>
      <c r="BQ13" s="6" t="s">
        <v>426</v>
      </c>
      <c r="BR13" s="6">
        <v>80</v>
      </c>
      <c r="BS13" s="6" t="s">
        <v>453</v>
      </c>
      <c r="BT13" s="6"/>
      <c r="BU13" s="6" t="s">
        <v>426</v>
      </c>
      <c r="BV13" s="15">
        <v>1</v>
      </c>
      <c r="BW13" s="15" t="s">
        <v>428</v>
      </c>
      <c r="BX13" s="15" t="s">
        <v>429</v>
      </c>
      <c r="BY13" s="6" t="s">
        <v>487</v>
      </c>
      <c r="BZ13" s="6" t="s">
        <v>430</v>
      </c>
      <c r="CA13" s="6" t="s">
        <v>430</v>
      </c>
      <c r="CB13" s="6" t="s">
        <v>431</v>
      </c>
      <c r="CC13" s="6" t="s">
        <v>431</v>
      </c>
      <c r="CD13" s="6" t="s">
        <v>431</v>
      </c>
      <c r="CE13" s="6" t="s">
        <v>431</v>
      </c>
      <c r="CF13" s="6" t="s">
        <v>431</v>
      </c>
      <c r="CG13" s="6" t="s">
        <v>487</v>
      </c>
      <c r="CH13" s="6" t="s">
        <v>430</v>
      </c>
      <c r="CI13" s="6" t="s">
        <v>430</v>
      </c>
      <c r="CJ13" s="6" t="s">
        <v>431</v>
      </c>
      <c r="CK13" s="6" t="s">
        <v>430</v>
      </c>
      <c r="CL13" s="6" t="s">
        <v>430</v>
      </c>
      <c r="CM13" s="6" t="s">
        <v>430</v>
      </c>
      <c r="CN13" s="6" t="s">
        <v>487</v>
      </c>
      <c r="CO13" s="15" t="s">
        <v>431</v>
      </c>
      <c r="CP13" s="15" t="s">
        <v>636</v>
      </c>
      <c r="CQ13" s="6" t="s">
        <v>433</v>
      </c>
      <c r="CR13" s="15"/>
      <c r="CS13" s="6" t="s">
        <v>426</v>
      </c>
      <c r="CT13" s="6" t="s">
        <v>659</v>
      </c>
      <c r="CU13" s="6" t="s">
        <v>660</v>
      </c>
      <c r="CV13" s="6" t="s">
        <v>661</v>
      </c>
      <c r="CW13" s="6" t="s">
        <v>662</v>
      </c>
      <c r="CX13" s="15" t="s">
        <v>426</v>
      </c>
      <c r="CY13" s="6" t="s">
        <v>426</v>
      </c>
      <c r="CZ13" s="6" t="s">
        <v>663</v>
      </c>
      <c r="DA13" s="6" t="s">
        <v>664</v>
      </c>
      <c r="DB13" s="6" t="s">
        <v>665</v>
      </c>
      <c r="DC13" s="6" t="s">
        <v>666</v>
      </c>
      <c r="DD13" s="15" t="s">
        <v>667</v>
      </c>
      <c r="DE13" s="15" t="s">
        <v>436</v>
      </c>
      <c r="DF13" s="6" t="s">
        <v>522</v>
      </c>
      <c r="DG13" s="6">
        <v>0</v>
      </c>
      <c r="DH13" s="6">
        <v>1</v>
      </c>
      <c r="DI13" s="6">
        <v>0</v>
      </c>
      <c r="DJ13" s="6">
        <v>0</v>
      </c>
      <c r="DK13" s="6">
        <v>0</v>
      </c>
      <c r="DL13" s="6">
        <v>0</v>
      </c>
      <c r="DM13" s="6"/>
      <c r="DN13" s="6"/>
      <c r="DO13" s="6"/>
      <c r="DP13" s="6"/>
      <c r="DQ13" s="6"/>
      <c r="DR13" s="6"/>
      <c r="DS13" s="6"/>
      <c r="DT13" s="66"/>
      <c r="DU13" s="6" t="s">
        <v>438</v>
      </c>
      <c r="DV13" s="6" t="s">
        <v>426</v>
      </c>
      <c r="DW13" s="6" t="s">
        <v>439</v>
      </c>
      <c r="DX13" s="6" t="s">
        <v>491</v>
      </c>
      <c r="DY13" s="6"/>
      <c r="DZ13" s="6" t="s">
        <v>570</v>
      </c>
      <c r="EA13" s="6">
        <v>1</v>
      </c>
      <c r="EB13" s="6">
        <v>0</v>
      </c>
      <c r="EC13" s="6">
        <v>0</v>
      </c>
      <c r="ED13" s="6">
        <v>1</v>
      </c>
      <c r="EE13" s="6">
        <v>0</v>
      </c>
      <c r="EF13" s="6">
        <v>0</v>
      </c>
      <c r="EG13" s="6">
        <v>0</v>
      </c>
      <c r="EH13" s="6">
        <v>0</v>
      </c>
      <c r="EI13" s="6"/>
      <c r="EJ13" s="6" t="s">
        <v>668</v>
      </c>
      <c r="EK13" s="6">
        <v>0</v>
      </c>
      <c r="EL13" s="6">
        <v>0</v>
      </c>
      <c r="EM13" s="6">
        <v>0</v>
      </c>
      <c r="EN13" s="6">
        <v>1</v>
      </c>
      <c r="EO13" s="6">
        <v>0</v>
      </c>
      <c r="EP13" s="6">
        <v>1</v>
      </c>
      <c r="EQ13" s="6">
        <v>0</v>
      </c>
      <c r="ER13" s="6">
        <v>0</v>
      </c>
      <c r="ES13" s="6">
        <v>0</v>
      </c>
      <c r="ET13" s="6"/>
      <c r="EU13" s="6" t="s">
        <v>443</v>
      </c>
      <c r="EV13" s="6" t="s">
        <v>554</v>
      </c>
      <c r="EW13" s="6"/>
      <c r="EX13" s="6" t="s">
        <v>669</v>
      </c>
      <c r="EY13" s="6">
        <v>0</v>
      </c>
      <c r="EZ13" s="6">
        <v>1</v>
      </c>
      <c r="FA13" s="6">
        <v>0</v>
      </c>
      <c r="FB13" s="6">
        <v>0</v>
      </c>
      <c r="FC13" s="6">
        <v>0</v>
      </c>
      <c r="FD13" s="6">
        <v>0</v>
      </c>
      <c r="FE13" s="6"/>
      <c r="FF13" s="6">
        <v>0</v>
      </c>
      <c r="FG13" s="6"/>
      <c r="FH13" s="6" t="s">
        <v>670</v>
      </c>
      <c r="FI13" s="6">
        <v>0</v>
      </c>
      <c r="FJ13" s="6"/>
      <c r="FK13" s="6">
        <v>0</v>
      </c>
      <c r="FL13" s="6">
        <v>0</v>
      </c>
      <c r="FM13" s="6">
        <v>0</v>
      </c>
      <c r="FN13" s="6">
        <v>1</v>
      </c>
      <c r="FO13" s="6">
        <v>0</v>
      </c>
      <c r="FP13" s="6"/>
      <c r="FQ13" s="6">
        <v>0</v>
      </c>
      <c r="FR13" s="6">
        <v>0</v>
      </c>
      <c r="FS13" s="6"/>
      <c r="FT13" s="6" t="s">
        <v>556</v>
      </c>
      <c r="FU13" s="6" t="s">
        <v>448</v>
      </c>
      <c r="FV13" s="6"/>
      <c r="FW13" s="6" t="s">
        <v>449</v>
      </c>
      <c r="FX13" s="15" t="s">
        <v>450</v>
      </c>
      <c r="FY13" s="6" t="s">
        <v>537</v>
      </c>
      <c r="FZ13" s="6" t="s">
        <v>671</v>
      </c>
      <c r="GA13" s="6" t="s">
        <v>450</v>
      </c>
      <c r="GB13" s="6" t="s">
        <v>501</v>
      </c>
      <c r="GC13" s="6" t="s">
        <v>453</v>
      </c>
      <c r="GD13" s="6"/>
      <c r="GE13" s="6" t="s">
        <v>454</v>
      </c>
      <c r="GF13" s="6" t="s">
        <v>672</v>
      </c>
      <c r="GG13" s="6" t="s">
        <v>592</v>
      </c>
      <c r="GH13" s="15" t="s">
        <v>531</v>
      </c>
      <c r="GI13" s="6" t="s">
        <v>458</v>
      </c>
      <c r="GJ13" s="6" t="s">
        <v>673</v>
      </c>
      <c r="GK13" s="6" t="s">
        <v>460</v>
      </c>
      <c r="GL13" s="6" t="s">
        <v>674</v>
      </c>
      <c r="GM13" s="6">
        <v>1</v>
      </c>
      <c r="GN13" s="6">
        <v>1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/>
      <c r="GU13" s="6" t="s">
        <v>462</v>
      </c>
      <c r="GV13" s="6" t="s">
        <v>595</v>
      </c>
      <c r="GW13" s="6" t="s">
        <v>464</v>
      </c>
      <c r="GX13" s="6">
        <v>1</v>
      </c>
      <c r="GY13" s="6">
        <v>0</v>
      </c>
      <c r="GZ13" s="6">
        <v>0</v>
      </c>
      <c r="HA13" s="6">
        <v>0</v>
      </c>
      <c r="HB13" s="6">
        <v>0</v>
      </c>
      <c r="HC13" s="6">
        <v>0</v>
      </c>
      <c r="HD13" s="6"/>
      <c r="HE13" s="6" t="s">
        <v>537</v>
      </c>
      <c r="HF13" s="6">
        <v>0</v>
      </c>
      <c r="HG13" s="6">
        <v>0</v>
      </c>
      <c r="HH13" s="6">
        <v>0</v>
      </c>
      <c r="HI13" s="6">
        <v>0</v>
      </c>
      <c r="HJ13" s="6">
        <v>0</v>
      </c>
      <c r="HK13" s="6">
        <v>1</v>
      </c>
      <c r="HL13" s="15" t="s">
        <v>675</v>
      </c>
      <c r="HM13" s="6" t="s">
        <v>676</v>
      </c>
      <c r="HN13" s="6"/>
      <c r="HO13" s="6" t="s">
        <v>677</v>
      </c>
      <c r="HP13" s="6" t="s">
        <v>561</v>
      </c>
      <c r="HQ13" s="6"/>
      <c r="HR13" s="6" t="s">
        <v>678</v>
      </c>
      <c r="HS13" s="6" t="s">
        <v>540</v>
      </c>
      <c r="HT13" s="6">
        <v>1</v>
      </c>
      <c r="HU13" s="6">
        <v>0</v>
      </c>
      <c r="HV13" s="6">
        <v>0</v>
      </c>
      <c r="HW13" s="6">
        <v>0</v>
      </c>
      <c r="HX13" s="6">
        <v>0</v>
      </c>
      <c r="HY13" s="6">
        <v>0</v>
      </c>
      <c r="HZ13" s="6"/>
      <c r="IA13" s="6" t="s">
        <v>111</v>
      </c>
      <c r="IB13" s="6">
        <v>1</v>
      </c>
      <c r="IC13" s="6">
        <v>0</v>
      </c>
      <c r="ID13" s="6">
        <v>0</v>
      </c>
      <c r="IE13" s="6">
        <v>0</v>
      </c>
      <c r="IF13" s="6">
        <v>0</v>
      </c>
      <c r="IG13" s="6">
        <v>0</v>
      </c>
      <c r="IH13" s="15" t="s">
        <v>679</v>
      </c>
      <c r="II13" s="6" t="s">
        <v>426</v>
      </c>
      <c r="IJ13" s="6" t="s">
        <v>472</v>
      </c>
      <c r="IK13" s="6">
        <v>1</v>
      </c>
      <c r="IL13" s="6">
        <v>0</v>
      </c>
      <c r="IM13" s="6">
        <v>0</v>
      </c>
      <c r="IN13" s="6"/>
      <c r="IO13" s="6" t="s">
        <v>473</v>
      </c>
      <c r="IP13" s="6">
        <v>1</v>
      </c>
      <c r="IQ13" s="6">
        <v>0</v>
      </c>
      <c r="IR13" s="6">
        <v>0</v>
      </c>
      <c r="IS13" s="6">
        <v>0</v>
      </c>
      <c r="IT13" s="6">
        <v>0</v>
      </c>
      <c r="IU13" s="6">
        <v>0</v>
      </c>
      <c r="IV13" s="6"/>
      <c r="IW13" s="6" t="s">
        <v>426</v>
      </c>
      <c r="IX13" s="6">
        <v>1</v>
      </c>
      <c r="IY13" s="6" t="s">
        <v>474</v>
      </c>
      <c r="IZ13" s="6" t="s">
        <v>604</v>
      </c>
      <c r="JA13" s="6" t="s">
        <v>605</v>
      </c>
      <c r="JB13" s="6"/>
      <c r="JC13" s="6"/>
      <c r="JD13" s="6"/>
      <c r="JE13" s="6"/>
      <c r="JF13" s="6"/>
      <c r="JG13" s="6"/>
      <c r="JH13" s="6"/>
      <c r="JI13" s="6"/>
      <c r="JJ13" s="6"/>
      <c r="JK13" s="6" t="s">
        <v>453</v>
      </c>
      <c r="JL13" s="6"/>
      <c r="JM13" s="6"/>
      <c r="JN13" s="6"/>
      <c r="JO13" s="6"/>
      <c r="JP13" s="6"/>
      <c r="JQ13" s="6"/>
      <c r="JR13" s="6"/>
      <c r="JS13" s="6"/>
      <c r="JT13" s="6"/>
      <c r="JU13" s="6" t="s">
        <v>511</v>
      </c>
      <c r="JV13" s="15"/>
      <c r="JW13" s="94" t="s">
        <v>680</v>
      </c>
      <c r="JX13" s="6" t="s">
        <v>681</v>
      </c>
      <c r="JY13" s="6">
        <v>0.84471</v>
      </c>
      <c r="JZ13" s="6">
        <v>34.7330707</v>
      </c>
      <c r="KA13" s="6">
        <v>1924.346</v>
      </c>
      <c r="KB13" s="15">
        <v>4.244</v>
      </c>
      <c r="KC13" s="15"/>
    </row>
    <row r="14" spans="1:289">
      <c r="A14" s="6" t="s">
        <v>419</v>
      </c>
      <c r="B14" s="6" t="s">
        <v>420</v>
      </c>
      <c r="C14" s="6" t="s">
        <v>421</v>
      </c>
      <c r="D14" s="6" t="s">
        <v>421</v>
      </c>
      <c r="E14" s="6" t="s">
        <v>682</v>
      </c>
      <c r="F14" s="8" t="s">
        <v>483</v>
      </c>
      <c r="G14" s="6" t="s">
        <v>567</v>
      </c>
      <c r="H14" s="6" t="s">
        <v>425</v>
      </c>
      <c r="I14" s="15"/>
      <c r="J14" s="6" t="s">
        <v>426</v>
      </c>
      <c r="K14" s="6" t="s">
        <v>426</v>
      </c>
      <c r="L14" s="6" t="s">
        <v>426</v>
      </c>
      <c r="M14" s="6" t="s">
        <v>426</v>
      </c>
      <c r="N14" s="6" t="s">
        <v>426</v>
      </c>
      <c r="O14" s="6" t="s">
        <v>426</v>
      </c>
      <c r="P14" s="6" t="s">
        <v>426</v>
      </c>
      <c r="Q14" s="6" t="s">
        <v>426</v>
      </c>
      <c r="R14" s="6" t="s">
        <v>426</v>
      </c>
      <c r="S14" s="6" t="s">
        <v>426</v>
      </c>
      <c r="T14" s="6" t="s">
        <v>426</v>
      </c>
      <c r="U14" s="6" t="s">
        <v>426</v>
      </c>
      <c r="V14" s="6" t="s">
        <v>426</v>
      </c>
      <c r="W14" s="6" t="s">
        <v>426</v>
      </c>
      <c r="X14" s="6" t="s">
        <v>426</v>
      </c>
      <c r="Y14" s="6" t="s">
        <v>426</v>
      </c>
      <c r="Z14" s="6" t="s">
        <v>426</v>
      </c>
      <c r="AA14" s="6" t="s">
        <v>426</v>
      </c>
      <c r="AB14" s="6" t="s">
        <v>426</v>
      </c>
      <c r="AC14" s="15" t="s">
        <v>426</v>
      </c>
      <c r="AD14" s="6" t="s">
        <v>427</v>
      </c>
      <c r="AE14" s="6">
        <v>0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0</v>
      </c>
      <c r="AL14" s="6">
        <v>0</v>
      </c>
      <c r="AM14" s="6"/>
      <c r="AN14" s="15"/>
      <c r="AO14" s="6" t="s">
        <v>426</v>
      </c>
      <c r="AP14" s="6" t="s">
        <v>683</v>
      </c>
      <c r="AQ14" s="6" t="s">
        <v>426</v>
      </c>
      <c r="AR14" s="6" t="s">
        <v>683</v>
      </c>
      <c r="AS14" s="6" t="s">
        <v>426</v>
      </c>
      <c r="AT14" s="6" t="s">
        <v>684</v>
      </c>
      <c r="AU14" s="6" t="s">
        <v>453</v>
      </c>
      <c r="AV14" s="6"/>
      <c r="AW14" s="6" t="s">
        <v>426</v>
      </c>
      <c r="AX14" s="6" t="s">
        <v>685</v>
      </c>
      <c r="AY14" s="6" t="s">
        <v>426</v>
      </c>
      <c r="AZ14" s="6">
        <v>1</v>
      </c>
      <c r="BA14" s="6" t="s">
        <v>426</v>
      </c>
      <c r="BB14" s="6">
        <v>1</v>
      </c>
      <c r="BC14" s="6" t="s">
        <v>426</v>
      </c>
      <c r="BD14" s="6">
        <v>1</v>
      </c>
      <c r="BE14" s="6" t="s">
        <v>426</v>
      </c>
      <c r="BF14" s="6">
        <v>5</v>
      </c>
      <c r="BG14" s="6" t="s">
        <v>426</v>
      </c>
      <c r="BH14" s="6">
        <v>1</v>
      </c>
      <c r="BI14" s="6" t="s">
        <v>426</v>
      </c>
      <c r="BJ14" s="6">
        <v>1</v>
      </c>
      <c r="BK14" s="6" t="s">
        <v>426</v>
      </c>
      <c r="BL14" s="6">
        <v>1</v>
      </c>
      <c r="BM14" s="6" t="s">
        <v>426</v>
      </c>
      <c r="BN14" s="6">
        <v>5</v>
      </c>
      <c r="BO14" s="6" t="s">
        <v>426</v>
      </c>
      <c r="BP14" s="6">
        <v>1</v>
      </c>
      <c r="BQ14" s="6" t="s">
        <v>426</v>
      </c>
      <c r="BR14" s="6">
        <v>30</v>
      </c>
      <c r="BS14" s="6" t="s">
        <v>426</v>
      </c>
      <c r="BT14" s="6">
        <v>5</v>
      </c>
      <c r="BU14" s="6" t="s">
        <v>426</v>
      </c>
      <c r="BV14" s="15">
        <v>1</v>
      </c>
      <c r="BW14" s="15" t="s">
        <v>428</v>
      </c>
      <c r="BX14" s="15" t="s">
        <v>429</v>
      </c>
      <c r="BY14" s="6" t="s">
        <v>430</v>
      </c>
      <c r="BZ14" s="6" t="s">
        <v>430</v>
      </c>
      <c r="CA14" s="6" t="s">
        <v>430</v>
      </c>
      <c r="CB14" s="6" t="s">
        <v>431</v>
      </c>
      <c r="CC14" s="6" t="s">
        <v>430</v>
      </c>
      <c r="CD14" s="6" t="s">
        <v>431</v>
      </c>
      <c r="CE14" s="6" t="s">
        <v>431</v>
      </c>
      <c r="CF14" s="6" t="s">
        <v>430</v>
      </c>
      <c r="CG14" s="6" t="s">
        <v>431</v>
      </c>
      <c r="CH14" s="6" t="s">
        <v>431</v>
      </c>
      <c r="CI14" s="6" t="s">
        <v>430</v>
      </c>
      <c r="CJ14" s="6" t="s">
        <v>430</v>
      </c>
      <c r="CK14" s="6" t="s">
        <v>430</v>
      </c>
      <c r="CL14" s="6" t="s">
        <v>430</v>
      </c>
      <c r="CM14" s="6" t="s">
        <v>430</v>
      </c>
      <c r="CN14" s="6" t="s">
        <v>431</v>
      </c>
      <c r="CO14" s="15" t="s">
        <v>431</v>
      </c>
      <c r="CP14" s="15" t="s">
        <v>432</v>
      </c>
      <c r="CQ14" s="6" t="s">
        <v>686</v>
      </c>
      <c r="CR14" s="15"/>
      <c r="CS14" s="6" t="s">
        <v>426</v>
      </c>
      <c r="CT14" s="6" t="s">
        <v>687</v>
      </c>
      <c r="CU14" s="6" t="s">
        <v>688</v>
      </c>
      <c r="CV14" s="6" t="s">
        <v>689</v>
      </c>
      <c r="CW14" s="6" t="s">
        <v>690</v>
      </c>
      <c r="CX14" s="15" t="s">
        <v>426</v>
      </c>
      <c r="CY14" s="6" t="s">
        <v>426</v>
      </c>
      <c r="CZ14" s="6" t="s">
        <v>691</v>
      </c>
      <c r="DA14" s="6" t="s">
        <v>692</v>
      </c>
      <c r="DB14" s="6" t="s">
        <v>693</v>
      </c>
      <c r="DC14" s="6" t="s">
        <v>694</v>
      </c>
      <c r="DD14" s="15" t="s">
        <v>694</v>
      </c>
      <c r="DE14" s="15" t="s">
        <v>521</v>
      </c>
      <c r="DF14" s="6" t="s">
        <v>695</v>
      </c>
      <c r="DG14" s="6">
        <v>0</v>
      </c>
      <c r="DH14" s="6">
        <v>0</v>
      </c>
      <c r="DI14" s="6">
        <v>0</v>
      </c>
      <c r="DJ14" s="6">
        <v>0</v>
      </c>
      <c r="DK14" s="6">
        <v>1</v>
      </c>
      <c r="DL14" s="6">
        <v>0</v>
      </c>
      <c r="DM14" s="6"/>
      <c r="DN14" s="6"/>
      <c r="DO14" s="6"/>
      <c r="DP14" s="6"/>
      <c r="DQ14" s="6"/>
      <c r="DR14" s="6"/>
      <c r="DS14" s="6"/>
      <c r="DT14" s="66"/>
      <c r="DU14" s="6" t="s">
        <v>438</v>
      </c>
      <c r="DV14" s="6" t="s">
        <v>426</v>
      </c>
      <c r="DW14" s="6" t="s">
        <v>439</v>
      </c>
      <c r="DX14" s="6" t="s">
        <v>491</v>
      </c>
      <c r="DY14" s="6"/>
      <c r="DZ14" s="6" t="s">
        <v>696</v>
      </c>
      <c r="EA14" s="6">
        <v>1</v>
      </c>
      <c r="EB14" s="6">
        <v>1</v>
      </c>
      <c r="EC14" s="6">
        <v>1</v>
      </c>
      <c r="ED14" s="6">
        <v>1</v>
      </c>
      <c r="EE14" s="6">
        <v>0</v>
      </c>
      <c r="EF14" s="6">
        <v>0</v>
      </c>
      <c r="EG14" s="6">
        <v>0</v>
      </c>
      <c r="EH14" s="6">
        <v>0</v>
      </c>
      <c r="EI14" s="6"/>
      <c r="EJ14" s="6" t="s">
        <v>697</v>
      </c>
      <c r="EK14" s="6">
        <v>1</v>
      </c>
      <c r="EL14" s="6">
        <v>1</v>
      </c>
      <c r="EM14" s="6">
        <v>1</v>
      </c>
      <c r="EN14" s="6">
        <v>1</v>
      </c>
      <c r="EO14" s="6">
        <v>1</v>
      </c>
      <c r="EP14" s="6">
        <v>1</v>
      </c>
      <c r="EQ14" s="6">
        <v>0</v>
      </c>
      <c r="ER14" s="6">
        <v>0</v>
      </c>
      <c r="ES14" s="6">
        <v>0</v>
      </c>
      <c r="ET14" s="6"/>
      <c r="EU14" s="6" t="s">
        <v>494</v>
      </c>
      <c r="EV14" s="6" t="s">
        <v>444</v>
      </c>
      <c r="EW14" s="6"/>
      <c r="EX14" s="6" t="s">
        <v>445</v>
      </c>
      <c r="EY14" s="6">
        <v>0</v>
      </c>
      <c r="EZ14" s="6">
        <v>0</v>
      </c>
      <c r="FA14" s="6">
        <v>1</v>
      </c>
      <c r="FB14" s="6">
        <v>0</v>
      </c>
      <c r="FC14" s="6">
        <v>0</v>
      </c>
      <c r="FD14" s="6">
        <v>0</v>
      </c>
      <c r="FE14" s="6"/>
      <c r="FF14" s="6">
        <v>0</v>
      </c>
      <c r="FG14" s="6"/>
      <c r="FH14" s="6" t="s">
        <v>698</v>
      </c>
      <c r="FI14" s="6">
        <v>1</v>
      </c>
      <c r="FJ14" s="6"/>
      <c r="FK14" s="6">
        <v>0</v>
      </c>
      <c r="FL14" s="6">
        <v>1</v>
      </c>
      <c r="FM14" s="6">
        <v>1</v>
      </c>
      <c r="FN14" s="6">
        <v>0</v>
      </c>
      <c r="FO14" s="6">
        <v>0</v>
      </c>
      <c r="FP14" s="6"/>
      <c r="FQ14" s="6">
        <v>0</v>
      </c>
      <c r="FR14" s="6">
        <v>0</v>
      </c>
      <c r="FS14" s="6"/>
      <c r="FT14" s="6" t="s">
        <v>447</v>
      </c>
      <c r="FU14" s="6" t="s">
        <v>448</v>
      </c>
      <c r="FV14" s="6"/>
      <c r="FW14" s="6" t="s">
        <v>449</v>
      </c>
      <c r="FX14" s="15" t="s">
        <v>528</v>
      </c>
      <c r="FY14" s="6" t="s">
        <v>529</v>
      </c>
      <c r="FZ14" s="6"/>
      <c r="GA14" s="6" t="s">
        <v>528</v>
      </c>
      <c r="GB14" s="6" t="s">
        <v>452</v>
      </c>
      <c r="GC14" s="6" t="s">
        <v>453</v>
      </c>
      <c r="GD14" s="6"/>
      <c r="GE14" s="6" t="s">
        <v>454</v>
      </c>
      <c r="GF14" s="6" t="s">
        <v>699</v>
      </c>
      <c r="GG14" s="6" t="s">
        <v>456</v>
      </c>
      <c r="GH14" s="15" t="s">
        <v>700</v>
      </c>
      <c r="GI14" s="6" t="s">
        <v>701</v>
      </c>
      <c r="GJ14" s="6" t="s">
        <v>702</v>
      </c>
      <c r="GK14" s="6" t="s">
        <v>703</v>
      </c>
      <c r="GL14" s="6" t="s">
        <v>704</v>
      </c>
      <c r="GM14" s="6">
        <v>0</v>
      </c>
      <c r="GN14" s="6">
        <v>0</v>
      </c>
      <c r="GO14" s="6">
        <v>0</v>
      </c>
      <c r="GP14" s="6">
        <v>1</v>
      </c>
      <c r="GQ14" s="6">
        <v>0</v>
      </c>
      <c r="GR14" s="6">
        <v>0</v>
      </c>
      <c r="GS14" s="6">
        <v>0</v>
      </c>
      <c r="GT14" s="6"/>
      <c r="GU14" s="6" t="s">
        <v>462</v>
      </c>
      <c r="GV14" s="6" t="s">
        <v>463</v>
      </c>
      <c r="GW14" s="6" t="s">
        <v>464</v>
      </c>
      <c r="GX14" s="6">
        <v>1</v>
      </c>
      <c r="GY14" s="6">
        <v>0</v>
      </c>
      <c r="GZ14" s="6">
        <v>0</v>
      </c>
      <c r="HA14" s="6">
        <v>0</v>
      </c>
      <c r="HB14" s="6">
        <v>0</v>
      </c>
      <c r="HC14" s="6">
        <v>0</v>
      </c>
      <c r="HD14" s="6"/>
      <c r="HE14" s="6" t="s">
        <v>535</v>
      </c>
      <c r="HF14" s="6">
        <v>1</v>
      </c>
      <c r="HG14" s="6">
        <v>0</v>
      </c>
      <c r="HH14" s="6">
        <v>0</v>
      </c>
      <c r="HI14" s="6">
        <v>0</v>
      </c>
      <c r="HJ14" s="6">
        <v>0</v>
      </c>
      <c r="HK14" s="6">
        <v>0</v>
      </c>
      <c r="HL14" s="15"/>
      <c r="HM14" s="6" t="s">
        <v>676</v>
      </c>
      <c r="HN14" s="6"/>
      <c r="HO14" s="6" t="s">
        <v>705</v>
      </c>
      <c r="HP14" s="6" t="s">
        <v>648</v>
      </c>
      <c r="HQ14" s="6"/>
      <c r="HR14" s="6" t="s">
        <v>706</v>
      </c>
      <c r="HS14" s="6" t="s">
        <v>470</v>
      </c>
      <c r="HT14" s="6">
        <v>0</v>
      </c>
      <c r="HU14" s="6">
        <v>0</v>
      </c>
      <c r="HV14" s="6">
        <v>0</v>
      </c>
      <c r="HW14" s="6">
        <v>0</v>
      </c>
      <c r="HX14" s="6">
        <v>1</v>
      </c>
      <c r="HY14" s="6">
        <v>0</v>
      </c>
      <c r="HZ14" s="6"/>
      <c r="IA14" s="6" t="s">
        <v>541</v>
      </c>
      <c r="IB14" s="6">
        <v>0</v>
      </c>
      <c r="IC14" s="6">
        <v>0</v>
      </c>
      <c r="ID14" s="6">
        <v>1</v>
      </c>
      <c r="IE14" s="6">
        <v>0</v>
      </c>
      <c r="IF14" s="6">
        <v>0</v>
      </c>
      <c r="IG14" s="6">
        <v>0</v>
      </c>
      <c r="IH14" s="15" t="s">
        <v>707</v>
      </c>
      <c r="II14" s="6" t="s">
        <v>426</v>
      </c>
      <c r="IJ14" s="6" t="s">
        <v>472</v>
      </c>
      <c r="IK14" s="6">
        <v>1</v>
      </c>
      <c r="IL14" s="6">
        <v>0</v>
      </c>
      <c r="IM14" s="6">
        <v>0</v>
      </c>
      <c r="IN14" s="6"/>
      <c r="IO14" s="6" t="s">
        <v>473</v>
      </c>
      <c r="IP14" s="6">
        <v>1</v>
      </c>
      <c r="IQ14" s="6">
        <v>0</v>
      </c>
      <c r="IR14" s="6">
        <v>0</v>
      </c>
      <c r="IS14" s="6">
        <v>0</v>
      </c>
      <c r="IT14" s="6">
        <v>0</v>
      </c>
      <c r="IU14" s="6">
        <v>0</v>
      </c>
      <c r="IV14" s="6"/>
      <c r="IW14" s="6" t="s">
        <v>426</v>
      </c>
      <c r="IX14" s="6">
        <v>1</v>
      </c>
      <c r="IY14" s="6" t="s">
        <v>474</v>
      </c>
      <c r="IZ14" s="6" t="s">
        <v>475</v>
      </c>
      <c r="JA14" s="6" t="s">
        <v>426</v>
      </c>
      <c r="JB14" s="6" t="s">
        <v>476</v>
      </c>
      <c r="JC14" s="6"/>
      <c r="JD14" s="6"/>
      <c r="JE14" s="6"/>
      <c r="JF14" s="6"/>
      <c r="JG14" s="6"/>
      <c r="JH14" s="6"/>
      <c r="JI14" s="6"/>
      <c r="JJ14" s="6"/>
      <c r="JK14" s="6" t="s">
        <v>426</v>
      </c>
      <c r="JL14" s="6" t="s">
        <v>426</v>
      </c>
      <c r="JM14" s="6"/>
      <c r="JN14" s="6"/>
      <c r="JO14" s="6"/>
      <c r="JP14" s="6"/>
      <c r="JQ14" s="6"/>
      <c r="JR14" s="6"/>
      <c r="JS14" s="6"/>
      <c r="JT14" s="6"/>
      <c r="JU14" s="6" t="s">
        <v>477</v>
      </c>
      <c r="JV14" s="15"/>
      <c r="JW14" s="94" t="s">
        <v>708</v>
      </c>
      <c r="JX14" s="6" t="s">
        <v>709</v>
      </c>
      <c r="JY14" s="6">
        <v>0.8385786</v>
      </c>
      <c r="JZ14" s="6">
        <v>34.7524008</v>
      </c>
      <c r="KA14" s="6">
        <v>1723.1</v>
      </c>
      <c r="KB14" s="15">
        <v>2.58</v>
      </c>
      <c r="KC14" s="15"/>
    </row>
    <row r="15" spans="1:289">
      <c r="A15" s="6" t="s">
        <v>480</v>
      </c>
      <c r="B15" s="6" t="s">
        <v>420</v>
      </c>
      <c r="C15" s="6" t="s">
        <v>421</v>
      </c>
      <c r="D15" s="6" t="s">
        <v>515</v>
      </c>
      <c r="E15" s="6" t="s">
        <v>710</v>
      </c>
      <c r="F15" s="8" t="s">
        <v>423</v>
      </c>
      <c r="G15" s="6" t="s">
        <v>567</v>
      </c>
      <c r="H15" s="6" t="s">
        <v>425</v>
      </c>
      <c r="I15" s="15"/>
      <c r="J15" s="6" t="s">
        <v>426</v>
      </c>
      <c r="K15" s="6" t="s">
        <v>426</v>
      </c>
      <c r="L15" s="6" t="s">
        <v>426</v>
      </c>
      <c r="M15" s="6" t="s">
        <v>453</v>
      </c>
      <c r="N15" s="6" t="s">
        <v>426</v>
      </c>
      <c r="O15" s="6" t="s">
        <v>426</v>
      </c>
      <c r="P15" s="6" t="s">
        <v>426</v>
      </c>
      <c r="Q15" s="6" t="s">
        <v>426</v>
      </c>
      <c r="R15" s="6" t="s">
        <v>426</v>
      </c>
      <c r="S15" s="6" t="s">
        <v>426</v>
      </c>
      <c r="T15" s="6" t="s">
        <v>426</v>
      </c>
      <c r="U15" s="6" t="s">
        <v>426</v>
      </c>
      <c r="V15" s="6" t="s">
        <v>426</v>
      </c>
      <c r="W15" s="6" t="s">
        <v>453</v>
      </c>
      <c r="X15" s="6" t="s">
        <v>426</v>
      </c>
      <c r="Y15" s="6" t="s">
        <v>426</v>
      </c>
      <c r="Z15" s="6" t="s">
        <v>426</v>
      </c>
      <c r="AA15" s="6" t="s">
        <v>426</v>
      </c>
      <c r="AB15" s="6" t="s">
        <v>426</v>
      </c>
      <c r="AC15" s="15" t="s">
        <v>426</v>
      </c>
      <c r="AD15" s="6" t="s">
        <v>711</v>
      </c>
      <c r="AE15" s="6">
        <v>0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0</v>
      </c>
      <c r="AM15" s="6"/>
      <c r="AN15" s="15"/>
      <c r="AO15" s="6" t="s">
        <v>426</v>
      </c>
      <c r="AP15" s="6">
        <v>30</v>
      </c>
      <c r="AQ15" s="6" t="s">
        <v>426</v>
      </c>
      <c r="AR15" s="6">
        <v>20</v>
      </c>
      <c r="AS15" s="6" t="s">
        <v>426</v>
      </c>
      <c r="AT15" s="6"/>
      <c r="AU15" s="6" t="s">
        <v>426</v>
      </c>
      <c r="AV15" s="6"/>
      <c r="AW15" s="6" t="s">
        <v>426</v>
      </c>
      <c r="AX15" s="6"/>
      <c r="AY15" s="6" t="s">
        <v>426</v>
      </c>
      <c r="AZ15" s="6">
        <v>2</v>
      </c>
      <c r="BA15" s="6" t="s">
        <v>453</v>
      </c>
      <c r="BB15" s="6"/>
      <c r="BC15" s="6" t="s">
        <v>426</v>
      </c>
      <c r="BD15" s="6"/>
      <c r="BE15" s="6" t="s">
        <v>453</v>
      </c>
      <c r="BF15" s="6"/>
      <c r="BG15" s="6" t="s">
        <v>453</v>
      </c>
      <c r="BH15" s="6"/>
      <c r="BI15" s="6" t="s">
        <v>426</v>
      </c>
      <c r="BJ15" s="6"/>
      <c r="BK15" s="6" t="s">
        <v>426</v>
      </c>
      <c r="BL15" s="6"/>
      <c r="BM15" s="6" t="s">
        <v>426</v>
      </c>
      <c r="BN15" s="6">
        <v>50</v>
      </c>
      <c r="BO15" s="6" t="s">
        <v>426</v>
      </c>
      <c r="BP15" s="6"/>
      <c r="BQ15" s="6" t="s">
        <v>426</v>
      </c>
      <c r="BR15" s="6">
        <v>1000</v>
      </c>
      <c r="BS15" s="6" t="s">
        <v>426</v>
      </c>
      <c r="BT15" s="6">
        <v>2</v>
      </c>
      <c r="BU15" s="6" t="s">
        <v>453</v>
      </c>
      <c r="BV15" s="15"/>
      <c r="BW15" s="15" t="s">
        <v>518</v>
      </c>
      <c r="BX15" s="15" t="s">
        <v>429</v>
      </c>
      <c r="BY15" s="6" t="s">
        <v>430</v>
      </c>
      <c r="BZ15" s="6" t="s">
        <v>430</v>
      </c>
      <c r="CA15" s="6" t="s">
        <v>430</v>
      </c>
      <c r="CB15" s="6" t="s">
        <v>486</v>
      </c>
      <c r="CC15" s="6" t="s">
        <v>430</v>
      </c>
      <c r="CD15" s="6" t="s">
        <v>430</v>
      </c>
      <c r="CE15" s="6" t="s">
        <v>487</v>
      </c>
      <c r="CF15" s="6" t="s">
        <v>430</v>
      </c>
      <c r="CG15" s="6" t="s">
        <v>487</v>
      </c>
      <c r="CH15" s="6" t="s">
        <v>487</v>
      </c>
      <c r="CI15" s="6" t="s">
        <v>430</v>
      </c>
      <c r="CJ15" s="6" t="s">
        <v>430</v>
      </c>
      <c r="CK15" s="6" t="s">
        <v>430</v>
      </c>
      <c r="CL15" s="6" t="s">
        <v>430</v>
      </c>
      <c r="CM15" s="6" t="s">
        <v>430</v>
      </c>
      <c r="CN15" s="6" t="s">
        <v>430</v>
      </c>
      <c r="CO15" s="15" t="s">
        <v>487</v>
      </c>
      <c r="CP15" s="15" t="s">
        <v>432</v>
      </c>
      <c r="CQ15" s="6" t="s">
        <v>433</v>
      </c>
      <c r="CR15" s="15"/>
      <c r="CS15" s="6" t="s">
        <v>426</v>
      </c>
      <c r="CT15" s="6" t="s">
        <v>712</v>
      </c>
      <c r="CU15" s="6">
        <v>450</v>
      </c>
      <c r="CV15" s="6">
        <v>7000</v>
      </c>
      <c r="CW15" s="6">
        <v>17500</v>
      </c>
      <c r="CX15" s="15" t="s">
        <v>453</v>
      </c>
      <c r="CY15" s="6"/>
      <c r="CZ15" s="6"/>
      <c r="DA15" s="6"/>
      <c r="DB15" s="6"/>
      <c r="DC15" s="6"/>
      <c r="DD15" s="15"/>
      <c r="DE15" s="15" t="s">
        <v>436</v>
      </c>
      <c r="DF15" s="6" t="s">
        <v>713</v>
      </c>
      <c r="DG15" s="6">
        <v>1</v>
      </c>
      <c r="DH15" s="6">
        <v>1</v>
      </c>
      <c r="DI15" s="6">
        <v>1</v>
      </c>
      <c r="DJ15" s="6">
        <v>0</v>
      </c>
      <c r="DK15" s="6">
        <v>1</v>
      </c>
      <c r="DL15" s="6">
        <v>0</v>
      </c>
      <c r="DM15" s="6"/>
      <c r="DN15" s="6"/>
      <c r="DO15" s="6"/>
      <c r="DP15" s="6"/>
      <c r="DQ15" s="6"/>
      <c r="DR15" s="6"/>
      <c r="DS15" s="6"/>
      <c r="DT15" s="66"/>
      <c r="DU15" s="6" t="s">
        <v>438</v>
      </c>
      <c r="DV15" s="6" t="s">
        <v>426</v>
      </c>
      <c r="DW15" s="6" t="s">
        <v>439</v>
      </c>
      <c r="DX15" s="6" t="s">
        <v>440</v>
      </c>
      <c r="DY15" s="6"/>
      <c r="DZ15" s="6" t="s">
        <v>714</v>
      </c>
      <c r="EA15" s="6">
        <v>1</v>
      </c>
      <c r="EB15" s="6">
        <v>1</v>
      </c>
      <c r="EC15" s="6">
        <v>1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/>
      <c r="EJ15" s="6" t="s">
        <v>715</v>
      </c>
      <c r="EK15" s="6">
        <v>1</v>
      </c>
      <c r="EL15" s="6">
        <v>1</v>
      </c>
      <c r="EM15" s="6">
        <v>1</v>
      </c>
      <c r="EN15" s="6">
        <v>1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/>
      <c r="EU15" s="6" t="s">
        <v>443</v>
      </c>
      <c r="EV15" s="6" t="s">
        <v>495</v>
      </c>
      <c r="EW15" s="6"/>
      <c r="EX15" s="6" t="s">
        <v>716</v>
      </c>
      <c r="EY15" s="6">
        <v>0</v>
      </c>
      <c r="EZ15" s="6">
        <v>0</v>
      </c>
      <c r="FA15" s="6">
        <v>1</v>
      </c>
      <c r="FB15" s="6">
        <v>0</v>
      </c>
      <c r="FC15" s="6">
        <v>1</v>
      </c>
      <c r="FD15" s="6">
        <v>0</v>
      </c>
      <c r="FE15" s="6"/>
      <c r="FF15" s="6">
        <v>0</v>
      </c>
      <c r="FG15" s="6"/>
      <c r="FH15" s="6" t="s">
        <v>497</v>
      </c>
      <c r="FI15" s="6">
        <v>1</v>
      </c>
      <c r="FJ15" s="6"/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/>
      <c r="FQ15" s="6">
        <v>1</v>
      </c>
      <c r="FR15" s="6">
        <v>0</v>
      </c>
      <c r="FS15" s="6"/>
      <c r="FT15" s="6" t="s">
        <v>717</v>
      </c>
      <c r="FU15" s="6" t="s">
        <v>448</v>
      </c>
      <c r="FV15" s="6"/>
      <c r="FW15" s="6" t="s">
        <v>449</v>
      </c>
      <c r="FX15" s="15" t="s">
        <v>450</v>
      </c>
      <c r="FY15" s="6" t="s">
        <v>619</v>
      </c>
      <c r="FZ15" s="6"/>
      <c r="GA15" s="6" t="s">
        <v>450</v>
      </c>
      <c r="GB15" s="6" t="s">
        <v>501</v>
      </c>
      <c r="GC15" s="6" t="s">
        <v>453</v>
      </c>
      <c r="GD15" s="6"/>
      <c r="GE15" s="6" t="s">
        <v>454</v>
      </c>
      <c r="GF15" s="6" t="s">
        <v>718</v>
      </c>
      <c r="GG15" s="6" t="s">
        <v>502</v>
      </c>
      <c r="GH15" s="15"/>
      <c r="GI15" s="6" t="s">
        <v>458</v>
      </c>
      <c r="GJ15" s="6" t="s">
        <v>719</v>
      </c>
      <c r="GK15" s="6" t="s">
        <v>460</v>
      </c>
      <c r="GL15" s="6" t="s">
        <v>720</v>
      </c>
      <c r="GM15" s="6">
        <v>1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/>
      <c r="GU15" s="6" t="s">
        <v>534</v>
      </c>
      <c r="GV15" s="6" t="s">
        <v>595</v>
      </c>
      <c r="GW15" s="6" t="s">
        <v>721</v>
      </c>
      <c r="GX15" s="6">
        <v>1</v>
      </c>
      <c r="GY15" s="6">
        <v>0</v>
      </c>
      <c r="GZ15" s="6">
        <v>0</v>
      </c>
      <c r="HA15" s="6">
        <v>1</v>
      </c>
      <c r="HB15" s="6">
        <v>0</v>
      </c>
      <c r="HC15" s="6">
        <v>0</v>
      </c>
      <c r="HD15" s="6"/>
      <c r="HE15" s="6" t="s">
        <v>722</v>
      </c>
      <c r="HF15" s="6">
        <v>1</v>
      </c>
      <c r="HG15" s="6">
        <v>1</v>
      </c>
      <c r="HH15" s="6">
        <v>1</v>
      </c>
      <c r="HI15" s="6">
        <v>0</v>
      </c>
      <c r="HJ15" s="6">
        <v>0</v>
      </c>
      <c r="HK15" s="6">
        <v>0</v>
      </c>
      <c r="HL15" s="15"/>
      <c r="HM15" s="6" t="s">
        <v>466</v>
      </c>
      <c r="HN15" s="6"/>
      <c r="HO15" s="6" t="s">
        <v>723</v>
      </c>
      <c r="HP15" s="6" t="s">
        <v>648</v>
      </c>
      <c r="HQ15" s="6"/>
      <c r="HR15" s="6" t="s">
        <v>724</v>
      </c>
      <c r="HS15" s="6" t="s">
        <v>725</v>
      </c>
      <c r="HT15" s="6">
        <v>0</v>
      </c>
      <c r="HU15" s="6">
        <v>0</v>
      </c>
      <c r="HV15" s="6">
        <v>1</v>
      </c>
      <c r="HW15" s="6">
        <v>0</v>
      </c>
      <c r="HX15" s="6">
        <v>1</v>
      </c>
      <c r="HY15" s="6">
        <v>1</v>
      </c>
      <c r="HZ15" s="6"/>
      <c r="IA15" s="6" t="s">
        <v>726</v>
      </c>
      <c r="IB15" s="6">
        <v>1</v>
      </c>
      <c r="IC15" s="6">
        <v>1</v>
      </c>
      <c r="ID15" s="6">
        <v>1</v>
      </c>
      <c r="IE15" s="6">
        <v>0</v>
      </c>
      <c r="IF15" s="6">
        <v>0</v>
      </c>
      <c r="IG15" s="6">
        <v>0</v>
      </c>
      <c r="IH15" s="15" t="s">
        <v>727</v>
      </c>
      <c r="II15" s="6" t="s">
        <v>426</v>
      </c>
      <c r="IJ15" s="6" t="s">
        <v>602</v>
      </c>
      <c r="IK15" s="6">
        <v>1</v>
      </c>
      <c r="IL15" s="6">
        <v>1</v>
      </c>
      <c r="IM15" s="6">
        <v>0</v>
      </c>
      <c r="IN15" s="6"/>
      <c r="IO15" s="6" t="s">
        <v>473</v>
      </c>
      <c r="IP15" s="6">
        <v>1</v>
      </c>
      <c r="IQ15" s="6">
        <v>0</v>
      </c>
      <c r="IR15" s="6">
        <v>0</v>
      </c>
      <c r="IS15" s="6">
        <v>0</v>
      </c>
      <c r="IT15" s="6">
        <v>0</v>
      </c>
      <c r="IU15" s="6">
        <v>0</v>
      </c>
      <c r="IV15" s="6"/>
      <c r="IW15" s="6" t="s">
        <v>453</v>
      </c>
      <c r="IX15" s="6"/>
      <c r="IY15" s="6" t="s">
        <v>474</v>
      </c>
      <c r="IZ15" s="6" t="s">
        <v>475</v>
      </c>
      <c r="JA15" s="6" t="s">
        <v>426</v>
      </c>
      <c r="JB15" s="6" t="s">
        <v>476</v>
      </c>
      <c r="JC15" s="6"/>
      <c r="JD15" s="6"/>
      <c r="JE15" s="6"/>
      <c r="JF15" s="6"/>
      <c r="JG15" s="6"/>
      <c r="JH15" s="6"/>
      <c r="JI15" s="6"/>
      <c r="JJ15" s="6" t="s">
        <v>426</v>
      </c>
      <c r="JK15" s="6" t="s">
        <v>453</v>
      </c>
      <c r="JL15" s="6"/>
      <c r="JM15" s="6"/>
      <c r="JN15" s="6"/>
      <c r="JO15" s="6"/>
      <c r="JP15" s="6"/>
      <c r="JQ15" s="6"/>
      <c r="JR15" s="6"/>
      <c r="JS15" s="6"/>
      <c r="JT15" s="6"/>
      <c r="JU15" s="6" t="s">
        <v>477</v>
      </c>
      <c r="JV15" s="15"/>
      <c r="JW15" s="94" t="s">
        <v>728</v>
      </c>
      <c r="JX15" s="6" t="s">
        <v>729</v>
      </c>
      <c r="JY15" s="6">
        <v>0.8341248</v>
      </c>
      <c r="JZ15" s="6">
        <v>34.7373081</v>
      </c>
      <c r="KA15" s="6">
        <v>1735.01635742187</v>
      </c>
      <c r="KB15" s="15">
        <v>3.79</v>
      </c>
      <c r="KC15" s="15"/>
    </row>
    <row r="16" spans="1:289">
      <c r="A16" s="6" t="s">
        <v>633</v>
      </c>
      <c r="B16" s="6" t="s">
        <v>420</v>
      </c>
      <c r="C16" s="6" t="s">
        <v>421</v>
      </c>
      <c r="D16" s="6" t="s">
        <v>515</v>
      </c>
      <c r="E16" s="6" t="s">
        <v>730</v>
      </c>
      <c r="F16" s="8" t="s">
        <v>483</v>
      </c>
      <c r="G16" s="6" t="s">
        <v>731</v>
      </c>
      <c r="H16" s="6" t="s">
        <v>517</v>
      </c>
      <c r="I16" s="15"/>
      <c r="J16" s="6" t="s">
        <v>426</v>
      </c>
      <c r="K16" s="6" t="s">
        <v>426</v>
      </c>
      <c r="L16" s="6" t="s">
        <v>426</v>
      </c>
      <c r="M16" s="6" t="s">
        <v>426</v>
      </c>
      <c r="N16" s="6" t="s">
        <v>426</v>
      </c>
      <c r="O16" s="6" t="s">
        <v>426</v>
      </c>
      <c r="P16" s="6" t="s">
        <v>426</v>
      </c>
      <c r="Q16" s="6" t="s">
        <v>426</v>
      </c>
      <c r="R16" s="6" t="s">
        <v>426</v>
      </c>
      <c r="S16" s="6" t="s">
        <v>426</v>
      </c>
      <c r="T16" s="6" t="s">
        <v>426</v>
      </c>
      <c r="U16" s="6" t="s">
        <v>426</v>
      </c>
      <c r="V16" s="6" t="s">
        <v>426</v>
      </c>
      <c r="W16" s="6" t="s">
        <v>426</v>
      </c>
      <c r="X16" s="6" t="s">
        <v>426</v>
      </c>
      <c r="Y16" s="6" t="s">
        <v>426</v>
      </c>
      <c r="Z16" s="6" t="s">
        <v>426</v>
      </c>
      <c r="AA16" s="6" t="s">
        <v>426</v>
      </c>
      <c r="AB16" s="6" t="s">
        <v>426</v>
      </c>
      <c r="AC16" s="15" t="s">
        <v>426</v>
      </c>
      <c r="AD16" s="6" t="s">
        <v>427</v>
      </c>
      <c r="AE16" s="6">
        <v>0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/>
      <c r="AN16" s="15"/>
      <c r="AO16" s="6" t="s">
        <v>426</v>
      </c>
      <c r="AP16" s="6" t="s">
        <v>656</v>
      </c>
      <c r="AQ16" s="6" t="s">
        <v>426</v>
      </c>
      <c r="AR16" s="6" t="s">
        <v>656</v>
      </c>
      <c r="AS16" s="6" t="s">
        <v>426</v>
      </c>
      <c r="AT16" s="6" t="s">
        <v>657</v>
      </c>
      <c r="AU16" s="6" t="s">
        <v>426</v>
      </c>
      <c r="AV16" s="6" t="s">
        <v>657</v>
      </c>
      <c r="AW16" s="6" t="s">
        <v>426</v>
      </c>
      <c r="AX16" s="6" t="s">
        <v>657</v>
      </c>
      <c r="AY16" s="6" t="s">
        <v>426</v>
      </c>
      <c r="AZ16" s="6">
        <v>2</v>
      </c>
      <c r="BA16" s="6" t="s">
        <v>426</v>
      </c>
      <c r="BB16" s="6">
        <v>0.2</v>
      </c>
      <c r="BC16" s="6" t="s">
        <v>426</v>
      </c>
      <c r="BD16" s="6">
        <v>0.4</v>
      </c>
      <c r="BE16" s="6" t="s">
        <v>453</v>
      </c>
      <c r="BF16" s="6"/>
      <c r="BG16" s="6" t="s">
        <v>426</v>
      </c>
      <c r="BH16" s="6">
        <v>0.3</v>
      </c>
      <c r="BI16" s="6" t="s">
        <v>426</v>
      </c>
      <c r="BJ16" s="6">
        <v>1</v>
      </c>
      <c r="BK16" s="6" t="s">
        <v>426</v>
      </c>
      <c r="BL16" s="6">
        <v>1</v>
      </c>
      <c r="BM16" s="6" t="s">
        <v>426</v>
      </c>
      <c r="BN16" s="6">
        <v>20</v>
      </c>
      <c r="BO16" s="6" t="s">
        <v>426</v>
      </c>
      <c r="BP16" s="6">
        <v>0.2</v>
      </c>
      <c r="BQ16" s="6" t="s">
        <v>426</v>
      </c>
      <c r="BR16" s="6">
        <v>500</v>
      </c>
      <c r="BS16" s="6" t="s">
        <v>426</v>
      </c>
      <c r="BT16" s="6">
        <v>2</v>
      </c>
      <c r="BU16" s="6" t="s">
        <v>426</v>
      </c>
      <c r="BV16" s="15">
        <v>0.5</v>
      </c>
      <c r="BW16" s="15" t="s">
        <v>518</v>
      </c>
      <c r="BX16" s="15" t="s">
        <v>429</v>
      </c>
      <c r="BY16" s="6" t="s">
        <v>430</v>
      </c>
      <c r="BZ16" s="6" t="s">
        <v>430</v>
      </c>
      <c r="CA16" s="6" t="s">
        <v>430</v>
      </c>
      <c r="CB16" s="6" t="s">
        <v>430</v>
      </c>
      <c r="CC16" s="6" t="s">
        <v>430</v>
      </c>
      <c r="CD16" s="6" t="s">
        <v>430</v>
      </c>
      <c r="CE16" s="6" t="s">
        <v>430</v>
      </c>
      <c r="CF16" s="6" t="s">
        <v>430</v>
      </c>
      <c r="CG16" s="6" t="s">
        <v>486</v>
      </c>
      <c r="CH16" s="6" t="s">
        <v>430</v>
      </c>
      <c r="CI16" s="6" t="s">
        <v>430</v>
      </c>
      <c r="CJ16" s="6" t="s">
        <v>430</v>
      </c>
      <c r="CK16" s="6" t="s">
        <v>430</v>
      </c>
      <c r="CL16" s="6" t="s">
        <v>430</v>
      </c>
      <c r="CM16" s="6" t="s">
        <v>430</v>
      </c>
      <c r="CN16" s="6" t="s">
        <v>430</v>
      </c>
      <c r="CO16" s="15" t="s">
        <v>430</v>
      </c>
      <c r="CP16" s="15" t="s">
        <v>636</v>
      </c>
      <c r="CQ16" s="6" t="s">
        <v>433</v>
      </c>
      <c r="CR16" s="15"/>
      <c r="CS16" s="6" t="s">
        <v>426</v>
      </c>
      <c r="CT16" s="6" t="s">
        <v>732</v>
      </c>
      <c r="CU16" s="6" t="s">
        <v>733</v>
      </c>
      <c r="CV16" s="6" t="s">
        <v>734</v>
      </c>
      <c r="CW16" s="6" t="s">
        <v>735</v>
      </c>
      <c r="CX16" s="15" t="s">
        <v>426</v>
      </c>
      <c r="CY16" s="6" t="s">
        <v>426</v>
      </c>
      <c r="CZ16" s="6" t="s">
        <v>732</v>
      </c>
      <c r="DA16" s="6" t="s">
        <v>736</v>
      </c>
      <c r="DB16" s="6" t="s">
        <v>737</v>
      </c>
      <c r="DC16" s="6" t="s">
        <v>734</v>
      </c>
      <c r="DD16" s="15" t="s">
        <v>738</v>
      </c>
      <c r="DE16" s="15" t="s">
        <v>436</v>
      </c>
      <c r="DF16" s="6" t="s">
        <v>739</v>
      </c>
      <c r="DG16" s="6">
        <v>0</v>
      </c>
      <c r="DH16" s="6">
        <v>1</v>
      </c>
      <c r="DI16" s="6">
        <v>0</v>
      </c>
      <c r="DJ16" s="6">
        <v>1</v>
      </c>
      <c r="DK16" s="6">
        <v>0</v>
      </c>
      <c r="DL16" s="6">
        <v>0</v>
      </c>
      <c r="DM16" s="6"/>
      <c r="DN16" s="6"/>
      <c r="DO16" s="6"/>
      <c r="DP16" s="6"/>
      <c r="DQ16" s="6"/>
      <c r="DR16" s="6"/>
      <c r="DS16" s="6"/>
      <c r="DT16" s="66"/>
      <c r="DU16" s="6" t="s">
        <v>523</v>
      </c>
      <c r="DV16" s="6" t="s">
        <v>426</v>
      </c>
      <c r="DW16" s="6" t="s">
        <v>490</v>
      </c>
      <c r="DX16" s="6" t="s">
        <v>440</v>
      </c>
      <c r="DY16" s="6"/>
      <c r="DZ16" s="6" t="s">
        <v>740</v>
      </c>
      <c r="EA16" s="6">
        <v>1</v>
      </c>
      <c r="EB16" s="6">
        <v>0</v>
      </c>
      <c r="EC16" s="6">
        <v>1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/>
      <c r="EJ16" s="6" t="s">
        <v>741</v>
      </c>
      <c r="EK16" s="6">
        <v>1</v>
      </c>
      <c r="EL16" s="6">
        <v>0</v>
      </c>
      <c r="EM16" s="6">
        <v>1</v>
      </c>
      <c r="EN16" s="6">
        <v>1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/>
      <c r="EU16" s="6" t="s">
        <v>443</v>
      </c>
      <c r="EV16" s="6" t="s">
        <v>554</v>
      </c>
      <c r="EW16" s="6"/>
      <c r="EX16" s="6" t="s">
        <v>445</v>
      </c>
      <c r="EY16" s="6">
        <v>0</v>
      </c>
      <c r="EZ16" s="6">
        <v>0</v>
      </c>
      <c r="FA16" s="6">
        <v>1</v>
      </c>
      <c r="FB16" s="6">
        <v>0</v>
      </c>
      <c r="FC16" s="6">
        <v>0</v>
      </c>
      <c r="FD16" s="6">
        <v>0</v>
      </c>
      <c r="FE16" s="6"/>
      <c r="FF16" s="6">
        <v>0</v>
      </c>
      <c r="FG16" s="6"/>
      <c r="FH16" s="6" t="s">
        <v>742</v>
      </c>
      <c r="FI16" s="6">
        <v>1</v>
      </c>
      <c r="FJ16" s="6"/>
      <c r="FK16" s="6">
        <v>0</v>
      </c>
      <c r="FL16" s="6">
        <v>0</v>
      </c>
      <c r="FM16" s="6">
        <v>1</v>
      </c>
      <c r="FN16" s="6">
        <v>1</v>
      </c>
      <c r="FO16" s="6">
        <v>0</v>
      </c>
      <c r="FP16" s="6"/>
      <c r="FQ16" s="6">
        <v>0</v>
      </c>
      <c r="FR16" s="6">
        <v>0</v>
      </c>
      <c r="FS16" s="6"/>
      <c r="FT16" s="6" t="s">
        <v>556</v>
      </c>
      <c r="FU16" s="6" t="s">
        <v>743</v>
      </c>
      <c r="FV16" s="6" t="s">
        <v>744</v>
      </c>
      <c r="FW16" s="6" t="s">
        <v>449</v>
      </c>
      <c r="FX16" s="15" t="s">
        <v>450</v>
      </c>
      <c r="FY16" s="6" t="s">
        <v>529</v>
      </c>
      <c r="FZ16" s="6"/>
      <c r="GA16" s="6" t="s">
        <v>450</v>
      </c>
      <c r="GB16" s="6" t="s">
        <v>501</v>
      </c>
      <c r="GC16" s="6" t="s">
        <v>453</v>
      </c>
      <c r="GD16" s="6"/>
      <c r="GE16" s="6" t="s">
        <v>454</v>
      </c>
      <c r="GF16" s="6" t="s">
        <v>745</v>
      </c>
      <c r="GG16" s="6" t="s">
        <v>456</v>
      </c>
      <c r="GH16" s="15" t="s">
        <v>746</v>
      </c>
      <c r="GI16" s="6" t="s">
        <v>458</v>
      </c>
      <c r="GJ16" s="6" t="s">
        <v>747</v>
      </c>
      <c r="GK16" s="6" t="s">
        <v>460</v>
      </c>
      <c r="GL16" s="6" t="s">
        <v>461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1</v>
      </c>
      <c r="GS16" s="6">
        <v>0</v>
      </c>
      <c r="GT16" s="6"/>
      <c r="GU16" s="6" t="s">
        <v>462</v>
      </c>
      <c r="GV16" s="6" t="s">
        <v>559</v>
      </c>
      <c r="GW16" s="6" t="s">
        <v>464</v>
      </c>
      <c r="GX16" s="6">
        <v>1</v>
      </c>
      <c r="GY16" s="6">
        <v>0</v>
      </c>
      <c r="GZ16" s="6">
        <v>0</v>
      </c>
      <c r="HA16" s="6">
        <v>0</v>
      </c>
      <c r="HB16" s="6">
        <v>0</v>
      </c>
      <c r="HC16" s="6">
        <v>0</v>
      </c>
      <c r="HD16" s="6"/>
      <c r="HE16" s="6" t="s">
        <v>748</v>
      </c>
      <c r="HF16" s="6">
        <v>0</v>
      </c>
      <c r="HG16" s="6">
        <v>0</v>
      </c>
      <c r="HH16" s="6">
        <v>1</v>
      </c>
      <c r="HI16" s="6">
        <v>1</v>
      </c>
      <c r="HJ16" s="6">
        <v>0</v>
      </c>
      <c r="HK16" s="6">
        <v>0</v>
      </c>
      <c r="HL16" s="15"/>
      <c r="HM16" s="6" t="s">
        <v>505</v>
      </c>
      <c r="HN16" s="6"/>
      <c r="HO16" s="6" t="s">
        <v>749</v>
      </c>
      <c r="HP16" s="6" t="s">
        <v>648</v>
      </c>
      <c r="HQ16" s="6"/>
      <c r="HR16" s="6" t="s">
        <v>750</v>
      </c>
      <c r="HS16" s="6" t="s">
        <v>508</v>
      </c>
      <c r="HT16" s="6">
        <v>0</v>
      </c>
      <c r="HU16" s="6">
        <v>0</v>
      </c>
      <c r="HV16" s="6">
        <v>1</v>
      </c>
      <c r="HW16" s="6">
        <v>0</v>
      </c>
      <c r="HX16" s="6">
        <v>0</v>
      </c>
      <c r="HY16" s="6">
        <v>0</v>
      </c>
      <c r="HZ16" s="6"/>
      <c r="IA16" s="6" t="s">
        <v>751</v>
      </c>
      <c r="IB16" s="6">
        <v>0</v>
      </c>
      <c r="IC16" s="6">
        <v>1</v>
      </c>
      <c r="ID16" s="6">
        <v>1</v>
      </c>
      <c r="IE16" s="6">
        <v>0</v>
      </c>
      <c r="IF16" s="6">
        <v>0</v>
      </c>
      <c r="IG16" s="6">
        <v>0</v>
      </c>
      <c r="IH16" s="15" t="s">
        <v>752</v>
      </c>
      <c r="II16" s="6" t="s">
        <v>453</v>
      </c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 t="s">
        <v>453</v>
      </c>
      <c r="IX16" s="6"/>
      <c r="IY16" s="6" t="s">
        <v>510</v>
      </c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 t="s">
        <v>426</v>
      </c>
      <c r="JK16" s="6" t="s">
        <v>453</v>
      </c>
      <c r="JL16" s="6"/>
      <c r="JM16" s="6"/>
      <c r="JN16" s="6"/>
      <c r="JO16" s="6"/>
      <c r="JP16" s="6"/>
      <c r="JQ16" s="6"/>
      <c r="JR16" s="6"/>
      <c r="JS16" s="6"/>
      <c r="JT16" s="6"/>
      <c r="JU16" s="6" t="s">
        <v>477</v>
      </c>
      <c r="JV16" s="15"/>
      <c r="JW16" s="94" t="s">
        <v>753</v>
      </c>
      <c r="JX16" s="6" t="s">
        <v>754</v>
      </c>
      <c r="JY16" s="6">
        <v>0.8380285</v>
      </c>
      <c r="JZ16" s="6">
        <v>34.7363984</v>
      </c>
      <c r="KA16" s="6">
        <v>1735</v>
      </c>
      <c r="KB16" s="15">
        <v>4.833</v>
      </c>
      <c r="KC16" s="15"/>
    </row>
    <row r="17" spans="1:289">
      <c r="A17" s="6" t="s">
        <v>755</v>
      </c>
      <c r="B17" s="6" t="s">
        <v>420</v>
      </c>
      <c r="C17" s="6" t="s">
        <v>421</v>
      </c>
      <c r="D17" s="6" t="s">
        <v>756</v>
      </c>
      <c r="E17" s="6" t="s">
        <v>757</v>
      </c>
      <c r="F17" s="8" t="s">
        <v>483</v>
      </c>
      <c r="G17" s="6" t="s">
        <v>424</v>
      </c>
      <c r="H17" s="6" t="s">
        <v>517</v>
      </c>
      <c r="I17" s="15"/>
      <c r="J17" s="6" t="s">
        <v>426</v>
      </c>
      <c r="K17" s="6" t="s">
        <v>426</v>
      </c>
      <c r="L17" s="6" t="s">
        <v>426</v>
      </c>
      <c r="M17" s="6" t="s">
        <v>426</v>
      </c>
      <c r="N17" s="6" t="s">
        <v>426</v>
      </c>
      <c r="O17" s="6" t="s">
        <v>426</v>
      </c>
      <c r="P17" s="6" t="s">
        <v>426</v>
      </c>
      <c r="Q17" s="6" t="s">
        <v>426</v>
      </c>
      <c r="R17" s="6" t="s">
        <v>426</v>
      </c>
      <c r="S17" s="6" t="s">
        <v>426</v>
      </c>
      <c r="T17" s="6" t="s">
        <v>426</v>
      </c>
      <c r="U17" s="6" t="s">
        <v>426</v>
      </c>
      <c r="V17" s="6" t="s">
        <v>453</v>
      </c>
      <c r="W17" s="6" t="s">
        <v>453</v>
      </c>
      <c r="X17" s="6" t="s">
        <v>426</v>
      </c>
      <c r="Y17" s="6" t="s">
        <v>426</v>
      </c>
      <c r="Z17" s="6" t="s">
        <v>426</v>
      </c>
      <c r="AA17" s="6" t="s">
        <v>426</v>
      </c>
      <c r="AB17" s="6" t="s">
        <v>426</v>
      </c>
      <c r="AC17" s="15" t="s">
        <v>426</v>
      </c>
      <c r="AD17" s="6" t="s">
        <v>427</v>
      </c>
      <c r="AE17" s="6">
        <v>0</v>
      </c>
      <c r="AF17" s="6">
        <v>0</v>
      </c>
      <c r="AG17" s="6">
        <v>0</v>
      </c>
      <c r="AH17" s="6">
        <v>1</v>
      </c>
      <c r="AI17" s="6">
        <v>0</v>
      </c>
      <c r="AJ17" s="6">
        <v>0</v>
      </c>
      <c r="AK17" s="6">
        <v>0</v>
      </c>
      <c r="AL17" s="6">
        <v>0</v>
      </c>
      <c r="AM17" s="6"/>
      <c r="AN17" s="15"/>
      <c r="AO17" s="6" t="s">
        <v>426</v>
      </c>
      <c r="AP17" s="6" t="s">
        <v>758</v>
      </c>
      <c r="AQ17" s="6" t="s">
        <v>426</v>
      </c>
      <c r="AR17" s="6" t="s">
        <v>758</v>
      </c>
      <c r="AS17" s="6" t="s">
        <v>426</v>
      </c>
      <c r="AT17" s="6">
        <v>1</v>
      </c>
      <c r="AU17" s="6" t="s">
        <v>453</v>
      </c>
      <c r="AV17" s="6"/>
      <c r="AW17" s="6" t="s">
        <v>426</v>
      </c>
      <c r="AX17" s="6">
        <v>1</v>
      </c>
      <c r="AY17" s="6" t="s">
        <v>426</v>
      </c>
      <c r="AZ17" s="6">
        <v>1</v>
      </c>
      <c r="BA17" s="6" t="s">
        <v>453</v>
      </c>
      <c r="BB17" s="6"/>
      <c r="BC17" s="6" t="s">
        <v>426</v>
      </c>
      <c r="BD17" s="6">
        <v>1</v>
      </c>
      <c r="BE17" s="6" t="s">
        <v>453</v>
      </c>
      <c r="BF17" s="6"/>
      <c r="BG17" s="6" t="s">
        <v>426</v>
      </c>
      <c r="BH17" s="6">
        <v>1</v>
      </c>
      <c r="BI17" s="6" t="s">
        <v>426</v>
      </c>
      <c r="BJ17" s="6">
        <v>1</v>
      </c>
      <c r="BK17" s="6" t="s">
        <v>426</v>
      </c>
      <c r="BL17" s="6">
        <v>1</v>
      </c>
      <c r="BM17" s="6" t="s">
        <v>426</v>
      </c>
      <c r="BN17" s="6">
        <v>120</v>
      </c>
      <c r="BO17" s="6" t="s">
        <v>426</v>
      </c>
      <c r="BP17" s="6">
        <v>1</v>
      </c>
      <c r="BQ17" s="6" t="s">
        <v>426</v>
      </c>
      <c r="BR17" s="6">
        <v>250</v>
      </c>
      <c r="BS17" s="6" t="s">
        <v>426</v>
      </c>
      <c r="BT17" s="6">
        <v>15</v>
      </c>
      <c r="BU17" s="6" t="s">
        <v>426</v>
      </c>
      <c r="BV17" s="15">
        <v>1</v>
      </c>
      <c r="BW17" s="15" t="s">
        <v>518</v>
      </c>
      <c r="BX17" s="15" t="s">
        <v>429</v>
      </c>
      <c r="BY17" s="6" t="s">
        <v>430</v>
      </c>
      <c r="BZ17" s="6" t="s">
        <v>430</v>
      </c>
      <c r="CA17" s="6" t="s">
        <v>430</v>
      </c>
      <c r="CB17" s="6" t="s">
        <v>759</v>
      </c>
      <c r="CC17" s="6" t="s">
        <v>430</v>
      </c>
      <c r="CD17" s="6" t="s">
        <v>430</v>
      </c>
      <c r="CE17" s="6" t="s">
        <v>486</v>
      </c>
      <c r="CF17" s="6" t="s">
        <v>430</v>
      </c>
      <c r="CG17" s="6" t="s">
        <v>486</v>
      </c>
      <c r="CH17" s="6" t="s">
        <v>430</v>
      </c>
      <c r="CI17" s="6" t="s">
        <v>430</v>
      </c>
      <c r="CJ17" s="6" t="s">
        <v>430</v>
      </c>
      <c r="CK17" s="6" t="s">
        <v>430</v>
      </c>
      <c r="CL17" s="6" t="s">
        <v>430</v>
      </c>
      <c r="CM17" s="6" t="s">
        <v>430</v>
      </c>
      <c r="CN17" s="6" t="s">
        <v>431</v>
      </c>
      <c r="CO17" s="15" t="s">
        <v>430</v>
      </c>
      <c r="CP17" s="15" t="s">
        <v>432</v>
      </c>
      <c r="CQ17" s="6" t="s">
        <v>433</v>
      </c>
      <c r="CR17" s="15"/>
      <c r="CS17" s="6" t="s">
        <v>426</v>
      </c>
      <c r="CT17" s="6" t="s">
        <v>760</v>
      </c>
      <c r="CU17" s="6" t="s">
        <v>761</v>
      </c>
      <c r="CV17" s="6" t="s">
        <v>762</v>
      </c>
      <c r="CW17" s="6" t="s">
        <v>763</v>
      </c>
      <c r="CX17" s="15" t="s">
        <v>426</v>
      </c>
      <c r="CY17" s="6" t="s">
        <v>426</v>
      </c>
      <c r="CZ17" s="6" t="s">
        <v>764</v>
      </c>
      <c r="DA17" s="6" t="s">
        <v>765</v>
      </c>
      <c r="DB17" s="6" t="s">
        <v>766</v>
      </c>
      <c r="DC17" s="6" t="s">
        <v>767</v>
      </c>
      <c r="DD17" s="15" t="s">
        <v>765</v>
      </c>
      <c r="DE17" s="15" t="s">
        <v>436</v>
      </c>
      <c r="DF17" s="6" t="s">
        <v>585</v>
      </c>
      <c r="DG17" s="6">
        <v>0</v>
      </c>
      <c r="DH17" s="6">
        <v>0</v>
      </c>
      <c r="DI17" s="6">
        <v>1</v>
      </c>
      <c r="DJ17" s="6">
        <v>0</v>
      </c>
      <c r="DK17" s="6">
        <v>0</v>
      </c>
      <c r="DL17" s="6">
        <v>0</v>
      </c>
      <c r="DM17" s="6"/>
      <c r="DN17" s="6"/>
      <c r="DO17" s="6"/>
      <c r="DP17" s="6"/>
      <c r="DQ17" s="6"/>
      <c r="DR17" s="6"/>
      <c r="DS17" s="6"/>
      <c r="DT17" s="66"/>
      <c r="DU17" s="6" t="s">
        <v>438</v>
      </c>
      <c r="DV17" s="6" t="s">
        <v>426</v>
      </c>
      <c r="DW17" s="6" t="s">
        <v>490</v>
      </c>
      <c r="DX17" s="6" t="s">
        <v>440</v>
      </c>
      <c r="DY17" s="6"/>
      <c r="DZ17" s="6" t="s">
        <v>768</v>
      </c>
      <c r="EA17" s="6">
        <v>1</v>
      </c>
      <c r="EB17" s="6">
        <v>1</v>
      </c>
      <c r="EC17" s="6">
        <v>1</v>
      </c>
      <c r="ED17" s="6">
        <v>1</v>
      </c>
      <c r="EE17" s="6">
        <v>1</v>
      </c>
      <c r="EF17" s="6">
        <v>0</v>
      </c>
      <c r="EG17" s="6">
        <v>0</v>
      </c>
      <c r="EH17" s="6">
        <v>0</v>
      </c>
      <c r="EI17" s="6"/>
      <c r="EJ17" s="6" t="s">
        <v>769</v>
      </c>
      <c r="EK17" s="6">
        <v>1</v>
      </c>
      <c r="EL17" s="6">
        <v>1</v>
      </c>
      <c r="EM17" s="6">
        <v>1</v>
      </c>
      <c r="EN17" s="6">
        <v>1</v>
      </c>
      <c r="EO17" s="6">
        <v>1</v>
      </c>
      <c r="EP17" s="6">
        <v>1</v>
      </c>
      <c r="EQ17" s="6">
        <v>0</v>
      </c>
      <c r="ER17" s="6">
        <v>0</v>
      </c>
      <c r="ES17" s="6">
        <v>0</v>
      </c>
      <c r="ET17" s="6"/>
      <c r="EU17" s="6" t="s">
        <v>443</v>
      </c>
      <c r="EV17" s="6" t="s">
        <v>554</v>
      </c>
      <c r="EW17" s="6"/>
      <c r="EX17" s="6" t="s">
        <v>770</v>
      </c>
      <c r="EY17" s="6">
        <v>1</v>
      </c>
      <c r="EZ17" s="6">
        <v>1</v>
      </c>
      <c r="FA17" s="6">
        <v>1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/>
      <c r="FH17" s="6" t="s">
        <v>771</v>
      </c>
      <c r="FI17" s="6">
        <v>1</v>
      </c>
      <c r="FJ17" s="6">
        <v>0</v>
      </c>
      <c r="FK17" s="6">
        <v>0</v>
      </c>
      <c r="FL17" s="6">
        <v>1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/>
      <c r="FT17" s="6" t="s">
        <v>447</v>
      </c>
      <c r="FU17" s="6" t="s">
        <v>499</v>
      </c>
      <c r="FV17" s="6"/>
      <c r="FW17" s="6" t="s">
        <v>449</v>
      </c>
      <c r="FX17" s="15" t="s">
        <v>450</v>
      </c>
      <c r="FY17" s="6" t="s">
        <v>529</v>
      </c>
      <c r="FZ17" s="6"/>
      <c r="GA17" s="6" t="s">
        <v>450</v>
      </c>
      <c r="GB17" s="6" t="s">
        <v>501</v>
      </c>
      <c r="GC17" s="6" t="s">
        <v>426</v>
      </c>
      <c r="GD17" s="6" t="s">
        <v>772</v>
      </c>
      <c r="GE17" s="6" t="s">
        <v>454</v>
      </c>
      <c r="GF17" s="6" t="s">
        <v>773</v>
      </c>
      <c r="GG17" s="6" t="s">
        <v>456</v>
      </c>
      <c r="GH17" s="15" t="s">
        <v>774</v>
      </c>
      <c r="GI17" s="6" t="s">
        <v>458</v>
      </c>
      <c r="GJ17" s="6" t="s">
        <v>775</v>
      </c>
      <c r="GK17" s="6" t="s">
        <v>460</v>
      </c>
      <c r="GL17" s="6" t="s">
        <v>720</v>
      </c>
      <c r="GM17" s="6">
        <v>1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/>
      <c r="GU17" s="6" t="s">
        <v>534</v>
      </c>
      <c r="GV17" s="6" t="s">
        <v>595</v>
      </c>
      <c r="GW17" s="6" t="s">
        <v>464</v>
      </c>
      <c r="GX17" s="6">
        <v>1</v>
      </c>
      <c r="GY17" s="6">
        <v>0</v>
      </c>
      <c r="GZ17" s="6">
        <v>0</v>
      </c>
      <c r="HA17" s="6">
        <v>0</v>
      </c>
      <c r="HB17" s="6">
        <v>0</v>
      </c>
      <c r="HC17" s="6">
        <v>0</v>
      </c>
      <c r="HD17" s="6"/>
      <c r="HE17" s="6" t="s">
        <v>535</v>
      </c>
      <c r="HF17" s="6">
        <v>1</v>
      </c>
      <c r="HG17" s="6">
        <v>0</v>
      </c>
      <c r="HH17" s="6">
        <v>0</v>
      </c>
      <c r="HI17" s="6">
        <v>0</v>
      </c>
      <c r="HJ17" s="6">
        <v>0</v>
      </c>
      <c r="HK17" s="6">
        <v>0</v>
      </c>
      <c r="HL17" s="15"/>
      <c r="HM17" s="6" t="s">
        <v>505</v>
      </c>
      <c r="HN17" s="6"/>
      <c r="HO17" s="6" t="s">
        <v>776</v>
      </c>
      <c r="HP17" s="6" t="s">
        <v>468</v>
      </c>
      <c r="HQ17" s="6"/>
      <c r="HR17" s="6" t="s">
        <v>777</v>
      </c>
      <c r="HS17" s="6" t="s">
        <v>778</v>
      </c>
      <c r="HT17" s="6">
        <v>0</v>
      </c>
      <c r="HU17" s="6">
        <v>0</v>
      </c>
      <c r="HV17" s="6">
        <v>1</v>
      </c>
      <c r="HW17" s="6">
        <v>0</v>
      </c>
      <c r="HX17" s="6">
        <v>1</v>
      </c>
      <c r="HY17" s="6">
        <v>0</v>
      </c>
      <c r="HZ17" s="6"/>
      <c r="IA17" s="6" t="s">
        <v>111</v>
      </c>
      <c r="IB17" s="6">
        <v>1</v>
      </c>
      <c r="IC17" s="6">
        <v>0</v>
      </c>
      <c r="ID17" s="6">
        <v>0</v>
      </c>
      <c r="IE17" s="6">
        <v>0</v>
      </c>
      <c r="IF17" s="6">
        <v>0</v>
      </c>
      <c r="IG17" s="6">
        <v>0</v>
      </c>
      <c r="IH17" s="15" t="s">
        <v>779</v>
      </c>
      <c r="II17" s="6" t="s">
        <v>426</v>
      </c>
      <c r="IJ17" s="6" t="s">
        <v>472</v>
      </c>
      <c r="IK17" s="6">
        <v>1</v>
      </c>
      <c r="IL17" s="6">
        <v>0</v>
      </c>
      <c r="IM17" s="6">
        <v>0</v>
      </c>
      <c r="IN17" s="6"/>
      <c r="IO17" s="6" t="s">
        <v>473</v>
      </c>
      <c r="IP17" s="6">
        <v>1</v>
      </c>
      <c r="IQ17" s="6">
        <v>0</v>
      </c>
      <c r="IR17" s="6">
        <v>0</v>
      </c>
      <c r="IS17" s="6">
        <v>0</v>
      </c>
      <c r="IT17" s="6">
        <v>0</v>
      </c>
      <c r="IU17" s="6">
        <v>0</v>
      </c>
      <c r="IV17" s="6"/>
      <c r="IW17" s="6" t="s">
        <v>426</v>
      </c>
      <c r="IX17" s="6">
        <v>1</v>
      </c>
      <c r="IY17" s="6" t="s">
        <v>474</v>
      </c>
      <c r="IZ17" s="6" t="s">
        <v>475</v>
      </c>
      <c r="JA17" s="6" t="s">
        <v>426</v>
      </c>
      <c r="JB17" s="6" t="s">
        <v>476</v>
      </c>
      <c r="JC17" s="6"/>
      <c r="JD17" s="6"/>
      <c r="JE17" s="6"/>
      <c r="JF17" s="6"/>
      <c r="JG17" s="6"/>
      <c r="JH17" s="6"/>
      <c r="JI17" s="6"/>
      <c r="JJ17" s="6"/>
      <c r="JK17" s="6" t="s">
        <v>426</v>
      </c>
      <c r="JL17" s="6" t="s">
        <v>426</v>
      </c>
      <c r="JM17" s="6"/>
      <c r="JN17" s="6"/>
      <c r="JO17" s="6"/>
      <c r="JP17" s="6"/>
      <c r="JQ17" s="6"/>
      <c r="JR17" s="6"/>
      <c r="JS17" s="6"/>
      <c r="JT17" s="6"/>
      <c r="JU17" s="6" t="s">
        <v>544</v>
      </c>
      <c r="JV17" s="15"/>
      <c r="JW17" s="94" t="s">
        <v>780</v>
      </c>
      <c r="JX17" s="6" t="s">
        <v>781</v>
      </c>
      <c r="JY17" s="6">
        <v>0.8403976</v>
      </c>
      <c r="JZ17" s="6">
        <v>34.7524133</v>
      </c>
      <c r="KA17" s="6">
        <v>1701.439</v>
      </c>
      <c r="KB17" s="15">
        <v>1.601</v>
      </c>
      <c r="KC17" s="15"/>
    </row>
    <row r="18" spans="1:289">
      <c r="A18" s="6" t="s">
        <v>581</v>
      </c>
      <c r="B18" s="6" t="s">
        <v>420</v>
      </c>
      <c r="C18" s="6" t="s">
        <v>421</v>
      </c>
      <c r="D18" s="6" t="s">
        <v>782</v>
      </c>
      <c r="E18" s="6" t="s">
        <v>783</v>
      </c>
      <c r="F18" s="8" t="s">
        <v>423</v>
      </c>
      <c r="G18" s="6" t="s">
        <v>567</v>
      </c>
      <c r="H18" s="6" t="s">
        <v>517</v>
      </c>
      <c r="I18" s="15"/>
      <c r="J18" s="6" t="s">
        <v>426</v>
      </c>
      <c r="K18" s="6" t="s">
        <v>426</v>
      </c>
      <c r="L18" s="6" t="s">
        <v>426</v>
      </c>
      <c r="M18" s="6" t="s">
        <v>426</v>
      </c>
      <c r="N18" s="6" t="s">
        <v>426</v>
      </c>
      <c r="O18" s="6" t="s">
        <v>426</v>
      </c>
      <c r="P18" s="6" t="s">
        <v>426</v>
      </c>
      <c r="Q18" s="6" t="s">
        <v>426</v>
      </c>
      <c r="R18" s="6" t="s">
        <v>426</v>
      </c>
      <c r="S18" s="6" t="s">
        <v>426</v>
      </c>
      <c r="T18" s="6" t="s">
        <v>426</v>
      </c>
      <c r="U18" s="6" t="s">
        <v>426</v>
      </c>
      <c r="V18" s="6" t="s">
        <v>426</v>
      </c>
      <c r="W18" s="6" t="s">
        <v>453</v>
      </c>
      <c r="X18" s="6" t="s">
        <v>426</v>
      </c>
      <c r="Y18" s="6" t="s">
        <v>426</v>
      </c>
      <c r="Z18" s="6" t="s">
        <v>426</v>
      </c>
      <c r="AA18" s="6" t="s">
        <v>426</v>
      </c>
      <c r="AB18" s="6" t="s">
        <v>426</v>
      </c>
      <c r="AC18" s="15" t="s">
        <v>426</v>
      </c>
      <c r="AD18" s="6" t="s">
        <v>784</v>
      </c>
      <c r="AE18" s="6">
        <v>1</v>
      </c>
      <c r="AF18" s="6">
        <v>1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/>
      <c r="AN18" s="15"/>
      <c r="AO18" s="6" t="s">
        <v>426</v>
      </c>
      <c r="AP18" s="6" t="s">
        <v>758</v>
      </c>
      <c r="AQ18" s="6" t="s">
        <v>426</v>
      </c>
      <c r="AR18" s="6" t="s">
        <v>766</v>
      </c>
      <c r="AS18" s="6" t="s">
        <v>426</v>
      </c>
      <c r="AT18" s="6" t="s">
        <v>785</v>
      </c>
      <c r="AU18" s="6" t="s">
        <v>453</v>
      </c>
      <c r="AV18" s="6"/>
      <c r="AW18" s="6" t="s">
        <v>426</v>
      </c>
      <c r="AX18" s="6" t="s">
        <v>658</v>
      </c>
      <c r="AY18" s="6" t="s">
        <v>426</v>
      </c>
      <c r="AZ18" s="6">
        <v>1</v>
      </c>
      <c r="BA18" s="6" t="s">
        <v>426</v>
      </c>
      <c r="BB18" s="6">
        <v>1</v>
      </c>
      <c r="BC18" s="6" t="s">
        <v>426</v>
      </c>
      <c r="BD18" s="6">
        <v>1</v>
      </c>
      <c r="BE18" s="6" t="s">
        <v>453</v>
      </c>
      <c r="BF18" s="6"/>
      <c r="BG18" s="6" t="s">
        <v>426</v>
      </c>
      <c r="BH18" s="6">
        <v>1</v>
      </c>
      <c r="BI18" s="6" t="s">
        <v>426</v>
      </c>
      <c r="BJ18" s="6">
        <v>1</v>
      </c>
      <c r="BK18" s="6" t="s">
        <v>426</v>
      </c>
      <c r="BL18" s="6">
        <v>1</v>
      </c>
      <c r="BM18" s="6" t="s">
        <v>426</v>
      </c>
      <c r="BN18" s="6">
        <v>50</v>
      </c>
      <c r="BO18" s="6" t="s">
        <v>426</v>
      </c>
      <c r="BP18" s="6">
        <v>1</v>
      </c>
      <c r="BQ18" s="6" t="s">
        <v>426</v>
      </c>
      <c r="BR18" s="6">
        <v>150</v>
      </c>
      <c r="BS18" s="6" t="s">
        <v>426</v>
      </c>
      <c r="BT18" s="6">
        <v>10</v>
      </c>
      <c r="BU18" s="6" t="s">
        <v>426</v>
      </c>
      <c r="BV18" s="15">
        <v>1</v>
      </c>
      <c r="BW18" s="15" t="s">
        <v>428</v>
      </c>
      <c r="BX18" s="15" t="s">
        <v>786</v>
      </c>
      <c r="BY18" s="6" t="s">
        <v>430</v>
      </c>
      <c r="BZ18" s="6" t="s">
        <v>430</v>
      </c>
      <c r="CA18" s="6" t="s">
        <v>430</v>
      </c>
      <c r="CB18" s="6" t="s">
        <v>430</v>
      </c>
      <c r="CC18" s="6" t="s">
        <v>430</v>
      </c>
      <c r="CD18" s="6" t="s">
        <v>430</v>
      </c>
      <c r="CE18" s="6" t="s">
        <v>431</v>
      </c>
      <c r="CF18" s="6" t="s">
        <v>430</v>
      </c>
      <c r="CG18" s="6" t="s">
        <v>486</v>
      </c>
      <c r="CH18" s="6" t="s">
        <v>430</v>
      </c>
      <c r="CI18" s="6" t="s">
        <v>430</v>
      </c>
      <c r="CJ18" s="6" t="s">
        <v>430</v>
      </c>
      <c r="CK18" s="6" t="s">
        <v>430</v>
      </c>
      <c r="CL18" s="6" t="s">
        <v>430</v>
      </c>
      <c r="CM18" s="6" t="s">
        <v>430</v>
      </c>
      <c r="CN18" s="6" t="s">
        <v>430</v>
      </c>
      <c r="CO18" s="15" t="s">
        <v>430</v>
      </c>
      <c r="CP18" s="15" t="s">
        <v>432</v>
      </c>
      <c r="CQ18" s="6" t="s">
        <v>433</v>
      </c>
      <c r="CR18" s="15"/>
      <c r="CS18" s="6" t="s">
        <v>426</v>
      </c>
      <c r="CT18" s="6" t="s">
        <v>787</v>
      </c>
      <c r="CU18" s="6" t="s">
        <v>788</v>
      </c>
      <c r="CV18" s="6" t="s">
        <v>789</v>
      </c>
      <c r="CW18" s="6" t="s">
        <v>790</v>
      </c>
      <c r="CX18" s="15" t="s">
        <v>453</v>
      </c>
      <c r="CY18" s="6"/>
      <c r="CZ18" s="6"/>
      <c r="DA18" s="6"/>
      <c r="DB18" s="6"/>
      <c r="DC18" s="6"/>
      <c r="DD18" s="15"/>
      <c r="DE18" s="15" t="s">
        <v>436</v>
      </c>
      <c r="DF18" s="6" t="s">
        <v>791</v>
      </c>
      <c r="DG18" s="6">
        <v>0</v>
      </c>
      <c r="DH18" s="6">
        <v>1</v>
      </c>
      <c r="DI18" s="6">
        <v>1</v>
      </c>
      <c r="DJ18" s="6">
        <v>0</v>
      </c>
      <c r="DK18" s="6">
        <v>0</v>
      </c>
      <c r="DL18" s="6">
        <v>0</v>
      </c>
      <c r="DM18" s="6"/>
      <c r="DN18" s="6"/>
      <c r="DO18" s="6"/>
      <c r="DP18" s="6"/>
      <c r="DQ18" s="6"/>
      <c r="DR18" s="6"/>
      <c r="DS18" s="6"/>
      <c r="DT18" s="66"/>
      <c r="DU18" s="6" t="s">
        <v>523</v>
      </c>
      <c r="DV18" s="6" t="s">
        <v>426</v>
      </c>
      <c r="DW18" s="6" t="s">
        <v>439</v>
      </c>
      <c r="DX18" s="6" t="s">
        <v>440</v>
      </c>
      <c r="DY18" s="6"/>
      <c r="DZ18" s="6" t="s">
        <v>586</v>
      </c>
      <c r="EA18" s="6">
        <v>1</v>
      </c>
      <c r="EB18" s="6">
        <v>1</v>
      </c>
      <c r="EC18" s="6">
        <v>1</v>
      </c>
      <c r="ED18" s="6">
        <v>1</v>
      </c>
      <c r="EE18" s="6">
        <v>1</v>
      </c>
      <c r="EF18" s="6">
        <v>1</v>
      </c>
      <c r="EG18" s="6">
        <v>0</v>
      </c>
      <c r="EH18" s="6">
        <v>0</v>
      </c>
      <c r="EI18" s="6"/>
      <c r="EJ18" s="6" t="s">
        <v>587</v>
      </c>
      <c r="EK18" s="6">
        <v>1</v>
      </c>
      <c r="EL18" s="6">
        <v>0</v>
      </c>
      <c r="EM18" s="6">
        <v>1</v>
      </c>
      <c r="EN18" s="6">
        <v>1</v>
      </c>
      <c r="EO18" s="6">
        <v>0</v>
      </c>
      <c r="EP18" s="6">
        <v>1</v>
      </c>
      <c r="EQ18" s="6">
        <v>1</v>
      </c>
      <c r="ER18" s="6">
        <v>0</v>
      </c>
      <c r="ES18" s="6">
        <v>0</v>
      </c>
      <c r="ET18" s="6"/>
      <c r="EU18" s="6" t="s">
        <v>443</v>
      </c>
      <c r="EV18" s="6" t="s">
        <v>444</v>
      </c>
      <c r="EW18" s="6"/>
      <c r="EX18" s="6" t="s">
        <v>589</v>
      </c>
      <c r="EY18" s="6">
        <v>1</v>
      </c>
      <c r="EZ18" s="6">
        <v>1</v>
      </c>
      <c r="FA18" s="6">
        <v>1</v>
      </c>
      <c r="FB18" s="6">
        <v>1</v>
      </c>
      <c r="FC18" s="6">
        <v>1</v>
      </c>
      <c r="FD18" s="6">
        <v>1</v>
      </c>
      <c r="FE18" s="6"/>
      <c r="FF18" s="6">
        <v>0</v>
      </c>
      <c r="FG18" s="6"/>
      <c r="FH18" s="6" t="s">
        <v>792</v>
      </c>
      <c r="FI18" s="6">
        <v>1</v>
      </c>
      <c r="FJ18" s="6"/>
      <c r="FK18" s="6">
        <v>1</v>
      </c>
      <c r="FL18" s="6">
        <v>1</v>
      </c>
      <c r="FM18" s="6">
        <v>1</v>
      </c>
      <c r="FN18" s="6">
        <v>1</v>
      </c>
      <c r="FO18" s="6">
        <v>0</v>
      </c>
      <c r="FP18" s="6"/>
      <c r="FQ18" s="6">
        <v>1</v>
      </c>
      <c r="FR18" s="6">
        <v>0</v>
      </c>
      <c r="FS18" s="6"/>
      <c r="FT18" s="6" t="s">
        <v>556</v>
      </c>
      <c r="FU18" s="6" t="s">
        <v>448</v>
      </c>
      <c r="FV18" s="6"/>
      <c r="FW18" s="6" t="s">
        <v>449</v>
      </c>
      <c r="FX18" s="15" t="s">
        <v>450</v>
      </c>
      <c r="FY18" s="6" t="s">
        <v>619</v>
      </c>
      <c r="FZ18" s="6"/>
      <c r="GA18" s="6" t="s">
        <v>450</v>
      </c>
      <c r="GB18" s="6" t="s">
        <v>501</v>
      </c>
      <c r="GC18" s="6" t="s">
        <v>453</v>
      </c>
      <c r="GD18" s="6"/>
      <c r="GE18" s="6" t="s">
        <v>454</v>
      </c>
      <c r="GF18" s="6" t="s">
        <v>793</v>
      </c>
      <c r="GG18" s="6" t="s">
        <v>502</v>
      </c>
      <c r="GH18" s="15"/>
      <c r="GI18" s="6" t="s">
        <v>458</v>
      </c>
      <c r="GJ18" s="6" t="s">
        <v>794</v>
      </c>
      <c r="GK18" s="6" t="s">
        <v>460</v>
      </c>
      <c r="GL18" s="6" t="s">
        <v>461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1</v>
      </c>
      <c r="GS18" s="6">
        <v>0</v>
      </c>
      <c r="GT18" s="6"/>
      <c r="GU18" s="6" t="s">
        <v>534</v>
      </c>
      <c r="GV18" s="6" t="s">
        <v>595</v>
      </c>
      <c r="GW18" s="6" t="s">
        <v>464</v>
      </c>
      <c r="GX18" s="6">
        <v>1</v>
      </c>
      <c r="GY18" s="6">
        <v>0</v>
      </c>
      <c r="GZ18" s="6">
        <v>0</v>
      </c>
      <c r="HA18" s="6">
        <v>0</v>
      </c>
      <c r="HB18" s="6">
        <v>0</v>
      </c>
      <c r="HC18" s="6">
        <v>0</v>
      </c>
      <c r="HD18" s="6"/>
      <c r="HE18" s="6" t="s">
        <v>795</v>
      </c>
      <c r="HF18" s="6">
        <v>1</v>
      </c>
      <c r="HG18" s="6">
        <v>1</v>
      </c>
      <c r="HH18" s="6">
        <v>1</v>
      </c>
      <c r="HI18" s="6">
        <v>1</v>
      </c>
      <c r="HJ18" s="6">
        <v>0</v>
      </c>
      <c r="HK18" s="6">
        <v>0</v>
      </c>
      <c r="HL18" s="15"/>
      <c r="HM18" s="6" t="s">
        <v>676</v>
      </c>
      <c r="HN18" s="6"/>
      <c r="HO18" s="6" t="s">
        <v>796</v>
      </c>
      <c r="HP18" s="6" t="s">
        <v>561</v>
      </c>
      <c r="HQ18" s="6"/>
      <c r="HR18" s="6" t="s">
        <v>797</v>
      </c>
      <c r="HS18" s="6" t="s">
        <v>628</v>
      </c>
      <c r="HT18" s="6">
        <v>0</v>
      </c>
      <c r="HU18" s="6">
        <v>0</v>
      </c>
      <c r="HV18" s="6">
        <v>1</v>
      </c>
      <c r="HW18" s="6">
        <v>0</v>
      </c>
      <c r="HX18" s="6">
        <v>1</v>
      </c>
      <c r="HY18" s="6">
        <v>1</v>
      </c>
      <c r="HZ18" s="6"/>
      <c r="IA18" s="6" t="s">
        <v>798</v>
      </c>
      <c r="IB18" s="6">
        <v>1</v>
      </c>
      <c r="IC18" s="6">
        <v>1</v>
      </c>
      <c r="ID18" s="6">
        <v>1</v>
      </c>
      <c r="IE18" s="6">
        <v>1</v>
      </c>
      <c r="IF18" s="6">
        <v>1</v>
      </c>
      <c r="IG18" s="6">
        <v>0</v>
      </c>
      <c r="IH18" s="15" t="s">
        <v>799</v>
      </c>
      <c r="II18" s="6" t="s">
        <v>426</v>
      </c>
      <c r="IJ18" s="6" t="s">
        <v>602</v>
      </c>
      <c r="IK18" s="6">
        <v>1</v>
      </c>
      <c r="IL18" s="6">
        <v>1</v>
      </c>
      <c r="IM18" s="6">
        <v>0</v>
      </c>
      <c r="IN18" s="6"/>
      <c r="IO18" s="6" t="s">
        <v>800</v>
      </c>
      <c r="IP18" s="6">
        <v>1</v>
      </c>
      <c r="IQ18" s="6">
        <v>0</v>
      </c>
      <c r="IR18" s="6">
        <v>0</v>
      </c>
      <c r="IS18" s="6">
        <v>1</v>
      </c>
      <c r="IT18" s="6">
        <v>1</v>
      </c>
      <c r="IU18" s="6">
        <v>0</v>
      </c>
      <c r="IV18" s="6"/>
      <c r="IW18" s="6" t="s">
        <v>426</v>
      </c>
      <c r="IX18" s="6">
        <v>1</v>
      </c>
      <c r="IY18" s="6" t="s">
        <v>474</v>
      </c>
      <c r="IZ18" s="6" t="s">
        <v>604</v>
      </c>
      <c r="JA18" s="6" t="s">
        <v>605</v>
      </c>
      <c r="JB18" s="6"/>
      <c r="JC18" s="6"/>
      <c r="JD18" s="6"/>
      <c r="JE18" s="6"/>
      <c r="JF18" s="6"/>
      <c r="JG18" s="6"/>
      <c r="JH18" s="6"/>
      <c r="JI18" s="6"/>
      <c r="JJ18" s="6"/>
      <c r="JK18" s="6" t="s">
        <v>453</v>
      </c>
      <c r="JL18" s="6"/>
      <c r="JM18" s="6"/>
      <c r="JN18" s="6"/>
      <c r="JO18" s="6"/>
      <c r="JP18" s="6"/>
      <c r="JQ18" s="6"/>
      <c r="JR18" s="6"/>
      <c r="JS18" s="6"/>
      <c r="JT18" s="6"/>
      <c r="JU18" s="6" t="s">
        <v>477</v>
      </c>
      <c r="JV18" s="15"/>
      <c r="JW18" s="94" t="s">
        <v>801</v>
      </c>
      <c r="JX18" s="6" t="s">
        <v>802</v>
      </c>
      <c r="JY18" s="6">
        <v>0.8469917</v>
      </c>
      <c r="JZ18" s="6">
        <v>34.7340983</v>
      </c>
      <c r="KA18" s="6">
        <v>1902.6</v>
      </c>
      <c r="KB18" s="15">
        <v>4.3</v>
      </c>
      <c r="KC18" s="15"/>
    </row>
    <row r="19" spans="1:289">
      <c r="A19" s="6" t="s">
        <v>547</v>
      </c>
      <c r="B19" s="6" t="s">
        <v>420</v>
      </c>
      <c r="C19" s="6" t="s">
        <v>421</v>
      </c>
      <c r="D19" s="6" t="s">
        <v>803</v>
      </c>
      <c r="E19" s="6" t="s">
        <v>804</v>
      </c>
      <c r="F19" s="8" t="s">
        <v>483</v>
      </c>
      <c r="G19" s="6" t="s">
        <v>567</v>
      </c>
      <c r="H19" s="6" t="s">
        <v>517</v>
      </c>
      <c r="I19" s="15"/>
      <c r="J19" s="6" t="s">
        <v>426</v>
      </c>
      <c r="K19" s="6" t="s">
        <v>426</v>
      </c>
      <c r="L19" s="6" t="s">
        <v>426</v>
      </c>
      <c r="M19" s="6" t="s">
        <v>426</v>
      </c>
      <c r="N19" s="6" t="s">
        <v>426</v>
      </c>
      <c r="O19" s="6" t="s">
        <v>426</v>
      </c>
      <c r="P19" s="6" t="s">
        <v>426</v>
      </c>
      <c r="Q19" s="6" t="s">
        <v>426</v>
      </c>
      <c r="R19" s="6" t="s">
        <v>426</v>
      </c>
      <c r="S19" s="6" t="s">
        <v>426</v>
      </c>
      <c r="T19" s="6" t="s">
        <v>426</v>
      </c>
      <c r="U19" s="6" t="s">
        <v>426</v>
      </c>
      <c r="V19" s="6" t="s">
        <v>426</v>
      </c>
      <c r="W19" s="6" t="s">
        <v>426</v>
      </c>
      <c r="X19" s="6" t="s">
        <v>426</v>
      </c>
      <c r="Y19" s="6" t="s">
        <v>426</v>
      </c>
      <c r="Z19" s="6" t="s">
        <v>426</v>
      </c>
      <c r="AA19" s="6" t="s">
        <v>426</v>
      </c>
      <c r="AB19" s="6" t="s">
        <v>426</v>
      </c>
      <c r="AC19" s="15" t="s">
        <v>426</v>
      </c>
      <c r="AD19" s="6" t="s">
        <v>427</v>
      </c>
      <c r="AE19" s="6">
        <v>0</v>
      </c>
      <c r="AF19" s="6">
        <v>0</v>
      </c>
      <c r="AG19" s="6">
        <v>0</v>
      </c>
      <c r="AH19" s="6">
        <v>1</v>
      </c>
      <c r="AI19" s="6">
        <v>0</v>
      </c>
      <c r="AJ19" s="6">
        <v>0</v>
      </c>
      <c r="AK19" s="6">
        <v>0</v>
      </c>
      <c r="AL19" s="6">
        <v>0</v>
      </c>
      <c r="AM19" s="6"/>
      <c r="AN19" s="15"/>
      <c r="AO19" s="6" t="s">
        <v>426</v>
      </c>
      <c r="AP19" s="6" t="s">
        <v>683</v>
      </c>
      <c r="AQ19" s="6" t="s">
        <v>426</v>
      </c>
      <c r="AR19" s="6" t="s">
        <v>805</v>
      </c>
      <c r="AS19" s="6" t="s">
        <v>426</v>
      </c>
      <c r="AT19" s="6" t="s">
        <v>785</v>
      </c>
      <c r="AU19" s="6" t="s">
        <v>453</v>
      </c>
      <c r="AV19" s="6"/>
      <c r="AW19" s="6" t="s">
        <v>426</v>
      </c>
      <c r="AX19" s="6" t="s">
        <v>658</v>
      </c>
      <c r="AY19" s="6" t="s">
        <v>426</v>
      </c>
      <c r="AZ19" s="6">
        <v>1</v>
      </c>
      <c r="BA19" s="6" t="s">
        <v>426</v>
      </c>
      <c r="BB19" s="6">
        <v>1</v>
      </c>
      <c r="BC19" s="6" t="s">
        <v>426</v>
      </c>
      <c r="BD19" s="6">
        <v>1</v>
      </c>
      <c r="BE19" s="6" t="s">
        <v>426</v>
      </c>
      <c r="BF19" s="6">
        <v>3</v>
      </c>
      <c r="BG19" s="6" t="s">
        <v>426</v>
      </c>
      <c r="BH19" s="6">
        <v>1</v>
      </c>
      <c r="BI19" s="6" t="s">
        <v>426</v>
      </c>
      <c r="BJ19" s="6">
        <v>1</v>
      </c>
      <c r="BK19" s="6" t="s">
        <v>426</v>
      </c>
      <c r="BL19" s="6">
        <v>1</v>
      </c>
      <c r="BM19" s="6" t="s">
        <v>426</v>
      </c>
      <c r="BN19" s="6">
        <v>7</v>
      </c>
      <c r="BO19" s="6" t="s">
        <v>426</v>
      </c>
      <c r="BP19" s="6">
        <v>1</v>
      </c>
      <c r="BQ19" s="6" t="s">
        <v>426</v>
      </c>
      <c r="BR19" s="6">
        <v>100</v>
      </c>
      <c r="BS19" s="6" t="s">
        <v>426</v>
      </c>
      <c r="BT19" s="6">
        <v>2</v>
      </c>
      <c r="BU19" s="6" t="s">
        <v>426</v>
      </c>
      <c r="BV19" s="15">
        <v>1</v>
      </c>
      <c r="BW19" s="15" t="s">
        <v>806</v>
      </c>
      <c r="BX19" s="15" t="s">
        <v>429</v>
      </c>
      <c r="BY19" s="6" t="s">
        <v>430</v>
      </c>
      <c r="BZ19" s="6" t="s">
        <v>430</v>
      </c>
      <c r="CA19" s="6" t="s">
        <v>430</v>
      </c>
      <c r="CB19" s="6" t="s">
        <v>430</v>
      </c>
      <c r="CC19" s="6" t="s">
        <v>430</v>
      </c>
      <c r="CD19" s="6" t="s">
        <v>430</v>
      </c>
      <c r="CE19" s="6" t="s">
        <v>430</v>
      </c>
      <c r="CF19" s="6" t="s">
        <v>430</v>
      </c>
      <c r="CG19" s="6" t="s">
        <v>430</v>
      </c>
      <c r="CH19" s="6" t="s">
        <v>430</v>
      </c>
      <c r="CI19" s="6" t="s">
        <v>430</v>
      </c>
      <c r="CJ19" s="6" t="s">
        <v>430</v>
      </c>
      <c r="CK19" s="6" t="s">
        <v>430</v>
      </c>
      <c r="CL19" s="6" t="s">
        <v>430</v>
      </c>
      <c r="CM19" s="6" t="s">
        <v>430</v>
      </c>
      <c r="CN19" s="6" t="s">
        <v>430</v>
      </c>
      <c r="CO19" s="15" t="s">
        <v>430</v>
      </c>
      <c r="CP19" s="15" t="s">
        <v>432</v>
      </c>
      <c r="CQ19" s="6" t="s">
        <v>433</v>
      </c>
      <c r="CR19" s="15"/>
      <c r="CS19" s="6" t="s">
        <v>426</v>
      </c>
      <c r="CT19" s="6" t="s">
        <v>807</v>
      </c>
      <c r="CU19" s="6" t="s">
        <v>658</v>
      </c>
      <c r="CV19" s="6" t="s">
        <v>733</v>
      </c>
      <c r="CW19" s="6" t="s">
        <v>808</v>
      </c>
      <c r="CX19" s="15" t="s">
        <v>426</v>
      </c>
      <c r="CY19" s="6" t="s">
        <v>426</v>
      </c>
      <c r="CZ19" s="6" t="s">
        <v>552</v>
      </c>
      <c r="DA19" s="6" t="s">
        <v>662</v>
      </c>
      <c r="DB19" s="6" t="s">
        <v>656</v>
      </c>
      <c r="DC19" s="6" t="s">
        <v>809</v>
      </c>
      <c r="DD19" s="15" t="s">
        <v>662</v>
      </c>
      <c r="DE19" s="15" t="s">
        <v>436</v>
      </c>
      <c r="DF19" s="6" t="s">
        <v>522</v>
      </c>
      <c r="DG19" s="6">
        <v>0</v>
      </c>
      <c r="DH19" s="6">
        <v>1</v>
      </c>
      <c r="DI19" s="6">
        <v>0</v>
      </c>
      <c r="DJ19" s="6">
        <v>0</v>
      </c>
      <c r="DK19" s="6">
        <v>0</v>
      </c>
      <c r="DL19" s="6">
        <v>0</v>
      </c>
      <c r="DM19" s="6"/>
      <c r="DN19" s="6"/>
      <c r="DO19" s="6"/>
      <c r="DP19" s="6"/>
      <c r="DQ19" s="6"/>
      <c r="DR19" s="6"/>
      <c r="DS19" s="6"/>
      <c r="DT19" s="66"/>
      <c r="DU19" s="6" t="s">
        <v>438</v>
      </c>
      <c r="DV19" s="6" t="s">
        <v>426</v>
      </c>
      <c r="DW19" s="6" t="s">
        <v>490</v>
      </c>
      <c r="DX19" s="6" t="s">
        <v>440</v>
      </c>
      <c r="DY19" s="6"/>
      <c r="DZ19" s="6" t="s">
        <v>810</v>
      </c>
      <c r="EA19" s="6">
        <v>0</v>
      </c>
      <c r="EB19" s="6">
        <v>1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/>
      <c r="EJ19" s="6" t="s">
        <v>811</v>
      </c>
      <c r="EK19" s="6">
        <v>1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/>
      <c r="EU19" s="6" t="s">
        <v>443</v>
      </c>
      <c r="EV19" s="6" t="s">
        <v>616</v>
      </c>
      <c r="EW19" s="6"/>
      <c r="EX19" s="6" t="s">
        <v>445</v>
      </c>
      <c r="EY19" s="6">
        <v>0</v>
      </c>
      <c r="EZ19" s="6">
        <v>0</v>
      </c>
      <c r="FA19" s="6">
        <v>1</v>
      </c>
      <c r="FB19" s="6">
        <v>0</v>
      </c>
      <c r="FC19" s="6">
        <v>0</v>
      </c>
      <c r="FD19" s="6">
        <v>0</v>
      </c>
      <c r="FE19" s="6"/>
      <c r="FF19" s="6">
        <v>0</v>
      </c>
      <c r="FG19" s="6"/>
      <c r="FH19" s="6" t="s">
        <v>812</v>
      </c>
      <c r="FI19" s="6">
        <v>1</v>
      </c>
      <c r="FJ19" s="6"/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/>
      <c r="FQ19" s="6">
        <v>0</v>
      </c>
      <c r="FR19" s="6">
        <v>0</v>
      </c>
      <c r="FS19" s="6"/>
      <c r="FT19" s="6" t="s">
        <v>556</v>
      </c>
      <c r="FU19" s="6" t="s">
        <v>499</v>
      </c>
      <c r="FV19" s="6"/>
      <c r="FW19" s="6" t="s">
        <v>449</v>
      </c>
      <c r="FX19" s="15" t="s">
        <v>450</v>
      </c>
      <c r="FY19" s="6" t="s">
        <v>619</v>
      </c>
      <c r="FZ19" s="6"/>
      <c r="GA19" s="6" t="s">
        <v>450</v>
      </c>
      <c r="GB19" s="6" t="s">
        <v>501</v>
      </c>
      <c r="GC19" s="6" t="s">
        <v>453</v>
      </c>
      <c r="GD19" s="6"/>
      <c r="GE19" s="6" t="s">
        <v>454</v>
      </c>
      <c r="GF19" s="6" t="s">
        <v>813</v>
      </c>
      <c r="GG19" s="6" t="s">
        <v>456</v>
      </c>
      <c r="GH19" s="15" t="s">
        <v>814</v>
      </c>
      <c r="GI19" s="6" t="s">
        <v>458</v>
      </c>
      <c r="GJ19" s="6" t="s">
        <v>815</v>
      </c>
      <c r="GK19" s="6" t="s">
        <v>460</v>
      </c>
      <c r="GL19" s="6" t="s">
        <v>461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1</v>
      </c>
      <c r="GS19" s="6">
        <v>0</v>
      </c>
      <c r="GT19" s="6"/>
      <c r="GU19" s="6" t="s">
        <v>534</v>
      </c>
      <c r="GV19" s="6" t="s">
        <v>559</v>
      </c>
      <c r="GW19" s="6" t="s">
        <v>464</v>
      </c>
      <c r="GX19" s="6">
        <v>1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/>
      <c r="HE19" s="6" t="s">
        <v>535</v>
      </c>
      <c r="HF19" s="6">
        <v>1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15"/>
      <c r="HM19" s="6" t="s">
        <v>505</v>
      </c>
      <c r="HN19" s="6"/>
      <c r="HO19" s="6" t="s">
        <v>816</v>
      </c>
      <c r="HP19" s="6" t="s">
        <v>537</v>
      </c>
      <c r="HQ19" s="6" t="s">
        <v>817</v>
      </c>
      <c r="HR19" s="6" t="s">
        <v>818</v>
      </c>
      <c r="HS19" s="6" t="s">
        <v>470</v>
      </c>
      <c r="HT19" s="6">
        <v>0</v>
      </c>
      <c r="HU19" s="6">
        <v>0</v>
      </c>
      <c r="HV19" s="6">
        <v>0</v>
      </c>
      <c r="HW19" s="6">
        <v>0</v>
      </c>
      <c r="HX19" s="6">
        <v>1</v>
      </c>
      <c r="HY19" s="6">
        <v>0</v>
      </c>
      <c r="HZ19" s="6"/>
      <c r="IA19" s="6" t="s">
        <v>541</v>
      </c>
      <c r="IB19" s="6">
        <v>0</v>
      </c>
      <c r="IC19" s="6">
        <v>0</v>
      </c>
      <c r="ID19" s="6">
        <v>1</v>
      </c>
      <c r="IE19" s="6">
        <v>0</v>
      </c>
      <c r="IF19" s="6">
        <v>0</v>
      </c>
      <c r="IG19" s="6">
        <v>0</v>
      </c>
      <c r="IH19" s="15" t="s">
        <v>819</v>
      </c>
      <c r="II19" s="6" t="s">
        <v>453</v>
      </c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 t="s">
        <v>426</v>
      </c>
      <c r="IX19" s="6">
        <v>1</v>
      </c>
      <c r="IY19" s="6" t="s">
        <v>474</v>
      </c>
      <c r="IZ19" s="6" t="s">
        <v>475</v>
      </c>
      <c r="JA19" s="6" t="s">
        <v>426</v>
      </c>
      <c r="JB19" s="6" t="s">
        <v>476</v>
      </c>
      <c r="JC19" s="6"/>
      <c r="JD19" s="6"/>
      <c r="JE19" s="6"/>
      <c r="JF19" s="6"/>
      <c r="JG19" s="6"/>
      <c r="JH19" s="6"/>
      <c r="JI19" s="6"/>
      <c r="JJ19" s="6"/>
      <c r="JK19" s="6" t="s">
        <v>453</v>
      </c>
      <c r="JL19" s="6"/>
      <c r="JM19" s="6"/>
      <c r="JN19" s="6"/>
      <c r="JO19" s="6"/>
      <c r="JP19" s="6"/>
      <c r="JQ19" s="6"/>
      <c r="JR19" s="6"/>
      <c r="JS19" s="6"/>
      <c r="JT19" s="6"/>
      <c r="JU19" s="6" t="s">
        <v>511</v>
      </c>
      <c r="JV19" s="15"/>
      <c r="JW19" s="94" t="s">
        <v>820</v>
      </c>
      <c r="JX19" s="6" t="s">
        <v>821</v>
      </c>
      <c r="JY19" s="6">
        <v>0.8455571</v>
      </c>
      <c r="JZ19" s="6">
        <v>34.7332602</v>
      </c>
      <c r="KA19" s="6">
        <v>1910.1</v>
      </c>
      <c r="KB19" s="15">
        <v>3.86</v>
      </c>
      <c r="KC19" s="15"/>
    </row>
    <row r="20" spans="1:289">
      <c r="A20" s="6" t="s">
        <v>419</v>
      </c>
      <c r="B20" s="6" t="s">
        <v>420</v>
      </c>
      <c r="C20" s="6" t="s">
        <v>421</v>
      </c>
      <c r="D20" s="6" t="s">
        <v>421</v>
      </c>
      <c r="E20" s="6" t="s">
        <v>822</v>
      </c>
      <c r="F20" s="8" t="s">
        <v>483</v>
      </c>
      <c r="G20" s="6" t="s">
        <v>424</v>
      </c>
      <c r="H20" s="6" t="s">
        <v>425</v>
      </c>
      <c r="I20" s="15"/>
      <c r="J20" s="6" t="s">
        <v>426</v>
      </c>
      <c r="K20" s="6" t="s">
        <v>426</v>
      </c>
      <c r="L20" s="6" t="s">
        <v>426</v>
      </c>
      <c r="M20" s="6" t="s">
        <v>426</v>
      </c>
      <c r="N20" s="6" t="s">
        <v>426</v>
      </c>
      <c r="O20" s="6" t="s">
        <v>426</v>
      </c>
      <c r="P20" s="6" t="s">
        <v>426</v>
      </c>
      <c r="Q20" s="6" t="s">
        <v>426</v>
      </c>
      <c r="R20" s="6" t="s">
        <v>426</v>
      </c>
      <c r="S20" s="6" t="s">
        <v>426</v>
      </c>
      <c r="T20" s="6" t="s">
        <v>426</v>
      </c>
      <c r="U20" s="6" t="s">
        <v>426</v>
      </c>
      <c r="V20" s="6" t="s">
        <v>426</v>
      </c>
      <c r="W20" s="6" t="s">
        <v>426</v>
      </c>
      <c r="X20" s="6" t="s">
        <v>426</v>
      </c>
      <c r="Y20" s="6" t="s">
        <v>426</v>
      </c>
      <c r="Z20" s="6" t="s">
        <v>426</v>
      </c>
      <c r="AA20" s="6" t="s">
        <v>426</v>
      </c>
      <c r="AB20" s="6" t="s">
        <v>426</v>
      </c>
      <c r="AC20" s="15" t="s">
        <v>426</v>
      </c>
      <c r="AD20" s="6" t="s">
        <v>427</v>
      </c>
      <c r="AE20" s="6">
        <v>0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0</v>
      </c>
      <c r="AM20" s="6"/>
      <c r="AN20" s="15"/>
      <c r="AO20" s="6" t="s">
        <v>426</v>
      </c>
      <c r="AP20" s="6" t="s">
        <v>683</v>
      </c>
      <c r="AQ20" s="6" t="s">
        <v>426</v>
      </c>
      <c r="AR20" s="6" t="s">
        <v>823</v>
      </c>
      <c r="AS20" s="6" t="s">
        <v>426</v>
      </c>
      <c r="AT20" s="6">
        <v>1</v>
      </c>
      <c r="AU20" s="6" t="s">
        <v>426</v>
      </c>
      <c r="AV20" s="6">
        <v>1</v>
      </c>
      <c r="AW20" s="6" t="s">
        <v>426</v>
      </c>
      <c r="AX20" s="6">
        <v>1</v>
      </c>
      <c r="AY20" s="6" t="s">
        <v>426</v>
      </c>
      <c r="AZ20" s="6">
        <v>1</v>
      </c>
      <c r="BA20" s="6" t="s">
        <v>426</v>
      </c>
      <c r="BB20" s="6">
        <v>1</v>
      </c>
      <c r="BC20" s="6" t="s">
        <v>426</v>
      </c>
      <c r="BD20" s="6">
        <v>1</v>
      </c>
      <c r="BE20" s="6" t="s">
        <v>426</v>
      </c>
      <c r="BF20" s="6">
        <v>5</v>
      </c>
      <c r="BG20" s="6" t="s">
        <v>426</v>
      </c>
      <c r="BH20" s="6">
        <v>1</v>
      </c>
      <c r="BI20" s="6" t="s">
        <v>426</v>
      </c>
      <c r="BJ20" s="6">
        <v>1</v>
      </c>
      <c r="BK20" s="6" t="s">
        <v>426</v>
      </c>
      <c r="BL20" s="6">
        <v>1</v>
      </c>
      <c r="BM20" s="6" t="s">
        <v>426</v>
      </c>
      <c r="BN20" s="6">
        <v>6</v>
      </c>
      <c r="BO20" s="6" t="s">
        <v>426</v>
      </c>
      <c r="BP20" s="6">
        <v>1</v>
      </c>
      <c r="BQ20" s="6" t="s">
        <v>426</v>
      </c>
      <c r="BR20" s="6">
        <v>200</v>
      </c>
      <c r="BS20" s="6" t="s">
        <v>426</v>
      </c>
      <c r="BT20" s="6">
        <v>5</v>
      </c>
      <c r="BU20" s="6" t="s">
        <v>426</v>
      </c>
      <c r="BV20" s="15">
        <v>1</v>
      </c>
      <c r="BW20" s="15" t="s">
        <v>428</v>
      </c>
      <c r="BX20" s="15" t="s">
        <v>429</v>
      </c>
      <c r="BY20" s="6" t="s">
        <v>430</v>
      </c>
      <c r="BZ20" s="6" t="s">
        <v>430</v>
      </c>
      <c r="CA20" s="6" t="s">
        <v>430</v>
      </c>
      <c r="CB20" s="6" t="s">
        <v>431</v>
      </c>
      <c r="CC20" s="6" t="s">
        <v>430</v>
      </c>
      <c r="CD20" s="6" t="s">
        <v>431</v>
      </c>
      <c r="CE20" s="6" t="s">
        <v>431</v>
      </c>
      <c r="CF20" s="6" t="s">
        <v>430</v>
      </c>
      <c r="CG20" s="6" t="s">
        <v>431</v>
      </c>
      <c r="CH20" s="6" t="s">
        <v>431</v>
      </c>
      <c r="CI20" s="6" t="s">
        <v>430</v>
      </c>
      <c r="CJ20" s="6" t="s">
        <v>430</v>
      </c>
      <c r="CK20" s="6" t="s">
        <v>430</v>
      </c>
      <c r="CL20" s="6" t="s">
        <v>430</v>
      </c>
      <c r="CM20" s="6" t="s">
        <v>430</v>
      </c>
      <c r="CN20" s="6" t="s">
        <v>431</v>
      </c>
      <c r="CO20" s="15" t="s">
        <v>431</v>
      </c>
      <c r="CP20" s="15" t="s">
        <v>432</v>
      </c>
      <c r="CQ20" s="6" t="s">
        <v>686</v>
      </c>
      <c r="CR20" s="15"/>
      <c r="CS20" s="6" t="s">
        <v>426</v>
      </c>
      <c r="CT20" s="6" t="s">
        <v>824</v>
      </c>
      <c r="CU20" s="6" t="s">
        <v>825</v>
      </c>
      <c r="CV20" s="6" t="s">
        <v>826</v>
      </c>
      <c r="CW20" s="6" t="s">
        <v>827</v>
      </c>
      <c r="CX20" s="15" t="s">
        <v>426</v>
      </c>
      <c r="CY20" s="6" t="s">
        <v>426</v>
      </c>
      <c r="CZ20" s="6" t="s">
        <v>828</v>
      </c>
      <c r="DA20" s="6" t="s">
        <v>829</v>
      </c>
      <c r="DB20" s="6" t="s">
        <v>830</v>
      </c>
      <c r="DC20" s="6" t="s">
        <v>831</v>
      </c>
      <c r="DD20" s="15" t="s">
        <v>831</v>
      </c>
      <c r="DE20" s="15" t="s">
        <v>521</v>
      </c>
      <c r="DF20" s="6" t="s">
        <v>437</v>
      </c>
      <c r="DG20" s="6">
        <v>1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/>
      <c r="DN20" s="6"/>
      <c r="DO20" s="6"/>
      <c r="DP20" s="6"/>
      <c r="DQ20" s="6"/>
      <c r="DR20" s="6"/>
      <c r="DS20" s="6"/>
      <c r="DT20" s="66"/>
      <c r="DU20" s="6" t="s">
        <v>438</v>
      </c>
      <c r="DV20" s="6" t="s">
        <v>426</v>
      </c>
      <c r="DW20" s="6" t="s">
        <v>439</v>
      </c>
      <c r="DX20" s="6" t="s">
        <v>491</v>
      </c>
      <c r="DY20" s="6"/>
      <c r="DZ20" s="6" t="s">
        <v>768</v>
      </c>
      <c r="EA20" s="6">
        <v>1</v>
      </c>
      <c r="EB20" s="6">
        <v>1</v>
      </c>
      <c r="EC20" s="6">
        <v>1</v>
      </c>
      <c r="ED20" s="6">
        <v>1</v>
      </c>
      <c r="EE20" s="6">
        <v>1</v>
      </c>
      <c r="EF20" s="6">
        <v>0</v>
      </c>
      <c r="EG20" s="6">
        <v>0</v>
      </c>
      <c r="EH20" s="6">
        <v>0</v>
      </c>
      <c r="EI20" s="6"/>
      <c r="EJ20" s="6" t="s">
        <v>832</v>
      </c>
      <c r="EK20" s="6">
        <v>1</v>
      </c>
      <c r="EL20" s="6">
        <v>1</v>
      </c>
      <c r="EM20" s="6">
        <v>1</v>
      </c>
      <c r="EN20" s="6">
        <v>1</v>
      </c>
      <c r="EO20" s="6">
        <v>1</v>
      </c>
      <c r="EP20" s="6">
        <v>1</v>
      </c>
      <c r="EQ20" s="6">
        <v>0</v>
      </c>
      <c r="ER20" s="6">
        <v>0</v>
      </c>
      <c r="ES20" s="6">
        <v>0</v>
      </c>
      <c r="ET20" s="6"/>
      <c r="EU20" s="6" t="s">
        <v>494</v>
      </c>
      <c r="EV20" s="6" t="s">
        <v>444</v>
      </c>
      <c r="EW20" s="6"/>
      <c r="EX20" s="6" t="s">
        <v>445</v>
      </c>
      <c r="EY20" s="6">
        <v>0</v>
      </c>
      <c r="EZ20" s="6">
        <v>0</v>
      </c>
      <c r="FA20" s="6">
        <v>1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/>
      <c r="FH20" s="6" t="s">
        <v>833</v>
      </c>
      <c r="FI20" s="6">
        <v>1</v>
      </c>
      <c r="FJ20" s="6">
        <v>0</v>
      </c>
      <c r="FK20" s="6">
        <v>0</v>
      </c>
      <c r="FL20" s="6">
        <v>0</v>
      </c>
      <c r="FM20" s="6">
        <v>1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/>
      <c r="FT20" s="6" t="s">
        <v>447</v>
      </c>
      <c r="FU20" s="6" t="s">
        <v>448</v>
      </c>
      <c r="FV20" s="6"/>
      <c r="FW20" s="6" t="s">
        <v>449</v>
      </c>
      <c r="FX20" s="15" t="s">
        <v>528</v>
      </c>
      <c r="FY20" s="6" t="s">
        <v>529</v>
      </c>
      <c r="FZ20" s="6"/>
      <c r="GA20" s="6" t="s">
        <v>528</v>
      </c>
      <c r="GB20" s="6" t="s">
        <v>452</v>
      </c>
      <c r="GC20" s="6" t="s">
        <v>453</v>
      </c>
      <c r="GD20" s="6"/>
      <c r="GE20" s="6" t="s">
        <v>454</v>
      </c>
      <c r="GF20" s="6" t="s">
        <v>834</v>
      </c>
      <c r="GG20" s="6" t="s">
        <v>456</v>
      </c>
      <c r="GH20" s="15" t="s">
        <v>835</v>
      </c>
      <c r="GI20" s="6" t="s">
        <v>701</v>
      </c>
      <c r="GJ20" s="6" t="s">
        <v>836</v>
      </c>
      <c r="GK20" s="6" t="s">
        <v>460</v>
      </c>
      <c r="GL20" s="6" t="s">
        <v>704</v>
      </c>
      <c r="GM20" s="6">
        <v>0</v>
      </c>
      <c r="GN20" s="6">
        <v>0</v>
      </c>
      <c r="GO20" s="6">
        <v>0</v>
      </c>
      <c r="GP20" s="6">
        <v>1</v>
      </c>
      <c r="GQ20" s="6">
        <v>0</v>
      </c>
      <c r="GR20" s="6">
        <v>0</v>
      </c>
      <c r="GS20" s="6">
        <v>0</v>
      </c>
      <c r="GT20" s="6"/>
      <c r="GU20" s="6" t="s">
        <v>462</v>
      </c>
      <c r="GV20" s="6" t="s">
        <v>463</v>
      </c>
      <c r="GW20" s="6" t="s">
        <v>464</v>
      </c>
      <c r="GX20" s="6">
        <v>1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/>
      <c r="HE20" s="6" t="s">
        <v>535</v>
      </c>
      <c r="HF20" s="6">
        <v>1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15"/>
      <c r="HM20" s="6" t="s">
        <v>466</v>
      </c>
      <c r="HN20" s="6"/>
      <c r="HO20" s="6" t="s">
        <v>837</v>
      </c>
      <c r="HP20" s="6" t="s">
        <v>468</v>
      </c>
      <c r="HQ20" s="6"/>
      <c r="HR20" s="6" t="s">
        <v>838</v>
      </c>
      <c r="HS20" s="6" t="s">
        <v>470</v>
      </c>
      <c r="HT20" s="6">
        <v>0</v>
      </c>
      <c r="HU20" s="6">
        <v>0</v>
      </c>
      <c r="HV20" s="6">
        <v>0</v>
      </c>
      <c r="HW20" s="6">
        <v>0</v>
      </c>
      <c r="HX20" s="6">
        <v>1</v>
      </c>
      <c r="HY20" s="6">
        <v>0</v>
      </c>
      <c r="HZ20" s="6"/>
      <c r="IA20" s="6" t="s">
        <v>541</v>
      </c>
      <c r="IB20" s="6">
        <v>0</v>
      </c>
      <c r="IC20" s="6">
        <v>0</v>
      </c>
      <c r="ID20" s="6">
        <v>1</v>
      </c>
      <c r="IE20" s="6">
        <v>0</v>
      </c>
      <c r="IF20" s="6">
        <v>0</v>
      </c>
      <c r="IG20" s="6">
        <v>0</v>
      </c>
      <c r="IH20" s="15" t="s">
        <v>839</v>
      </c>
      <c r="II20" s="6" t="s">
        <v>426</v>
      </c>
      <c r="IJ20" s="6" t="s">
        <v>472</v>
      </c>
      <c r="IK20" s="6">
        <v>1</v>
      </c>
      <c r="IL20" s="6">
        <v>0</v>
      </c>
      <c r="IM20" s="6">
        <v>0</v>
      </c>
      <c r="IN20" s="6"/>
      <c r="IO20" s="6" t="s">
        <v>473</v>
      </c>
      <c r="IP20" s="6">
        <v>1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/>
      <c r="IW20" s="6" t="s">
        <v>426</v>
      </c>
      <c r="IX20" s="6">
        <v>1</v>
      </c>
      <c r="IY20" s="6" t="s">
        <v>474</v>
      </c>
      <c r="IZ20" s="6" t="s">
        <v>475</v>
      </c>
      <c r="JA20" s="6" t="s">
        <v>426</v>
      </c>
      <c r="JB20" s="6" t="s">
        <v>476</v>
      </c>
      <c r="JC20" s="6"/>
      <c r="JD20" s="6"/>
      <c r="JE20" s="6"/>
      <c r="JF20" s="6"/>
      <c r="JG20" s="6"/>
      <c r="JH20" s="6"/>
      <c r="JI20" s="6"/>
      <c r="JJ20" s="6"/>
      <c r="JK20" s="6" t="s">
        <v>426</v>
      </c>
      <c r="JL20" s="6" t="s">
        <v>426</v>
      </c>
      <c r="JM20" s="6"/>
      <c r="JN20" s="6"/>
      <c r="JO20" s="6"/>
      <c r="JP20" s="6"/>
      <c r="JQ20" s="6"/>
      <c r="JR20" s="6"/>
      <c r="JS20" s="6"/>
      <c r="JT20" s="6"/>
      <c r="JU20" s="6" t="s">
        <v>477</v>
      </c>
      <c r="JV20" s="15"/>
      <c r="JW20" s="94" t="s">
        <v>840</v>
      </c>
      <c r="JX20" s="6" t="s">
        <v>841</v>
      </c>
      <c r="JY20" s="6">
        <v>0.840035</v>
      </c>
      <c r="JZ20" s="6">
        <v>34.7538884</v>
      </c>
      <c r="KA20" s="6">
        <v>1720.5</v>
      </c>
      <c r="KB20" s="15">
        <v>2.2</v>
      </c>
      <c r="KC20" s="15"/>
    </row>
    <row r="21" spans="1:289">
      <c r="A21" s="6" t="s">
        <v>755</v>
      </c>
      <c r="B21" s="6" t="s">
        <v>420</v>
      </c>
      <c r="C21" s="6" t="s">
        <v>421</v>
      </c>
      <c r="D21" s="6" t="s">
        <v>842</v>
      </c>
      <c r="E21" s="6" t="s">
        <v>843</v>
      </c>
      <c r="F21" s="8" t="s">
        <v>423</v>
      </c>
      <c r="G21" s="6" t="s">
        <v>567</v>
      </c>
      <c r="H21" s="6" t="s">
        <v>517</v>
      </c>
      <c r="I21" s="15"/>
      <c r="J21" s="6" t="s">
        <v>426</v>
      </c>
      <c r="K21" s="6" t="s">
        <v>426</v>
      </c>
      <c r="L21" s="6" t="s">
        <v>426</v>
      </c>
      <c r="M21" s="6" t="s">
        <v>426</v>
      </c>
      <c r="N21" s="6" t="s">
        <v>426</v>
      </c>
      <c r="O21" s="6" t="s">
        <v>426</v>
      </c>
      <c r="P21" s="6" t="s">
        <v>426</v>
      </c>
      <c r="Q21" s="6" t="s">
        <v>426</v>
      </c>
      <c r="R21" s="6" t="s">
        <v>426</v>
      </c>
      <c r="S21" s="6" t="s">
        <v>426</v>
      </c>
      <c r="T21" s="6" t="s">
        <v>426</v>
      </c>
      <c r="U21" s="6" t="s">
        <v>426</v>
      </c>
      <c r="V21" s="6" t="s">
        <v>453</v>
      </c>
      <c r="W21" s="6" t="s">
        <v>453</v>
      </c>
      <c r="X21" s="6" t="s">
        <v>426</v>
      </c>
      <c r="Y21" s="6" t="s">
        <v>426</v>
      </c>
      <c r="Z21" s="6" t="s">
        <v>426</v>
      </c>
      <c r="AA21" s="6" t="s">
        <v>426</v>
      </c>
      <c r="AB21" s="6" t="s">
        <v>426</v>
      </c>
      <c r="AC21" s="15" t="s">
        <v>426</v>
      </c>
      <c r="AD21" s="6" t="s">
        <v>427</v>
      </c>
      <c r="AE21" s="6">
        <v>0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/>
      <c r="AN21" s="15"/>
      <c r="AO21" s="6" t="s">
        <v>426</v>
      </c>
      <c r="AP21" s="6" t="s">
        <v>766</v>
      </c>
      <c r="AQ21" s="6" t="s">
        <v>426</v>
      </c>
      <c r="AR21" s="6" t="s">
        <v>766</v>
      </c>
      <c r="AS21" s="6" t="s">
        <v>426</v>
      </c>
      <c r="AT21" s="6">
        <v>1</v>
      </c>
      <c r="AU21" s="6" t="s">
        <v>453</v>
      </c>
      <c r="AV21" s="6"/>
      <c r="AW21" s="6" t="s">
        <v>426</v>
      </c>
      <c r="AX21" s="6">
        <v>1</v>
      </c>
      <c r="AY21" s="6" t="s">
        <v>426</v>
      </c>
      <c r="AZ21" s="6">
        <v>1</v>
      </c>
      <c r="BA21" s="6" t="s">
        <v>453</v>
      </c>
      <c r="BB21" s="6"/>
      <c r="BC21" s="6" t="s">
        <v>426</v>
      </c>
      <c r="BD21" s="6">
        <v>1</v>
      </c>
      <c r="BE21" s="6" t="s">
        <v>453</v>
      </c>
      <c r="BF21" s="6"/>
      <c r="BG21" s="6" t="s">
        <v>426</v>
      </c>
      <c r="BH21" s="6">
        <v>1</v>
      </c>
      <c r="BI21" s="6" t="s">
        <v>426</v>
      </c>
      <c r="BJ21" s="6">
        <v>1</v>
      </c>
      <c r="BK21" s="6" t="s">
        <v>426</v>
      </c>
      <c r="BL21" s="6">
        <v>1</v>
      </c>
      <c r="BM21" s="6" t="s">
        <v>426</v>
      </c>
      <c r="BN21" s="6">
        <v>50</v>
      </c>
      <c r="BO21" s="6" t="s">
        <v>426</v>
      </c>
      <c r="BP21" s="6">
        <v>1</v>
      </c>
      <c r="BQ21" s="6" t="s">
        <v>426</v>
      </c>
      <c r="BR21" s="6">
        <v>500</v>
      </c>
      <c r="BS21" s="6" t="s">
        <v>426</v>
      </c>
      <c r="BT21" s="6">
        <v>20</v>
      </c>
      <c r="BU21" s="6" t="s">
        <v>426</v>
      </c>
      <c r="BV21" s="15">
        <v>1</v>
      </c>
      <c r="BW21" s="15" t="s">
        <v>518</v>
      </c>
      <c r="BX21" s="15" t="s">
        <v>429</v>
      </c>
      <c r="BY21" s="6" t="s">
        <v>430</v>
      </c>
      <c r="BZ21" s="6" t="s">
        <v>430</v>
      </c>
      <c r="CA21" s="6" t="s">
        <v>430</v>
      </c>
      <c r="CB21" s="6" t="s">
        <v>430</v>
      </c>
      <c r="CC21" s="6" t="s">
        <v>430</v>
      </c>
      <c r="CD21" s="6" t="s">
        <v>430</v>
      </c>
      <c r="CE21" s="6" t="s">
        <v>486</v>
      </c>
      <c r="CF21" s="6" t="s">
        <v>430</v>
      </c>
      <c r="CG21" s="6" t="s">
        <v>486</v>
      </c>
      <c r="CH21" s="6" t="s">
        <v>430</v>
      </c>
      <c r="CI21" s="6" t="s">
        <v>430</v>
      </c>
      <c r="CJ21" s="6" t="s">
        <v>430</v>
      </c>
      <c r="CK21" s="6" t="s">
        <v>430</v>
      </c>
      <c r="CL21" s="6" t="s">
        <v>430</v>
      </c>
      <c r="CM21" s="6" t="s">
        <v>430</v>
      </c>
      <c r="CN21" s="6" t="s">
        <v>430</v>
      </c>
      <c r="CO21" s="15" t="s">
        <v>430</v>
      </c>
      <c r="CP21" s="15" t="s">
        <v>432</v>
      </c>
      <c r="CQ21" s="6" t="s">
        <v>433</v>
      </c>
      <c r="CR21" s="15"/>
      <c r="CS21" s="6" t="s">
        <v>426</v>
      </c>
      <c r="CT21" s="6" t="s">
        <v>844</v>
      </c>
      <c r="CU21" s="6" t="s">
        <v>845</v>
      </c>
      <c r="CV21" s="6" t="s">
        <v>846</v>
      </c>
      <c r="CW21" s="6" t="s">
        <v>847</v>
      </c>
      <c r="CX21" s="15" t="s">
        <v>426</v>
      </c>
      <c r="CY21" s="6" t="s">
        <v>426</v>
      </c>
      <c r="CZ21" s="6" t="s">
        <v>848</v>
      </c>
      <c r="DA21" s="6" t="s">
        <v>761</v>
      </c>
      <c r="DB21" s="6" t="s">
        <v>829</v>
      </c>
      <c r="DC21" s="6" t="s">
        <v>829</v>
      </c>
      <c r="DD21" s="15" t="s">
        <v>849</v>
      </c>
      <c r="DE21" s="15" t="s">
        <v>436</v>
      </c>
      <c r="DF21" s="6" t="s">
        <v>522</v>
      </c>
      <c r="DG21" s="6">
        <v>0</v>
      </c>
      <c r="DH21" s="6">
        <v>1</v>
      </c>
      <c r="DI21" s="6">
        <v>0</v>
      </c>
      <c r="DJ21" s="6">
        <v>0</v>
      </c>
      <c r="DK21" s="6">
        <v>0</v>
      </c>
      <c r="DL21" s="6">
        <v>0</v>
      </c>
      <c r="DM21" s="6"/>
      <c r="DN21" s="6"/>
      <c r="DO21" s="6"/>
      <c r="DP21" s="6"/>
      <c r="DQ21" s="6"/>
      <c r="DR21" s="6"/>
      <c r="DS21" s="6"/>
      <c r="DT21" s="66"/>
      <c r="DU21" s="6" t="s">
        <v>438</v>
      </c>
      <c r="DV21" s="6" t="s">
        <v>426</v>
      </c>
      <c r="DW21" s="6" t="s">
        <v>439</v>
      </c>
      <c r="DX21" s="6" t="s">
        <v>440</v>
      </c>
      <c r="DY21" s="6"/>
      <c r="DZ21" s="6" t="s">
        <v>850</v>
      </c>
      <c r="EA21" s="6">
        <v>1</v>
      </c>
      <c r="EB21" s="6">
        <v>1</v>
      </c>
      <c r="EC21" s="6">
        <v>1</v>
      </c>
      <c r="ED21" s="6">
        <v>1</v>
      </c>
      <c r="EE21" s="6">
        <v>1</v>
      </c>
      <c r="EF21" s="6">
        <v>0</v>
      </c>
      <c r="EG21" s="6">
        <v>0</v>
      </c>
      <c r="EH21" s="6">
        <v>0</v>
      </c>
      <c r="EI21" s="6"/>
      <c r="EJ21" s="6" t="s">
        <v>851</v>
      </c>
      <c r="EK21" s="6">
        <v>1</v>
      </c>
      <c r="EL21" s="6">
        <v>1</v>
      </c>
      <c r="EM21" s="6">
        <v>1</v>
      </c>
      <c r="EN21" s="6">
        <v>1</v>
      </c>
      <c r="EO21" s="6">
        <v>1</v>
      </c>
      <c r="EP21" s="6">
        <v>0</v>
      </c>
      <c r="EQ21" s="6">
        <v>0</v>
      </c>
      <c r="ER21" s="6">
        <v>0</v>
      </c>
      <c r="ES21" s="6">
        <v>0</v>
      </c>
      <c r="ET21" s="6"/>
      <c r="EU21" s="6" t="s">
        <v>443</v>
      </c>
      <c r="EV21" s="6" t="s">
        <v>554</v>
      </c>
      <c r="EW21" s="6"/>
      <c r="EX21" s="6" t="s">
        <v>526</v>
      </c>
      <c r="EY21" s="6">
        <v>1</v>
      </c>
      <c r="EZ21" s="6">
        <v>1</v>
      </c>
      <c r="FA21" s="6">
        <v>1</v>
      </c>
      <c r="FB21" s="6">
        <v>1</v>
      </c>
      <c r="FC21" s="6">
        <v>0</v>
      </c>
      <c r="FD21" s="6">
        <v>0</v>
      </c>
      <c r="FE21" s="6">
        <v>0</v>
      </c>
      <c r="FF21" s="6">
        <v>0</v>
      </c>
      <c r="FG21" s="6"/>
      <c r="FH21" s="6" t="s">
        <v>852</v>
      </c>
      <c r="FI21" s="6">
        <v>1</v>
      </c>
      <c r="FJ21" s="6">
        <v>0</v>
      </c>
      <c r="FK21" s="6">
        <v>1</v>
      </c>
      <c r="FL21" s="6">
        <v>1</v>
      </c>
      <c r="FM21" s="6">
        <v>0</v>
      </c>
      <c r="FN21" s="6">
        <v>0</v>
      </c>
      <c r="FO21" s="6">
        <v>0</v>
      </c>
      <c r="FP21" s="6">
        <v>0</v>
      </c>
      <c r="FQ21" s="6">
        <v>1</v>
      </c>
      <c r="FR21" s="6">
        <v>0</v>
      </c>
      <c r="FS21" s="6"/>
      <c r="FT21" s="6" t="s">
        <v>717</v>
      </c>
      <c r="FU21" s="6" t="s">
        <v>499</v>
      </c>
      <c r="FV21" s="6"/>
      <c r="FW21" s="6" t="s">
        <v>449</v>
      </c>
      <c r="FX21" s="15" t="s">
        <v>450</v>
      </c>
      <c r="FY21" s="6" t="s">
        <v>451</v>
      </c>
      <c r="FZ21" s="6"/>
      <c r="GA21" s="6" t="s">
        <v>450</v>
      </c>
      <c r="GB21" s="6" t="s">
        <v>501</v>
      </c>
      <c r="GC21" s="6" t="s">
        <v>426</v>
      </c>
      <c r="GD21" s="6" t="s">
        <v>853</v>
      </c>
      <c r="GE21" s="6" t="s">
        <v>454</v>
      </c>
      <c r="GF21" s="6" t="s">
        <v>854</v>
      </c>
      <c r="GG21" s="6" t="s">
        <v>456</v>
      </c>
      <c r="GH21" s="15" t="s">
        <v>855</v>
      </c>
      <c r="GI21" s="6" t="s">
        <v>458</v>
      </c>
      <c r="GJ21" s="6" t="s">
        <v>856</v>
      </c>
      <c r="GK21" s="6" t="s">
        <v>460</v>
      </c>
      <c r="GL21" s="6" t="s">
        <v>857</v>
      </c>
      <c r="GM21" s="6">
        <v>0</v>
      </c>
      <c r="GN21" s="6">
        <v>1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/>
      <c r="GU21" s="6" t="s">
        <v>534</v>
      </c>
      <c r="GV21" s="6" t="s">
        <v>595</v>
      </c>
      <c r="GW21" s="6" t="s">
        <v>464</v>
      </c>
      <c r="GX21" s="6">
        <v>1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/>
      <c r="HE21" s="6" t="s">
        <v>535</v>
      </c>
      <c r="HF21" s="6">
        <v>1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15"/>
      <c r="HM21" s="6" t="s">
        <v>505</v>
      </c>
      <c r="HN21" s="6"/>
      <c r="HO21" s="6" t="s">
        <v>858</v>
      </c>
      <c r="HP21" s="6" t="s">
        <v>648</v>
      </c>
      <c r="HQ21" s="6"/>
      <c r="HR21" s="6" t="s">
        <v>859</v>
      </c>
      <c r="HS21" s="6" t="s">
        <v>860</v>
      </c>
      <c r="HT21" s="6">
        <v>0</v>
      </c>
      <c r="HU21" s="6">
        <v>0</v>
      </c>
      <c r="HV21" s="6">
        <v>1</v>
      </c>
      <c r="HW21" s="6">
        <v>1</v>
      </c>
      <c r="HX21" s="6">
        <v>1</v>
      </c>
      <c r="HY21" s="6">
        <v>0</v>
      </c>
      <c r="HZ21" s="6"/>
      <c r="IA21" s="6" t="s">
        <v>111</v>
      </c>
      <c r="IB21" s="6">
        <v>1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15" t="s">
        <v>861</v>
      </c>
      <c r="II21" s="6" t="s">
        <v>426</v>
      </c>
      <c r="IJ21" s="6" t="s">
        <v>472</v>
      </c>
      <c r="IK21" s="6">
        <v>1</v>
      </c>
      <c r="IL21" s="6">
        <v>0</v>
      </c>
      <c r="IM21" s="6">
        <v>0</v>
      </c>
      <c r="IN21" s="6"/>
      <c r="IO21" s="6" t="s">
        <v>473</v>
      </c>
      <c r="IP21" s="6">
        <v>1</v>
      </c>
      <c r="IQ21" s="6">
        <v>0</v>
      </c>
      <c r="IR21" s="6">
        <v>0</v>
      </c>
      <c r="IS21" s="6">
        <v>0</v>
      </c>
      <c r="IT21" s="6">
        <v>0</v>
      </c>
      <c r="IU21" s="6">
        <v>0</v>
      </c>
      <c r="IV21" s="6"/>
      <c r="IW21" s="6" t="s">
        <v>426</v>
      </c>
      <c r="IX21" s="6">
        <v>1</v>
      </c>
      <c r="IY21" s="6" t="s">
        <v>474</v>
      </c>
      <c r="IZ21" s="6" t="s">
        <v>475</v>
      </c>
      <c r="JA21" s="6" t="s">
        <v>426</v>
      </c>
      <c r="JB21" s="6" t="s">
        <v>476</v>
      </c>
      <c r="JC21" s="6"/>
      <c r="JD21" s="6"/>
      <c r="JE21" s="6"/>
      <c r="JF21" s="6"/>
      <c r="JG21" s="6"/>
      <c r="JH21" s="6"/>
      <c r="JI21" s="6"/>
      <c r="JJ21" s="6"/>
      <c r="JK21" s="6" t="s">
        <v>426</v>
      </c>
      <c r="JL21" s="6" t="s">
        <v>426</v>
      </c>
      <c r="JM21" s="6"/>
      <c r="JN21" s="6"/>
      <c r="JO21" s="6"/>
      <c r="JP21" s="6"/>
      <c r="JQ21" s="6"/>
      <c r="JR21" s="6"/>
      <c r="JS21" s="6"/>
      <c r="JT21" s="6"/>
      <c r="JU21" s="6" t="s">
        <v>544</v>
      </c>
      <c r="JV21" s="15"/>
      <c r="JW21" s="94" t="s">
        <v>862</v>
      </c>
      <c r="JX21" s="6" t="s">
        <v>863</v>
      </c>
      <c r="JY21" s="6">
        <v>0.8403886</v>
      </c>
      <c r="JZ21" s="6">
        <v>34.7542841</v>
      </c>
      <c r="KA21" s="6">
        <v>1701.439</v>
      </c>
      <c r="KB21" s="15">
        <v>1.194</v>
      </c>
      <c r="KC21" s="15"/>
    </row>
    <row r="22" spans="1:289">
      <c r="A22" s="6" t="s">
        <v>864</v>
      </c>
      <c r="B22" s="6" t="s">
        <v>420</v>
      </c>
      <c r="C22" s="6" t="s">
        <v>421</v>
      </c>
      <c r="D22" s="6" t="s">
        <v>865</v>
      </c>
      <c r="E22" s="6" t="s">
        <v>866</v>
      </c>
      <c r="F22" s="8" t="s">
        <v>483</v>
      </c>
      <c r="G22" s="6" t="s">
        <v>424</v>
      </c>
      <c r="H22" s="6" t="s">
        <v>517</v>
      </c>
      <c r="I22" s="15"/>
      <c r="J22" s="6" t="s">
        <v>426</v>
      </c>
      <c r="K22" s="6" t="s">
        <v>453</v>
      </c>
      <c r="L22" s="6" t="s">
        <v>426</v>
      </c>
      <c r="M22" s="6" t="s">
        <v>426</v>
      </c>
      <c r="N22" s="6" t="s">
        <v>426</v>
      </c>
      <c r="O22" s="6" t="s">
        <v>426</v>
      </c>
      <c r="P22" s="6" t="s">
        <v>426</v>
      </c>
      <c r="Q22" s="6" t="s">
        <v>453</v>
      </c>
      <c r="R22" s="6" t="s">
        <v>426</v>
      </c>
      <c r="S22" s="6" t="s">
        <v>426</v>
      </c>
      <c r="T22" s="6" t="s">
        <v>426</v>
      </c>
      <c r="U22" s="6" t="s">
        <v>426</v>
      </c>
      <c r="V22" s="6" t="s">
        <v>426</v>
      </c>
      <c r="W22" s="6" t="s">
        <v>453</v>
      </c>
      <c r="X22" s="6" t="s">
        <v>426</v>
      </c>
      <c r="Y22" s="6" t="s">
        <v>453</v>
      </c>
      <c r="Z22" s="6" t="s">
        <v>426</v>
      </c>
      <c r="AA22" s="6" t="s">
        <v>453</v>
      </c>
      <c r="AB22" s="6" t="s">
        <v>426</v>
      </c>
      <c r="AC22" s="15" t="s">
        <v>426</v>
      </c>
      <c r="AD22" s="6" t="s">
        <v>711</v>
      </c>
      <c r="AE22" s="6">
        <v>0</v>
      </c>
      <c r="AF22" s="6">
        <v>0</v>
      </c>
      <c r="AG22" s="6">
        <v>0</v>
      </c>
      <c r="AH22" s="6">
        <v>1</v>
      </c>
      <c r="AI22" s="6">
        <v>0</v>
      </c>
      <c r="AJ22" s="6">
        <v>0</v>
      </c>
      <c r="AK22" s="6">
        <v>1</v>
      </c>
      <c r="AL22" s="6">
        <v>0</v>
      </c>
      <c r="AM22" s="6"/>
      <c r="AN22" s="15"/>
      <c r="AO22" s="6" t="s">
        <v>426</v>
      </c>
      <c r="AP22" s="6" t="s">
        <v>656</v>
      </c>
      <c r="AQ22" s="6" t="s">
        <v>426</v>
      </c>
      <c r="AR22" s="6" t="s">
        <v>656</v>
      </c>
      <c r="AS22" s="6" t="s">
        <v>426</v>
      </c>
      <c r="AT22" s="6">
        <v>0.1</v>
      </c>
      <c r="AU22" s="6" t="s">
        <v>426</v>
      </c>
      <c r="AV22" s="6">
        <v>0.2</v>
      </c>
      <c r="AW22" s="6" t="s">
        <v>426</v>
      </c>
      <c r="AX22" s="6">
        <v>0.6</v>
      </c>
      <c r="AY22" s="6" t="s">
        <v>426</v>
      </c>
      <c r="AZ22" s="6">
        <v>1</v>
      </c>
      <c r="BA22" s="6" t="s">
        <v>453</v>
      </c>
      <c r="BB22" s="6"/>
      <c r="BC22" s="6" t="s">
        <v>453</v>
      </c>
      <c r="BD22" s="6"/>
      <c r="BE22" s="6" t="s">
        <v>453</v>
      </c>
      <c r="BF22" s="6"/>
      <c r="BG22" s="6" t="s">
        <v>453</v>
      </c>
      <c r="BH22" s="6"/>
      <c r="BI22" s="6" t="s">
        <v>426</v>
      </c>
      <c r="BJ22" s="6">
        <v>0.2</v>
      </c>
      <c r="BK22" s="6" t="s">
        <v>426</v>
      </c>
      <c r="BL22" s="6">
        <v>0.4</v>
      </c>
      <c r="BM22" s="6" t="s">
        <v>453</v>
      </c>
      <c r="BN22" s="6"/>
      <c r="BO22" s="6" t="s">
        <v>453</v>
      </c>
      <c r="BP22" s="6"/>
      <c r="BQ22" s="6" t="s">
        <v>453</v>
      </c>
      <c r="BR22" s="6"/>
      <c r="BS22" s="6" t="s">
        <v>453</v>
      </c>
      <c r="BT22" s="6"/>
      <c r="BU22" s="6" t="s">
        <v>453</v>
      </c>
      <c r="BV22" s="15"/>
      <c r="BW22" s="15" t="s">
        <v>518</v>
      </c>
      <c r="BX22" s="15" t="s">
        <v>429</v>
      </c>
      <c r="BY22" s="6" t="s">
        <v>430</v>
      </c>
      <c r="BZ22" s="6" t="s">
        <v>430</v>
      </c>
      <c r="CA22" s="6" t="s">
        <v>430</v>
      </c>
      <c r="CB22" s="6" t="s">
        <v>431</v>
      </c>
      <c r="CC22" s="6" t="s">
        <v>430</v>
      </c>
      <c r="CD22" s="6" t="s">
        <v>430</v>
      </c>
      <c r="CE22" s="6" t="s">
        <v>487</v>
      </c>
      <c r="CF22" s="6" t="s">
        <v>609</v>
      </c>
      <c r="CG22" s="6" t="s">
        <v>487</v>
      </c>
      <c r="CH22" s="6" t="s">
        <v>431</v>
      </c>
      <c r="CI22" s="6" t="s">
        <v>430</v>
      </c>
      <c r="CJ22" s="6" t="s">
        <v>431</v>
      </c>
      <c r="CK22" s="6" t="s">
        <v>487</v>
      </c>
      <c r="CL22" s="6" t="s">
        <v>487</v>
      </c>
      <c r="CM22" s="6" t="s">
        <v>487</v>
      </c>
      <c r="CN22" s="6" t="s">
        <v>487</v>
      </c>
      <c r="CO22" s="15" t="s">
        <v>487</v>
      </c>
      <c r="CP22" s="15" t="s">
        <v>636</v>
      </c>
      <c r="CQ22" s="6" t="s">
        <v>433</v>
      </c>
      <c r="CR22" s="15"/>
      <c r="CS22" s="6" t="s">
        <v>426</v>
      </c>
      <c r="CT22" s="6" t="s">
        <v>569</v>
      </c>
      <c r="CU22" s="6" t="s">
        <v>867</v>
      </c>
      <c r="CV22" s="6" t="s">
        <v>868</v>
      </c>
      <c r="CW22" s="6" t="s">
        <v>869</v>
      </c>
      <c r="CX22" s="15" t="s">
        <v>453</v>
      </c>
      <c r="CY22" s="6"/>
      <c r="CZ22" s="6"/>
      <c r="DA22" s="6"/>
      <c r="DB22" s="6"/>
      <c r="DC22" s="6"/>
      <c r="DD22" s="15"/>
      <c r="DE22" s="15" t="s">
        <v>521</v>
      </c>
      <c r="DF22" s="6" t="s">
        <v>522</v>
      </c>
      <c r="DG22" s="6">
        <v>0</v>
      </c>
      <c r="DH22" s="6">
        <v>1</v>
      </c>
      <c r="DI22" s="6">
        <v>0</v>
      </c>
      <c r="DJ22" s="6">
        <v>0</v>
      </c>
      <c r="DK22" s="6">
        <v>0</v>
      </c>
      <c r="DL22" s="6">
        <v>0</v>
      </c>
      <c r="DM22" s="6"/>
      <c r="DN22" s="6"/>
      <c r="DO22" s="6"/>
      <c r="DP22" s="6"/>
      <c r="DQ22" s="6"/>
      <c r="DR22" s="6"/>
      <c r="DS22" s="6"/>
      <c r="DT22" s="66"/>
      <c r="DU22" s="6" t="s">
        <v>438</v>
      </c>
      <c r="DV22" s="6" t="s">
        <v>426</v>
      </c>
      <c r="DW22" s="6" t="s">
        <v>439</v>
      </c>
      <c r="DX22" s="6" t="s">
        <v>491</v>
      </c>
      <c r="DY22" s="6"/>
      <c r="DZ22" s="6" t="s">
        <v>714</v>
      </c>
      <c r="EA22" s="6">
        <v>1</v>
      </c>
      <c r="EB22" s="6">
        <v>1</v>
      </c>
      <c r="EC22" s="6">
        <v>1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/>
      <c r="EJ22" s="6" t="s">
        <v>811</v>
      </c>
      <c r="EK22" s="6">
        <v>1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/>
      <c r="EU22" s="6" t="s">
        <v>494</v>
      </c>
      <c r="EV22" s="6" t="s">
        <v>554</v>
      </c>
      <c r="EW22" s="6"/>
      <c r="EX22" s="6" t="s">
        <v>870</v>
      </c>
      <c r="EY22" s="6">
        <v>1</v>
      </c>
      <c r="EZ22" s="6">
        <v>0</v>
      </c>
      <c r="FA22" s="6">
        <v>0</v>
      </c>
      <c r="FB22" s="6">
        <v>0</v>
      </c>
      <c r="FC22" s="6">
        <v>1</v>
      </c>
      <c r="FD22" s="6">
        <v>0</v>
      </c>
      <c r="FE22" s="6">
        <v>0</v>
      </c>
      <c r="FF22" s="6">
        <v>0</v>
      </c>
      <c r="FG22" s="6"/>
      <c r="FH22" s="6" t="s">
        <v>812</v>
      </c>
      <c r="FI22" s="6">
        <v>1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/>
      <c r="FT22" s="6" t="s">
        <v>498</v>
      </c>
      <c r="FU22" s="6" t="s">
        <v>448</v>
      </c>
      <c r="FV22" s="6"/>
      <c r="FW22" s="6" t="s">
        <v>449</v>
      </c>
      <c r="FX22" s="15" t="s">
        <v>623</v>
      </c>
      <c r="FY22" s="6" t="s">
        <v>529</v>
      </c>
      <c r="FZ22" s="6"/>
      <c r="GA22" s="6" t="s">
        <v>450</v>
      </c>
      <c r="GB22" s="6" t="s">
        <v>501</v>
      </c>
      <c r="GC22" s="6" t="s">
        <v>453</v>
      </c>
      <c r="GD22" s="6"/>
      <c r="GE22" s="6" t="s">
        <v>453</v>
      </c>
      <c r="GF22" s="6"/>
      <c r="GG22" s="6" t="s">
        <v>592</v>
      </c>
      <c r="GH22" s="15" t="s">
        <v>871</v>
      </c>
      <c r="GI22" s="6" t="s">
        <v>458</v>
      </c>
      <c r="GJ22" s="6" t="s">
        <v>872</v>
      </c>
      <c r="GK22" s="6" t="s">
        <v>460</v>
      </c>
      <c r="GL22" s="6" t="s">
        <v>720</v>
      </c>
      <c r="GM22" s="6">
        <v>1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/>
      <c r="GU22" s="6" t="s">
        <v>462</v>
      </c>
      <c r="GV22" s="6" t="s">
        <v>595</v>
      </c>
      <c r="GW22" s="6" t="s">
        <v>464</v>
      </c>
      <c r="GX22" s="6">
        <v>1</v>
      </c>
      <c r="GY22" s="6">
        <v>0</v>
      </c>
      <c r="GZ22" s="6">
        <v>0</v>
      </c>
      <c r="HA22" s="6">
        <v>0</v>
      </c>
      <c r="HB22" s="6">
        <v>0</v>
      </c>
      <c r="HC22" s="6">
        <v>0</v>
      </c>
      <c r="HD22" s="6"/>
      <c r="HE22" s="6" t="s">
        <v>646</v>
      </c>
      <c r="HF22" s="6">
        <v>0</v>
      </c>
      <c r="HG22" s="6">
        <v>0</v>
      </c>
      <c r="HH22" s="6">
        <v>1</v>
      </c>
      <c r="HI22" s="6">
        <v>0</v>
      </c>
      <c r="HJ22" s="6">
        <v>0</v>
      </c>
      <c r="HK22" s="6">
        <v>0</v>
      </c>
      <c r="HL22" s="15"/>
      <c r="HM22" s="6" t="s">
        <v>873</v>
      </c>
      <c r="HN22" s="6"/>
      <c r="HO22" s="6" t="s">
        <v>874</v>
      </c>
      <c r="HP22" s="6" t="s">
        <v>648</v>
      </c>
      <c r="HQ22" s="6"/>
      <c r="HR22" s="6" t="s">
        <v>875</v>
      </c>
      <c r="HS22" s="6" t="s">
        <v>508</v>
      </c>
      <c r="HT22" s="6">
        <v>0</v>
      </c>
      <c r="HU22" s="6">
        <v>0</v>
      </c>
      <c r="HV22" s="6">
        <v>1</v>
      </c>
      <c r="HW22" s="6">
        <v>0</v>
      </c>
      <c r="HX22" s="6">
        <v>0</v>
      </c>
      <c r="HY22" s="6">
        <v>0</v>
      </c>
      <c r="HZ22" s="6"/>
      <c r="IA22" s="6" t="s">
        <v>112</v>
      </c>
      <c r="IB22" s="6">
        <v>0</v>
      </c>
      <c r="IC22" s="6">
        <v>1</v>
      </c>
      <c r="ID22" s="6">
        <v>0</v>
      </c>
      <c r="IE22" s="6">
        <v>0</v>
      </c>
      <c r="IF22" s="6">
        <v>0</v>
      </c>
      <c r="IG22" s="6">
        <v>0</v>
      </c>
      <c r="IH22" s="15" t="s">
        <v>876</v>
      </c>
      <c r="II22" s="6" t="s">
        <v>426</v>
      </c>
      <c r="IJ22" s="6" t="s">
        <v>543</v>
      </c>
      <c r="IK22" s="6">
        <v>0</v>
      </c>
      <c r="IL22" s="6">
        <v>1</v>
      </c>
      <c r="IM22" s="6">
        <v>0</v>
      </c>
      <c r="IN22" s="6"/>
      <c r="IO22" s="6" t="s">
        <v>473</v>
      </c>
      <c r="IP22" s="6">
        <v>1</v>
      </c>
      <c r="IQ22" s="6">
        <v>0</v>
      </c>
      <c r="IR22" s="6">
        <v>0</v>
      </c>
      <c r="IS22" s="6">
        <v>0</v>
      </c>
      <c r="IT22" s="6">
        <v>0</v>
      </c>
      <c r="IU22" s="6">
        <v>0</v>
      </c>
      <c r="IV22" s="6"/>
      <c r="IW22" s="6" t="s">
        <v>426</v>
      </c>
      <c r="IX22" s="6">
        <v>1</v>
      </c>
      <c r="IY22" s="6" t="s">
        <v>474</v>
      </c>
      <c r="IZ22" s="6" t="s">
        <v>604</v>
      </c>
      <c r="JA22" s="6" t="s">
        <v>605</v>
      </c>
      <c r="JB22" s="6"/>
      <c r="JC22" s="6"/>
      <c r="JD22" s="6"/>
      <c r="JE22" s="6"/>
      <c r="JF22" s="6"/>
      <c r="JG22" s="6"/>
      <c r="JH22" s="6"/>
      <c r="JI22" s="6"/>
      <c r="JJ22" s="6"/>
      <c r="JK22" s="6" t="s">
        <v>453</v>
      </c>
      <c r="JL22" s="6"/>
      <c r="JM22" s="6"/>
      <c r="JN22" s="6"/>
      <c r="JO22" s="6"/>
      <c r="JP22" s="6"/>
      <c r="JQ22" s="6"/>
      <c r="JR22" s="6"/>
      <c r="JS22" s="6"/>
      <c r="JT22" s="6"/>
      <c r="JU22" s="6" t="s">
        <v>477</v>
      </c>
      <c r="JV22" s="15"/>
      <c r="JW22" s="94" t="s">
        <v>877</v>
      </c>
      <c r="JX22" s="6" t="s">
        <v>878</v>
      </c>
      <c r="JY22" s="6">
        <v>0.8362556</v>
      </c>
      <c r="JZ22" s="6">
        <v>34.7416903</v>
      </c>
      <c r="KA22" s="6">
        <v>1719.232</v>
      </c>
      <c r="KB22" s="15">
        <v>9.417</v>
      </c>
      <c r="KC22" s="15"/>
    </row>
    <row r="23" spans="1:289">
      <c r="A23" s="6" t="s">
        <v>864</v>
      </c>
      <c r="B23" s="6" t="s">
        <v>420</v>
      </c>
      <c r="C23" s="6" t="s">
        <v>421</v>
      </c>
      <c r="D23" s="6" t="s">
        <v>865</v>
      </c>
      <c r="E23" s="6" t="s">
        <v>879</v>
      </c>
      <c r="F23" s="8" t="s">
        <v>483</v>
      </c>
      <c r="G23" s="6" t="s">
        <v>567</v>
      </c>
      <c r="H23" s="6" t="s">
        <v>517</v>
      </c>
      <c r="I23" s="15"/>
      <c r="J23" s="6" t="s">
        <v>426</v>
      </c>
      <c r="K23" s="6" t="s">
        <v>426</v>
      </c>
      <c r="L23" s="6" t="s">
        <v>426</v>
      </c>
      <c r="M23" s="6" t="s">
        <v>453</v>
      </c>
      <c r="N23" s="6" t="s">
        <v>426</v>
      </c>
      <c r="O23" s="6" t="s">
        <v>426</v>
      </c>
      <c r="P23" s="6" t="s">
        <v>426</v>
      </c>
      <c r="Q23" s="6" t="s">
        <v>453</v>
      </c>
      <c r="R23" s="6" t="s">
        <v>426</v>
      </c>
      <c r="S23" s="6" t="s">
        <v>426</v>
      </c>
      <c r="T23" s="6" t="s">
        <v>426</v>
      </c>
      <c r="U23" s="6" t="s">
        <v>426</v>
      </c>
      <c r="V23" s="6" t="s">
        <v>426</v>
      </c>
      <c r="W23" s="6" t="s">
        <v>426</v>
      </c>
      <c r="X23" s="6" t="s">
        <v>426</v>
      </c>
      <c r="Y23" s="6" t="s">
        <v>426</v>
      </c>
      <c r="Z23" s="6" t="s">
        <v>426</v>
      </c>
      <c r="AA23" s="6" t="s">
        <v>426</v>
      </c>
      <c r="AB23" s="6" t="s">
        <v>426</v>
      </c>
      <c r="AC23" s="15" t="s">
        <v>426</v>
      </c>
      <c r="AD23" s="6" t="s">
        <v>427</v>
      </c>
      <c r="AE23" s="6">
        <v>0</v>
      </c>
      <c r="AF23" s="6">
        <v>0</v>
      </c>
      <c r="AG23" s="6">
        <v>0</v>
      </c>
      <c r="AH23" s="6">
        <v>1</v>
      </c>
      <c r="AI23" s="6">
        <v>0</v>
      </c>
      <c r="AJ23" s="6">
        <v>0</v>
      </c>
      <c r="AK23" s="6">
        <v>0</v>
      </c>
      <c r="AL23" s="6">
        <v>0</v>
      </c>
      <c r="AM23" s="6"/>
      <c r="AN23" s="15"/>
      <c r="AO23" s="6" t="s">
        <v>426</v>
      </c>
      <c r="AP23" s="6">
        <v>8</v>
      </c>
      <c r="AQ23" s="6" t="s">
        <v>453</v>
      </c>
      <c r="AR23" s="6"/>
      <c r="AS23" s="6" t="s">
        <v>426</v>
      </c>
      <c r="AT23" s="6"/>
      <c r="AU23" s="6" t="s">
        <v>453</v>
      </c>
      <c r="AV23" s="6"/>
      <c r="AW23" s="6" t="s">
        <v>426</v>
      </c>
      <c r="AX23" s="6"/>
      <c r="AY23" s="6" t="s">
        <v>426</v>
      </c>
      <c r="AZ23" s="6">
        <v>1</v>
      </c>
      <c r="BA23" s="6" t="s">
        <v>426</v>
      </c>
      <c r="BB23" s="6"/>
      <c r="BC23" s="6" t="s">
        <v>453</v>
      </c>
      <c r="BD23" s="6"/>
      <c r="BE23" s="6" t="s">
        <v>426</v>
      </c>
      <c r="BF23" s="6">
        <v>100</v>
      </c>
      <c r="BG23" s="6" t="s">
        <v>453</v>
      </c>
      <c r="BH23" s="6"/>
      <c r="BI23" s="6" t="s">
        <v>426</v>
      </c>
      <c r="BJ23" s="6"/>
      <c r="BK23" s="6" t="s">
        <v>426</v>
      </c>
      <c r="BL23" s="6"/>
      <c r="BM23" s="6" t="s">
        <v>426</v>
      </c>
      <c r="BN23" s="6">
        <v>450</v>
      </c>
      <c r="BO23" s="6" t="s">
        <v>426</v>
      </c>
      <c r="BP23" s="6"/>
      <c r="BQ23" s="6" t="s">
        <v>453</v>
      </c>
      <c r="BR23" s="6"/>
      <c r="BS23" s="6" t="s">
        <v>453</v>
      </c>
      <c r="BT23" s="6"/>
      <c r="BU23" s="6" t="s">
        <v>453</v>
      </c>
      <c r="BV23" s="15"/>
      <c r="BW23" s="15" t="s">
        <v>880</v>
      </c>
      <c r="BX23" s="15" t="s">
        <v>429</v>
      </c>
      <c r="BY23" s="6" t="s">
        <v>430</v>
      </c>
      <c r="BZ23" s="6" t="s">
        <v>430</v>
      </c>
      <c r="CA23" s="6" t="s">
        <v>430</v>
      </c>
      <c r="CB23" s="6" t="s">
        <v>487</v>
      </c>
      <c r="CC23" s="6" t="s">
        <v>430</v>
      </c>
      <c r="CD23" s="6" t="s">
        <v>430</v>
      </c>
      <c r="CE23" s="6" t="s">
        <v>430</v>
      </c>
      <c r="CF23" s="6" t="s">
        <v>430</v>
      </c>
      <c r="CG23" s="6" t="s">
        <v>430</v>
      </c>
      <c r="CH23" s="6" t="s">
        <v>431</v>
      </c>
      <c r="CI23" s="6" t="s">
        <v>430</v>
      </c>
      <c r="CJ23" s="6" t="s">
        <v>430</v>
      </c>
      <c r="CK23" s="6" t="s">
        <v>430</v>
      </c>
      <c r="CL23" s="6" t="s">
        <v>430</v>
      </c>
      <c r="CM23" s="6" t="s">
        <v>431</v>
      </c>
      <c r="CN23" s="6" t="s">
        <v>487</v>
      </c>
      <c r="CO23" s="15" t="s">
        <v>487</v>
      </c>
      <c r="CP23" s="15" t="s">
        <v>636</v>
      </c>
      <c r="CQ23" s="6" t="s">
        <v>686</v>
      </c>
      <c r="CR23" s="15"/>
      <c r="CS23" s="6" t="s">
        <v>426</v>
      </c>
      <c r="CT23" s="6" t="s">
        <v>881</v>
      </c>
      <c r="CU23" s="6">
        <v>830</v>
      </c>
      <c r="CV23" s="6">
        <v>1633</v>
      </c>
      <c r="CW23" s="6">
        <v>21000</v>
      </c>
      <c r="CX23" s="15" t="s">
        <v>426</v>
      </c>
      <c r="CY23" s="6" t="s">
        <v>426</v>
      </c>
      <c r="CZ23" s="6" t="s">
        <v>882</v>
      </c>
      <c r="DA23" s="6">
        <v>21000</v>
      </c>
      <c r="DB23" s="6">
        <v>740</v>
      </c>
      <c r="DC23" s="6">
        <v>1633</v>
      </c>
      <c r="DD23" s="15">
        <v>21000</v>
      </c>
      <c r="DE23" s="15" t="s">
        <v>521</v>
      </c>
      <c r="DF23" s="6" t="s">
        <v>437</v>
      </c>
      <c r="DG23" s="6">
        <v>1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/>
      <c r="DN23" s="6"/>
      <c r="DO23" s="6"/>
      <c r="DP23" s="6"/>
      <c r="DQ23" s="6"/>
      <c r="DR23" s="6"/>
      <c r="DS23" s="6"/>
      <c r="DT23" s="66"/>
      <c r="DU23" s="6" t="s">
        <v>438</v>
      </c>
      <c r="DV23" s="6" t="s">
        <v>426</v>
      </c>
      <c r="DW23" s="6" t="s">
        <v>439</v>
      </c>
      <c r="DX23" s="6" t="s">
        <v>491</v>
      </c>
      <c r="DY23" s="6"/>
      <c r="DZ23" s="6" t="s">
        <v>883</v>
      </c>
      <c r="EA23" s="6">
        <v>0</v>
      </c>
      <c r="EB23" s="6">
        <v>0</v>
      </c>
      <c r="EC23" s="6">
        <v>0</v>
      </c>
      <c r="ED23" s="6">
        <v>0</v>
      </c>
      <c r="EE23" s="6">
        <v>1</v>
      </c>
      <c r="EF23" s="6">
        <v>0</v>
      </c>
      <c r="EG23" s="6">
        <v>0</v>
      </c>
      <c r="EH23" s="6">
        <v>0</v>
      </c>
      <c r="EI23" s="6"/>
      <c r="EJ23" s="6" t="s">
        <v>884</v>
      </c>
      <c r="EK23" s="6">
        <v>1</v>
      </c>
      <c r="EL23" s="6">
        <v>0</v>
      </c>
      <c r="EM23" s="6">
        <v>0</v>
      </c>
      <c r="EN23" s="6">
        <v>1</v>
      </c>
      <c r="EO23" s="6">
        <v>1</v>
      </c>
      <c r="EP23" s="6">
        <v>1</v>
      </c>
      <c r="EQ23" s="6">
        <v>0</v>
      </c>
      <c r="ER23" s="6">
        <v>0</v>
      </c>
      <c r="ES23" s="6">
        <v>0</v>
      </c>
      <c r="ET23" s="6"/>
      <c r="EU23" s="6" t="s">
        <v>494</v>
      </c>
      <c r="EV23" s="6" t="s">
        <v>554</v>
      </c>
      <c r="EW23" s="6"/>
      <c r="EX23" s="6" t="s">
        <v>885</v>
      </c>
      <c r="EY23" s="6">
        <v>0</v>
      </c>
      <c r="EZ23" s="6">
        <v>0</v>
      </c>
      <c r="FA23" s="6">
        <v>0</v>
      </c>
      <c r="FB23" s="6">
        <v>0</v>
      </c>
      <c r="FC23" s="6">
        <v>1</v>
      </c>
      <c r="FD23" s="6">
        <v>0</v>
      </c>
      <c r="FE23" s="6"/>
      <c r="FF23" s="6">
        <v>0</v>
      </c>
      <c r="FG23" s="6"/>
      <c r="FH23" s="6" t="s">
        <v>812</v>
      </c>
      <c r="FI23" s="6">
        <v>1</v>
      </c>
      <c r="FJ23" s="6"/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/>
      <c r="FQ23" s="6">
        <v>0</v>
      </c>
      <c r="FR23" s="6">
        <v>0</v>
      </c>
      <c r="FS23" s="6"/>
      <c r="FT23" s="6" t="s">
        <v>498</v>
      </c>
      <c r="FU23" s="6" t="s">
        <v>448</v>
      </c>
      <c r="FV23" s="6"/>
      <c r="FW23" s="6" t="s">
        <v>449</v>
      </c>
      <c r="FX23" s="15" t="s">
        <v>886</v>
      </c>
      <c r="FY23" s="6" t="s">
        <v>529</v>
      </c>
      <c r="FZ23" s="6"/>
      <c r="GA23" s="6" t="s">
        <v>450</v>
      </c>
      <c r="GB23" s="6" t="s">
        <v>501</v>
      </c>
      <c r="GC23" s="6" t="s">
        <v>453</v>
      </c>
      <c r="GD23" s="6"/>
      <c r="GE23" s="6" t="s">
        <v>642</v>
      </c>
      <c r="GF23" s="6" t="s">
        <v>887</v>
      </c>
      <c r="GG23" s="6" t="s">
        <v>502</v>
      </c>
      <c r="GH23" s="15"/>
      <c r="GI23" s="6" t="s">
        <v>458</v>
      </c>
      <c r="GJ23" s="6" t="s">
        <v>872</v>
      </c>
      <c r="GK23" s="6" t="s">
        <v>460</v>
      </c>
      <c r="GL23" s="6" t="s">
        <v>720</v>
      </c>
      <c r="GM23" s="6">
        <v>1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/>
      <c r="GU23" s="6" t="s">
        <v>462</v>
      </c>
      <c r="GV23" s="6" t="s">
        <v>595</v>
      </c>
      <c r="GW23" s="6" t="s">
        <v>464</v>
      </c>
      <c r="GX23" s="6">
        <v>1</v>
      </c>
      <c r="GY23" s="6">
        <v>0</v>
      </c>
      <c r="GZ23" s="6">
        <v>0</v>
      </c>
      <c r="HA23" s="6">
        <v>0</v>
      </c>
      <c r="HB23" s="6">
        <v>0</v>
      </c>
      <c r="HC23" s="6">
        <v>0</v>
      </c>
      <c r="HD23" s="6"/>
      <c r="HE23" s="6" t="s">
        <v>535</v>
      </c>
      <c r="HF23" s="6">
        <v>1</v>
      </c>
      <c r="HG23" s="6">
        <v>0</v>
      </c>
      <c r="HH23" s="6">
        <v>0</v>
      </c>
      <c r="HI23" s="6">
        <v>0</v>
      </c>
      <c r="HJ23" s="6">
        <v>0</v>
      </c>
      <c r="HK23" s="6">
        <v>0</v>
      </c>
      <c r="HL23" s="15"/>
      <c r="HM23" s="6" t="s">
        <v>505</v>
      </c>
      <c r="HN23" s="6"/>
      <c r="HO23" s="6" t="s">
        <v>888</v>
      </c>
      <c r="HP23" s="6" t="s">
        <v>537</v>
      </c>
      <c r="HQ23" s="6" t="s">
        <v>889</v>
      </c>
      <c r="HR23" s="6" t="s">
        <v>890</v>
      </c>
      <c r="HS23" s="6" t="s">
        <v>508</v>
      </c>
      <c r="HT23" s="6">
        <v>0</v>
      </c>
      <c r="HU23" s="6">
        <v>0</v>
      </c>
      <c r="HV23" s="6">
        <v>1</v>
      </c>
      <c r="HW23" s="6">
        <v>0</v>
      </c>
      <c r="HX23" s="6">
        <v>0</v>
      </c>
      <c r="HY23" s="6">
        <v>0</v>
      </c>
      <c r="HZ23" s="6"/>
      <c r="IA23" s="6" t="s">
        <v>891</v>
      </c>
      <c r="IB23" s="6">
        <v>0</v>
      </c>
      <c r="IC23" s="6">
        <v>1</v>
      </c>
      <c r="ID23" s="6">
        <v>1</v>
      </c>
      <c r="IE23" s="6">
        <v>0</v>
      </c>
      <c r="IF23" s="6">
        <v>0</v>
      </c>
      <c r="IG23" s="6">
        <v>0</v>
      </c>
      <c r="IH23" s="15" t="s">
        <v>892</v>
      </c>
      <c r="II23" s="6" t="s">
        <v>426</v>
      </c>
      <c r="IJ23" s="6" t="s">
        <v>472</v>
      </c>
      <c r="IK23" s="6">
        <v>1</v>
      </c>
      <c r="IL23" s="6">
        <v>0</v>
      </c>
      <c r="IM23" s="6">
        <v>0</v>
      </c>
      <c r="IN23" s="6"/>
      <c r="IO23" s="6" t="s">
        <v>893</v>
      </c>
      <c r="IP23" s="6">
        <v>1</v>
      </c>
      <c r="IQ23" s="6">
        <v>0</v>
      </c>
      <c r="IR23" s="6">
        <v>0</v>
      </c>
      <c r="IS23" s="6">
        <v>1</v>
      </c>
      <c r="IT23" s="6">
        <v>0</v>
      </c>
      <c r="IU23" s="6">
        <v>0</v>
      </c>
      <c r="IV23" s="6"/>
      <c r="IW23" s="6" t="s">
        <v>426</v>
      </c>
      <c r="IX23" s="6">
        <v>1</v>
      </c>
      <c r="IY23" s="6" t="s">
        <v>474</v>
      </c>
      <c r="IZ23" s="6" t="s">
        <v>475</v>
      </c>
      <c r="JA23" s="6" t="s">
        <v>426</v>
      </c>
      <c r="JB23" s="6" t="s">
        <v>476</v>
      </c>
      <c r="JC23" s="6"/>
      <c r="JD23" s="6"/>
      <c r="JE23" s="6"/>
      <c r="JF23" s="6"/>
      <c r="JG23" s="6"/>
      <c r="JH23" s="6"/>
      <c r="JI23" s="6"/>
      <c r="JJ23" s="6"/>
      <c r="JK23" s="6" t="s">
        <v>426</v>
      </c>
      <c r="JL23" s="6" t="s">
        <v>453</v>
      </c>
      <c r="JM23" s="6" t="s">
        <v>894</v>
      </c>
      <c r="JN23" s="6">
        <v>0</v>
      </c>
      <c r="JO23" s="6">
        <v>1</v>
      </c>
      <c r="JP23" s="6">
        <v>0</v>
      </c>
      <c r="JQ23" s="6">
        <v>0</v>
      </c>
      <c r="JR23" s="6">
        <v>0</v>
      </c>
      <c r="JS23" s="6">
        <v>0</v>
      </c>
      <c r="JT23" s="6"/>
      <c r="JU23" s="6" t="s">
        <v>895</v>
      </c>
      <c r="JV23" s="15" t="s">
        <v>896</v>
      </c>
      <c r="JW23" s="94" t="s">
        <v>897</v>
      </c>
      <c r="JX23" s="6" t="s">
        <v>898</v>
      </c>
      <c r="JY23" s="6">
        <v>0.8409914</v>
      </c>
      <c r="JZ23" s="6">
        <v>34.7163142</v>
      </c>
      <c r="KA23" s="6">
        <v>0</v>
      </c>
      <c r="KB23" s="15">
        <v>400</v>
      </c>
      <c r="KC23" s="15"/>
    </row>
    <row r="24" spans="1:289">
      <c r="A24" s="6" t="s">
        <v>514</v>
      </c>
      <c r="B24" s="6" t="s">
        <v>420</v>
      </c>
      <c r="C24" s="6" t="s">
        <v>421</v>
      </c>
      <c r="D24" s="6" t="s">
        <v>899</v>
      </c>
      <c r="E24" s="6" t="s">
        <v>900</v>
      </c>
      <c r="F24" s="8" t="s">
        <v>483</v>
      </c>
      <c r="G24" s="6" t="s">
        <v>424</v>
      </c>
      <c r="H24" s="6" t="s">
        <v>517</v>
      </c>
      <c r="I24" s="15"/>
      <c r="J24" s="6" t="s">
        <v>426</v>
      </c>
      <c r="K24" s="6" t="s">
        <v>426</v>
      </c>
      <c r="L24" s="6" t="s">
        <v>453</v>
      </c>
      <c r="M24" s="6" t="s">
        <v>453</v>
      </c>
      <c r="N24" s="6" t="s">
        <v>426</v>
      </c>
      <c r="O24" s="6" t="s">
        <v>426</v>
      </c>
      <c r="P24" s="6" t="s">
        <v>426</v>
      </c>
      <c r="Q24" s="6" t="s">
        <v>426</v>
      </c>
      <c r="R24" s="6" t="s">
        <v>426</v>
      </c>
      <c r="S24" s="6" t="s">
        <v>426</v>
      </c>
      <c r="T24" s="6" t="s">
        <v>426</v>
      </c>
      <c r="U24" s="6" t="s">
        <v>426</v>
      </c>
      <c r="V24" s="6" t="s">
        <v>453</v>
      </c>
      <c r="W24" s="6" t="s">
        <v>453</v>
      </c>
      <c r="X24" s="6" t="s">
        <v>426</v>
      </c>
      <c r="Y24" s="6" t="s">
        <v>426</v>
      </c>
      <c r="Z24" s="6" t="s">
        <v>426</v>
      </c>
      <c r="AA24" s="6" t="s">
        <v>426</v>
      </c>
      <c r="AB24" s="6" t="s">
        <v>453</v>
      </c>
      <c r="AC24" s="15" t="s">
        <v>453</v>
      </c>
      <c r="AD24" s="6" t="s">
        <v>427</v>
      </c>
      <c r="AE24" s="6">
        <v>0</v>
      </c>
      <c r="AF24" s="6">
        <v>0</v>
      </c>
      <c r="AG24" s="6">
        <v>0</v>
      </c>
      <c r="AH24" s="6">
        <v>1</v>
      </c>
      <c r="AI24" s="6">
        <v>0</v>
      </c>
      <c r="AJ24" s="6">
        <v>0</v>
      </c>
      <c r="AK24" s="6">
        <v>0</v>
      </c>
      <c r="AL24" s="6">
        <v>0</v>
      </c>
      <c r="AM24" s="6"/>
      <c r="AN24" s="15"/>
      <c r="AO24" s="6" t="s">
        <v>426</v>
      </c>
      <c r="AP24" s="6" t="s">
        <v>823</v>
      </c>
      <c r="AQ24" s="6" t="s">
        <v>426</v>
      </c>
      <c r="AR24" s="6" t="s">
        <v>901</v>
      </c>
      <c r="AS24" s="6" t="s">
        <v>426</v>
      </c>
      <c r="AT24" s="6">
        <v>1</v>
      </c>
      <c r="AU24" s="6" t="s">
        <v>453</v>
      </c>
      <c r="AV24" s="6"/>
      <c r="AW24" s="6" t="s">
        <v>426</v>
      </c>
      <c r="AX24" s="6">
        <v>1</v>
      </c>
      <c r="AY24" s="6" t="s">
        <v>426</v>
      </c>
      <c r="AZ24" s="6">
        <v>3</v>
      </c>
      <c r="BA24" s="6" t="s">
        <v>453</v>
      </c>
      <c r="BB24" s="6"/>
      <c r="BC24" s="6" t="s">
        <v>426</v>
      </c>
      <c r="BD24" s="6">
        <v>1</v>
      </c>
      <c r="BE24" s="6" t="s">
        <v>453</v>
      </c>
      <c r="BF24" s="6"/>
      <c r="BG24" s="6" t="s">
        <v>453</v>
      </c>
      <c r="BH24" s="6"/>
      <c r="BI24" s="6" t="s">
        <v>426</v>
      </c>
      <c r="BJ24" s="6">
        <v>0.5</v>
      </c>
      <c r="BK24" s="6" t="s">
        <v>426</v>
      </c>
      <c r="BL24" s="6">
        <v>1</v>
      </c>
      <c r="BM24" s="6" t="s">
        <v>426</v>
      </c>
      <c r="BN24" s="6">
        <v>5</v>
      </c>
      <c r="BO24" s="6" t="s">
        <v>426</v>
      </c>
      <c r="BP24" s="6">
        <v>0.2</v>
      </c>
      <c r="BQ24" s="6" t="s">
        <v>426</v>
      </c>
      <c r="BR24" s="6">
        <v>25</v>
      </c>
      <c r="BS24" s="6" t="s">
        <v>453</v>
      </c>
      <c r="BT24" s="6"/>
      <c r="BU24" s="6" t="s">
        <v>426</v>
      </c>
      <c r="BV24" s="15">
        <v>1</v>
      </c>
      <c r="BW24" s="15" t="s">
        <v>518</v>
      </c>
      <c r="BX24" s="15" t="s">
        <v>429</v>
      </c>
      <c r="BY24" s="6" t="s">
        <v>430</v>
      </c>
      <c r="BZ24" s="6" t="s">
        <v>431</v>
      </c>
      <c r="CA24" s="6" t="s">
        <v>431</v>
      </c>
      <c r="CB24" s="6" t="s">
        <v>430</v>
      </c>
      <c r="CC24" s="6" t="s">
        <v>431</v>
      </c>
      <c r="CD24" s="6" t="s">
        <v>431</v>
      </c>
      <c r="CE24" s="6" t="s">
        <v>487</v>
      </c>
      <c r="CF24" s="6" t="s">
        <v>431</v>
      </c>
      <c r="CG24" s="6" t="s">
        <v>487</v>
      </c>
      <c r="CH24" s="6" t="s">
        <v>487</v>
      </c>
      <c r="CI24" s="6" t="s">
        <v>431</v>
      </c>
      <c r="CJ24" s="6" t="s">
        <v>431</v>
      </c>
      <c r="CK24" s="6" t="s">
        <v>430</v>
      </c>
      <c r="CL24" s="6" t="s">
        <v>430</v>
      </c>
      <c r="CM24" s="6" t="s">
        <v>430</v>
      </c>
      <c r="CN24" s="6" t="s">
        <v>487</v>
      </c>
      <c r="CO24" s="15" t="s">
        <v>430</v>
      </c>
      <c r="CP24" s="15" t="s">
        <v>902</v>
      </c>
      <c r="CQ24" s="6" t="s">
        <v>686</v>
      </c>
      <c r="CR24" s="15"/>
      <c r="CS24" s="6" t="s">
        <v>426</v>
      </c>
      <c r="CT24" s="6" t="s">
        <v>903</v>
      </c>
      <c r="CU24" s="6" t="s">
        <v>809</v>
      </c>
      <c r="CV24" s="6" t="s">
        <v>734</v>
      </c>
      <c r="CW24" s="6" t="s">
        <v>904</v>
      </c>
      <c r="CX24" s="15" t="s">
        <v>426</v>
      </c>
      <c r="CY24" s="6" t="s">
        <v>426</v>
      </c>
      <c r="CZ24" s="6" t="s">
        <v>905</v>
      </c>
      <c r="DA24" s="6" t="s">
        <v>906</v>
      </c>
      <c r="DB24" s="6" t="s">
        <v>789</v>
      </c>
      <c r="DC24" s="6" t="s">
        <v>907</v>
      </c>
      <c r="DD24" s="15" t="s">
        <v>908</v>
      </c>
      <c r="DE24" s="15" t="s">
        <v>436</v>
      </c>
      <c r="DF24" s="6" t="s">
        <v>522</v>
      </c>
      <c r="DG24" s="6">
        <v>0</v>
      </c>
      <c r="DH24" s="6">
        <v>1</v>
      </c>
      <c r="DI24" s="6">
        <v>0</v>
      </c>
      <c r="DJ24" s="6">
        <v>0</v>
      </c>
      <c r="DK24" s="6">
        <v>0</v>
      </c>
      <c r="DL24" s="6">
        <v>0</v>
      </c>
      <c r="DM24" s="6"/>
      <c r="DN24" s="6"/>
      <c r="DO24" s="6"/>
      <c r="DP24" s="6"/>
      <c r="DQ24" s="6"/>
      <c r="DR24" s="6"/>
      <c r="DS24" s="6"/>
      <c r="DT24" s="66"/>
      <c r="DU24" s="6" t="s">
        <v>438</v>
      </c>
      <c r="DV24" s="6" t="s">
        <v>426</v>
      </c>
      <c r="DW24" s="6" t="s">
        <v>439</v>
      </c>
      <c r="DX24" s="6" t="s">
        <v>440</v>
      </c>
      <c r="DY24" s="6"/>
      <c r="DZ24" s="6" t="s">
        <v>441</v>
      </c>
      <c r="EA24" s="6">
        <v>1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/>
      <c r="EJ24" s="6" t="s">
        <v>525</v>
      </c>
      <c r="EK24" s="6">
        <v>1</v>
      </c>
      <c r="EL24" s="6">
        <v>0</v>
      </c>
      <c r="EM24" s="6">
        <v>0</v>
      </c>
      <c r="EN24" s="6">
        <v>1</v>
      </c>
      <c r="EO24" s="6">
        <v>0</v>
      </c>
      <c r="EP24" s="6">
        <v>1</v>
      </c>
      <c r="EQ24" s="6">
        <v>0</v>
      </c>
      <c r="ER24" s="6">
        <v>0</v>
      </c>
      <c r="ES24" s="6">
        <v>0</v>
      </c>
      <c r="ET24" s="6"/>
      <c r="EU24" s="6" t="s">
        <v>443</v>
      </c>
      <c r="EV24" s="6" t="s">
        <v>554</v>
      </c>
      <c r="EW24" s="6"/>
      <c r="EX24" s="6" t="s">
        <v>669</v>
      </c>
      <c r="EY24" s="6">
        <v>0</v>
      </c>
      <c r="EZ24" s="6">
        <v>1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/>
      <c r="FH24" s="6" t="s">
        <v>909</v>
      </c>
      <c r="FI24" s="6">
        <v>0</v>
      </c>
      <c r="FJ24" s="6">
        <v>0</v>
      </c>
      <c r="FK24" s="6">
        <v>0</v>
      </c>
      <c r="FL24" s="6">
        <v>0</v>
      </c>
      <c r="FM24" s="6">
        <v>1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/>
      <c r="FT24" s="6" t="s">
        <v>556</v>
      </c>
      <c r="FU24" s="6" t="s">
        <v>448</v>
      </c>
      <c r="FV24" s="6"/>
      <c r="FW24" s="6" t="s">
        <v>449</v>
      </c>
      <c r="FX24" s="15" t="s">
        <v>528</v>
      </c>
      <c r="FY24" s="6" t="s">
        <v>500</v>
      </c>
      <c r="FZ24" s="6"/>
      <c r="GA24" s="6" t="s">
        <v>450</v>
      </c>
      <c r="GB24" s="6" t="s">
        <v>501</v>
      </c>
      <c r="GC24" s="6" t="s">
        <v>453</v>
      </c>
      <c r="GD24" s="6"/>
      <c r="GE24" s="6" t="s">
        <v>453</v>
      </c>
      <c r="GF24" s="6"/>
      <c r="GG24" s="6" t="s">
        <v>502</v>
      </c>
      <c r="GH24" s="15"/>
      <c r="GI24" s="6" t="s">
        <v>458</v>
      </c>
      <c r="GJ24" s="6" t="s">
        <v>910</v>
      </c>
      <c r="GK24" s="6" t="s">
        <v>460</v>
      </c>
      <c r="GL24" s="6" t="s">
        <v>461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1</v>
      </c>
      <c r="GS24" s="6">
        <v>0</v>
      </c>
      <c r="GT24" s="6"/>
      <c r="GU24" s="6" t="s">
        <v>462</v>
      </c>
      <c r="GV24" s="6" t="s">
        <v>463</v>
      </c>
      <c r="GW24" s="6" t="s">
        <v>464</v>
      </c>
      <c r="GX24" s="6">
        <v>1</v>
      </c>
      <c r="GY24" s="6">
        <v>0</v>
      </c>
      <c r="GZ24" s="6">
        <v>0</v>
      </c>
      <c r="HA24" s="6">
        <v>0</v>
      </c>
      <c r="HB24" s="6">
        <v>0</v>
      </c>
      <c r="HC24" s="6">
        <v>0</v>
      </c>
      <c r="HD24" s="6"/>
      <c r="HE24" s="6" t="s">
        <v>465</v>
      </c>
      <c r="HF24" s="6">
        <v>0</v>
      </c>
      <c r="HG24" s="6">
        <v>1</v>
      </c>
      <c r="HH24" s="6">
        <v>0</v>
      </c>
      <c r="HI24" s="6">
        <v>0</v>
      </c>
      <c r="HJ24" s="6">
        <v>0</v>
      </c>
      <c r="HK24" s="6">
        <v>0</v>
      </c>
      <c r="HL24" s="15"/>
      <c r="HM24" s="6" t="s">
        <v>466</v>
      </c>
      <c r="HN24" s="6"/>
      <c r="HO24" s="6" t="s">
        <v>911</v>
      </c>
      <c r="HP24" s="6" t="s">
        <v>561</v>
      </c>
      <c r="HQ24" s="6"/>
      <c r="HR24" s="6" t="s">
        <v>539</v>
      </c>
      <c r="HS24" s="6" t="s">
        <v>540</v>
      </c>
      <c r="HT24" s="6">
        <v>1</v>
      </c>
      <c r="HU24" s="6">
        <v>0</v>
      </c>
      <c r="HV24" s="6">
        <v>0</v>
      </c>
      <c r="HW24" s="6">
        <v>0</v>
      </c>
      <c r="HX24" s="6">
        <v>0</v>
      </c>
      <c r="HY24" s="6">
        <v>0</v>
      </c>
      <c r="HZ24" s="6"/>
      <c r="IA24" s="6" t="s">
        <v>114</v>
      </c>
      <c r="IB24" s="6">
        <v>0</v>
      </c>
      <c r="IC24" s="6">
        <v>0</v>
      </c>
      <c r="ID24" s="6">
        <v>0</v>
      </c>
      <c r="IE24" s="6">
        <v>1</v>
      </c>
      <c r="IF24" s="6">
        <v>0</v>
      </c>
      <c r="IG24" s="6">
        <v>0</v>
      </c>
      <c r="IH24" s="15" t="s">
        <v>912</v>
      </c>
      <c r="II24" s="6" t="s">
        <v>426</v>
      </c>
      <c r="IJ24" s="6" t="s">
        <v>602</v>
      </c>
      <c r="IK24" s="6">
        <v>1</v>
      </c>
      <c r="IL24" s="6">
        <v>1</v>
      </c>
      <c r="IM24" s="6">
        <v>0</v>
      </c>
      <c r="IN24" s="6"/>
      <c r="IO24" s="6" t="s">
        <v>473</v>
      </c>
      <c r="IP24" s="6">
        <v>1</v>
      </c>
      <c r="IQ24" s="6">
        <v>0</v>
      </c>
      <c r="IR24" s="6">
        <v>0</v>
      </c>
      <c r="IS24" s="6">
        <v>0</v>
      </c>
      <c r="IT24" s="6">
        <v>0</v>
      </c>
      <c r="IU24" s="6">
        <v>0</v>
      </c>
      <c r="IV24" s="6"/>
      <c r="IW24" s="6" t="s">
        <v>426</v>
      </c>
      <c r="IX24" s="6">
        <v>1</v>
      </c>
      <c r="IY24" s="6" t="s">
        <v>474</v>
      </c>
      <c r="IZ24" s="6" t="s">
        <v>604</v>
      </c>
      <c r="JA24" s="6" t="s">
        <v>605</v>
      </c>
      <c r="JB24" s="6"/>
      <c r="JC24" s="6"/>
      <c r="JD24" s="6"/>
      <c r="JE24" s="6"/>
      <c r="JF24" s="6"/>
      <c r="JG24" s="6"/>
      <c r="JH24" s="6"/>
      <c r="JI24" s="6"/>
      <c r="JJ24" s="6"/>
      <c r="JK24" s="6" t="s">
        <v>426</v>
      </c>
      <c r="JL24" s="6" t="s">
        <v>453</v>
      </c>
      <c r="JM24" s="6" t="s">
        <v>913</v>
      </c>
      <c r="JN24" s="6">
        <v>1</v>
      </c>
      <c r="JO24" s="6">
        <v>0</v>
      </c>
      <c r="JP24" s="6">
        <v>0</v>
      </c>
      <c r="JQ24" s="6">
        <v>0</v>
      </c>
      <c r="JR24" s="6">
        <v>0</v>
      </c>
      <c r="JS24" s="6">
        <v>0</v>
      </c>
      <c r="JT24" s="6"/>
      <c r="JU24" s="6" t="s">
        <v>895</v>
      </c>
      <c r="JV24" s="15" t="s">
        <v>539</v>
      </c>
      <c r="JW24" s="94" t="s">
        <v>914</v>
      </c>
      <c r="JX24" s="6" t="s">
        <v>915</v>
      </c>
      <c r="JY24" s="6">
        <v>0.8463219</v>
      </c>
      <c r="JZ24" s="6">
        <v>34.7361071</v>
      </c>
      <c r="KA24" s="6">
        <v>1833.033</v>
      </c>
      <c r="KB24" s="15">
        <v>1.246</v>
      </c>
      <c r="KC24" s="15"/>
    </row>
    <row r="25" s="9" customFormat="1" spans="1:289">
      <c r="A25" s="9" t="s">
        <v>633</v>
      </c>
      <c r="B25" s="9" t="s">
        <v>420</v>
      </c>
      <c r="C25" s="9" t="s">
        <v>421</v>
      </c>
      <c r="D25" s="9" t="s">
        <v>916</v>
      </c>
      <c r="E25" s="9" t="s">
        <v>917</v>
      </c>
      <c r="F25" s="9" t="s">
        <v>483</v>
      </c>
      <c r="G25" s="9" t="s">
        <v>567</v>
      </c>
      <c r="H25" s="9" t="s">
        <v>425</v>
      </c>
      <c r="J25" s="36" t="s">
        <v>426</v>
      </c>
      <c r="K25" s="36" t="s">
        <v>426</v>
      </c>
      <c r="L25" s="9" t="s">
        <v>426</v>
      </c>
      <c r="M25" s="9" t="s">
        <v>426</v>
      </c>
      <c r="N25" s="36" t="s">
        <v>426</v>
      </c>
      <c r="O25" s="9" t="s">
        <v>426</v>
      </c>
      <c r="P25" s="9" t="s">
        <v>426</v>
      </c>
      <c r="R25" s="9" t="s">
        <v>426</v>
      </c>
      <c r="S25" s="9" t="s">
        <v>426</v>
      </c>
      <c r="T25" s="36" t="s">
        <v>426</v>
      </c>
      <c r="U25" s="9" t="s">
        <v>426</v>
      </c>
      <c r="V25" s="9" t="s">
        <v>426</v>
      </c>
      <c r="W25" s="36" t="s">
        <v>426</v>
      </c>
      <c r="X25" s="9" t="s">
        <v>426</v>
      </c>
      <c r="Y25" s="9" t="s">
        <v>426</v>
      </c>
      <c r="Z25" s="16" t="s">
        <v>426</v>
      </c>
      <c r="AA25" s="16" t="s">
        <v>426</v>
      </c>
      <c r="AB25" s="16" t="s">
        <v>453</v>
      </c>
      <c r="AC25" s="42" t="s">
        <v>453</v>
      </c>
      <c r="AD25" s="16" t="s">
        <v>427</v>
      </c>
      <c r="AE25" s="16">
        <v>0</v>
      </c>
      <c r="AF25" s="16">
        <v>0</v>
      </c>
      <c r="AG25" s="16">
        <v>0</v>
      </c>
      <c r="AH25" s="16">
        <v>1</v>
      </c>
      <c r="AI25" s="16">
        <v>0</v>
      </c>
      <c r="AJ25" s="16">
        <v>0</v>
      </c>
      <c r="AK25" s="16">
        <v>0</v>
      </c>
      <c r="AL25" s="16">
        <v>0</v>
      </c>
      <c r="AM25" s="16"/>
      <c r="AN25" s="42"/>
      <c r="AO25" s="16" t="s">
        <v>426</v>
      </c>
      <c r="AP25" s="16" t="s">
        <v>823</v>
      </c>
      <c r="AQ25" s="16" t="s">
        <v>426</v>
      </c>
      <c r="AR25" s="16" t="s">
        <v>901</v>
      </c>
      <c r="AS25" s="16" t="s">
        <v>426</v>
      </c>
      <c r="AT25" s="16">
        <v>1</v>
      </c>
      <c r="AU25" s="16" t="s">
        <v>453</v>
      </c>
      <c r="AV25" s="16"/>
      <c r="AW25" s="16" t="s">
        <v>426</v>
      </c>
      <c r="AX25" s="16">
        <v>1</v>
      </c>
      <c r="AY25" s="16" t="s">
        <v>426</v>
      </c>
      <c r="AZ25" s="16">
        <v>3</v>
      </c>
      <c r="BA25" s="16" t="s">
        <v>453</v>
      </c>
      <c r="BB25" s="16"/>
      <c r="BC25" s="16" t="s">
        <v>426</v>
      </c>
      <c r="BD25" s="16">
        <v>1</v>
      </c>
      <c r="BE25" s="16" t="s">
        <v>453</v>
      </c>
      <c r="BF25" s="16"/>
      <c r="BG25" s="16" t="s">
        <v>453</v>
      </c>
      <c r="BH25" s="16"/>
      <c r="BI25" s="16" t="s">
        <v>426</v>
      </c>
      <c r="BJ25" s="16">
        <v>0.5</v>
      </c>
      <c r="BK25" s="16" t="s">
        <v>426</v>
      </c>
      <c r="BL25" s="16">
        <v>1</v>
      </c>
      <c r="BM25" s="16" t="s">
        <v>426</v>
      </c>
      <c r="BN25" s="16">
        <v>5</v>
      </c>
      <c r="BO25" s="16" t="s">
        <v>426</v>
      </c>
      <c r="BP25" s="16">
        <v>0.2</v>
      </c>
      <c r="BQ25" s="16" t="s">
        <v>426</v>
      </c>
      <c r="BR25" s="16">
        <v>25</v>
      </c>
      <c r="BS25" s="16" t="s">
        <v>453</v>
      </c>
      <c r="BT25" s="16"/>
      <c r="BU25" s="16" t="s">
        <v>426</v>
      </c>
      <c r="BV25" s="42">
        <v>1</v>
      </c>
      <c r="BW25" s="42" t="s">
        <v>518</v>
      </c>
      <c r="BX25" s="42" t="s">
        <v>429</v>
      </c>
      <c r="BY25" s="16" t="s">
        <v>430</v>
      </c>
      <c r="BZ25" s="16" t="s">
        <v>431</v>
      </c>
      <c r="CA25" s="16" t="s">
        <v>431</v>
      </c>
      <c r="CB25" s="16" t="s">
        <v>430</v>
      </c>
      <c r="CC25" s="16" t="s">
        <v>431</v>
      </c>
      <c r="CD25" s="16" t="s">
        <v>431</v>
      </c>
      <c r="CE25" s="16" t="s">
        <v>487</v>
      </c>
      <c r="CF25" s="16" t="s">
        <v>431</v>
      </c>
      <c r="CG25" s="16" t="s">
        <v>487</v>
      </c>
      <c r="CH25" s="16" t="s">
        <v>487</v>
      </c>
      <c r="CI25" s="16" t="s">
        <v>431</v>
      </c>
      <c r="CJ25" s="16" t="s">
        <v>431</v>
      </c>
      <c r="CK25" s="16" t="s">
        <v>430</v>
      </c>
      <c r="CL25" s="16" t="s">
        <v>430</v>
      </c>
      <c r="CM25" s="16" t="s">
        <v>430</v>
      </c>
      <c r="CN25" s="16" t="s">
        <v>487</v>
      </c>
      <c r="CO25" s="42" t="s">
        <v>430</v>
      </c>
      <c r="CP25" s="42" t="s">
        <v>902</v>
      </c>
      <c r="CQ25" s="16" t="s">
        <v>686</v>
      </c>
      <c r="CR25" s="42"/>
      <c r="CS25" s="16" t="s">
        <v>426</v>
      </c>
      <c r="CT25" s="16" t="s">
        <v>903</v>
      </c>
      <c r="CU25" s="16" t="s">
        <v>809</v>
      </c>
      <c r="CV25" s="16" t="s">
        <v>734</v>
      </c>
      <c r="CW25" s="16" t="s">
        <v>904</v>
      </c>
      <c r="CX25" s="42" t="s">
        <v>426</v>
      </c>
      <c r="CY25" s="16" t="s">
        <v>426</v>
      </c>
      <c r="CZ25" s="16" t="s">
        <v>905</v>
      </c>
      <c r="DA25" s="16" t="s">
        <v>906</v>
      </c>
      <c r="DB25" s="16" t="s">
        <v>789</v>
      </c>
      <c r="DC25" s="16" t="s">
        <v>907</v>
      </c>
      <c r="DD25" s="42" t="s">
        <v>908</v>
      </c>
      <c r="DE25" s="42" t="s">
        <v>436</v>
      </c>
      <c r="DF25" s="16" t="s">
        <v>522</v>
      </c>
      <c r="DG25" s="16">
        <v>0</v>
      </c>
      <c r="DH25" s="16">
        <v>1</v>
      </c>
      <c r="DI25" s="16">
        <v>0</v>
      </c>
      <c r="DJ25" s="16">
        <v>0</v>
      </c>
      <c r="DK25" s="16">
        <v>0</v>
      </c>
      <c r="DL25" s="16">
        <v>0</v>
      </c>
      <c r="DM25" s="16"/>
      <c r="DN25" s="16"/>
      <c r="DO25" s="16"/>
      <c r="DP25" s="16"/>
      <c r="DQ25" s="16"/>
      <c r="DR25" s="16"/>
      <c r="DS25" s="16"/>
      <c r="DT25" s="67"/>
      <c r="DU25" s="16" t="s">
        <v>438</v>
      </c>
      <c r="DV25" s="16" t="s">
        <v>426</v>
      </c>
      <c r="DW25" s="16" t="s">
        <v>439</v>
      </c>
      <c r="DX25" s="16" t="s">
        <v>440</v>
      </c>
      <c r="DY25" s="16"/>
      <c r="DZ25" s="16" t="s">
        <v>441</v>
      </c>
      <c r="EA25" s="16">
        <v>1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/>
      <c r="EJ25" s="16" t="s">
        <v>525</v>
      </c>
      <c r="EK25" s="16">
        <v>1</v>
      </c>
      <c r="EL25" s="16">
        <v>0</v>
      </c>
      <c r="EM25" s="16">
        <v>0</v>
      </c>
      <c r="EN25" s="16">
        <v>1</v>
      </c>
      <c r="EO25" s="16">
        <v>0</v>
      </c>
      <c r="EP25" s="16">
        <v>1</v>
      </c>
      <c r="EQ25" s="16">
        <v>0</v>
      </c>
      <c r="ER25" s="16">
        <v>0</v>
      </c>
      <c r="ES25" s="16">
        <v>0</v>
      </c>
      <c r="ET25" s="16"/>
      <c r="EU25" s="16" t="s">
        <v>443</v>
      </c>
      <c r="EV25" s="16" t="s">
        <v>554</v>
      </c>
      <c r="EW25" s="16"/>
      <c r="EX25" s="16" t="s">
        <v>669</v>
      </c>
      <c r="EY25" s="16">
        <v>0</v>
      </c>
      <c r="EZ25" s="16">
        <v>1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/>
      <c r="FH25" s="16" t="s">
        <v>909</v>
      </c>
      <c r="FI25" s="16">
        <v>0</v>
      </c>
      <c r="FJ25" s="16">
        <v>0</v>
      </c>
      <c r="FK25" s="16">
        <v>0</v>
      </c>
      <c r="FL25" s="16">
        <v>0</v>
      </c>
      <c r="FM25" s="16">
        <v>1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/>
      <c r="FT25" s="16" t="s">
        <v>556</v>
      </c>
      <c r="FU25" s="16" t="s">
        <v>448</v>
      </c>
      <c r="FV25" s="16"/>
      <c r="FW25" s="16" t="s">
        <v>449</v>
      </c>
      <c r="FX25" s="42" t="s">
        <v>528</v>
      </c>
      <c r="FY25" s="16" t="s">
        <v>500</v>
      </c>
      <c r="FZ25" s="16"/>
      <c r="GA25" s="16" t="s">
        <v>450</v>
      </c>
      <c r="GB25" s="16" t="s">
        <v>501</v>
      </c>
      <c r="GC25" s="16" t="s">
        <v>453</v>
      </c>
      <c r="GD25" s="16"/>
      <c r="GE25" s="16" t="s">
        <v>453</v>
      </c>
      <c r="GF25" s="16"/>
      <c r="GG25" s="16" t="s">
        <v>502</v>
      </c>
      <c r="GH25" s="42"/>
      <c r="GI25" s="16" t="s">
        <v>458</v>
      </c>
      <c r="GJ25" s="16" t="s">
        <v>910</v>
      </c>
      <c r="GK25" s="16" t="s">
        <v>460</v>
      </c>
      <c r="GL25" s="16" t="s">
        <v>461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1</v>
      </c>
      <c r="GS25" s="16">
        <v>0</v>
      </c>
      <c r="GT25" s="16"/>
      <c r="GU25" s="16" t="s">
        <v>462</v>
      </c>
      <c r="GV25" s="16" t="s">
        <v>463</v>
      </c>
      <c r="GW25" s="16" t="s">
        <v>464</v>
      </c>
      <c r="GX25" s="16">
        <v>1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/>
      <c r="HE25" s="16" t="s">
        <v>465</v>
      </c>
      <c r="HF25" s="16">
        <v>0</v>
      </c>
      <c r="HG25" s="16">
        <v>1</v>
      </c>
      <c r="HH25" s="16">
        <v>0</v>
      </c>
      <c r="HI25" s="16">
        <v>0</v>
      </c>
      <c r="HJ25" s="16">
        <v>0</v>
      </c>
      <c r="HK25" s="16">
        <v>0</v>
      </c>
      <c r="HL25" s="42"/>
      <c r="HM25" s="16" t="s">
        <v>466</v>
      </c>
      <c r="HN25" s="16"/>
      <c r="HO25" s="16" t="s">
        <v>911</v>
      </c>
      <c r="HP25" s="16" t="s">
        <v>561</v>
      </c>
      <c r="HQ25" s="16"/>
      <c r="HR25" s="16" t="s">
        <v>539</v>
      </c>
      <c r="HS25" s="16" t="s">
        <v>540</v>
      </c>
      <c r="HT25" s="16">
        <v>1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/>
      <c r="IA25" s="16" t="s">
        <v>114</v>
      </c>
      <c r="IB25" s="16">
        <v>0</v>
      </c>
      <c r="IC25" s="16">
        <v>0</v>
      </c>
      <c r="ID25" s="16">
        <v>0</v>
      </c>
      <c r="IE25" s="16">
        <v>1</v>
      </c>
      <c r="IF25" s="16">
        <v>0</v>
      </c>
      <c r="IG25" s="16">
        <v>0</v>
      </c>
      <c r="IH25" s="42" t="s">
        <v>912</v>
      </c>
      <c r="II25" s="16" t="s">
        <v>426</v>
      </c>
      <c r="IJ25" s="16" t="s">
        <v>602</v>
      </c>
      <c r="IK25" s="16">
        <v>1</v>
      </c>
      <c r="IL25" s="16">
        <v>1</v>
      </c>
      <c r="IM25" s="16">
        <v>0</v>
      </c>
      <c r="IN25" s="16"/>
      <c r="IO25" s="16" t="s">
        <v>473</v>
      </c>
      <c r="IP25" s="16">
        <v>1</v>
      </c>
      <c r="IQ25" s="16">
        <v>0</v>
      </c>
      <c r="IR25" s="16">
        <v>0</v>
      </c>
      <c r="IS25" s="16">
        <v>0</v>
      </c>
      <c r="IT25" s="16">
        <v>0</v>
      </c>
      <c r="IU25" s="16">
        <v>0</v>
      </c>
      <c r="IV25" s="16"/>
      <c r="IW25" s="16" t="s">
        <v>426</v>
      </c>
      <c r="IX25" s="16">
        <v>1</v>
      </c>
      <c r="IY25" s="16" t="s">
        <v>474</v>
      </c>
      <c r="IZ25" s="16" t="s">
        <v>604</v>
      </c>
      <c r="JA25" s="16" t="s">
        <v>605</v>
      </c>
      <c r="JB25" s="16"/>
      <c r="JC25" s="16"/>
      <c r="JD25" s="16"/>
      <c r="JE25" s="16"/>
      <c r="JF25" s="16"/>
      <c r="JG25" s="16"/>
      <c r="JH25" s="16"/>
      <c r="JI25" s="16"/>
      <c r="JJ25" s="16"/>
      <c r="JK25" s="16" t="s">
        <v>426</v>
      </c>
      <c r="JL25" s="16" t="s">
        <v>453</v>
      </c>
      <c r="JM25" s="16" t="s">
        <v>913</v>
      </c>
      <c r="JN25" s="16">
        <v>1</v>
      </c>
      <c r="JO25" s="16">
        <v>0</v>
      </c>
      <c r="JP25" s="16">
        <v>0</v>
      </c>
      <c r="JQ25" s="16">
        <v>0</v>
      </c>
      <c r="JR25" s="16">
        <v>0</v>
      </c>
      <c r="JS25" s="16">
        <v>0</v>
      </c>
      <c r="JT25" s="16"/>
      <c r="JU25" s="16" t="s">
        <v>895</v>
      </c>
      <c r="JV25" s="42" t="s">
        <v>539</v>
      </c>
      <c r="JW25" s="95" t="s">
        <v>914</v>
      </c>
      <c r="JX25" s="16" t="s">
        <v>915</v>
      </c>
      <c r="JY25" s="16">
        <v>0.8463219</v>
      </c>
      <c r="JZ25" s="16">
        <v>34.7361071</v>
      </c>
      <c r="KA25" s="16">
        <v>1833.033</v>
      </c>
      <c r="KB25" s="42">
        <v>1.246</v>
      </c>
      <c r="KC25" s="42"/>
    </row>
    <row r="26" spans="1:289">
      <c r="A26" s="6" t="s">
        <v>480</v>
      </c>
      <c r="B26" s="6" t="s">
        <v>420</v>
      </c>
      <c r="C26" s="6" t="s">
        <v>421</v>
      </c>
      <c r="D26" s="6" t="s">
        <v>918</v>
      </c>
      <c r="E26" s="6" t="s">
        <v>919</v>
      </c>
      <c r="F26" s="8" t="s">
        <v>483</v>
      </c>
      <c r="G26" s="6" t="s">
        <v>567</v>
      </c>
      <c r="H26" s="6" t="s">
        <v>425</v>
      </c>
      <c r="I26" s="15"/>
      <c r="J26" s="6" t="s">
        <v>426</v>
      </c>
      <c r="K26" s="6" t="s">
        <v>426</v>
      </c>
      <c r="L26" s="6" t="s">
        <v>426</v>
      </c>
      <c r="M26" s="6" t="s">
        <v>426</v>
      </c>
      <c r="N26" s="6" t="s">
        <v>426</v>
      </c>
      <c r="O26" s="6" t="s">
        <v>426</v>
      </c>
      <c r="P26" s="6" t="s">
        <v>426</v>
      </c>
      <c r="Q26" s="6" t="s">
        <v>426</v>
      </c>
      <c r="R26" s="6" t="s">
        <v>426</v>
      </c>
      <c r="S26" s="6" t="s">
        <v>426</v>
      </c>
      <c r="T26" s="6" t="s">
        <v>426</v>
      </c>
      <c r="U26" s="6" t="s">
        <v>426</v>
      </c>
      <c r="V26" s="6" t="s">
        <v>426</v>
      </c>
      <c r="W26" s="6" t="s">
        <v>426</v>
      </c>
      <c r="X26" s="6" t="s">
        <v>426</v>
      </c>
      <c r="Y26" s="6" t="s">
        <v>426</v>
      </c>
      <c r="Z26" s="6" t="s">
        <v>426</v>
      </c>
      <c r="AA26" s="6" t="s">
        <v>426</v>
      </c>
      <c r="AB26" s="6" t="s">
        <v>426</v>
      </c>
      <c r="AC26" s="15" t="s">
        <v>426</v>
      </c>
      <c r="AD26" s="6" t="s">
        <v>427</v>
      </c>
      <c r="AE26" s="6">
        <v>0</v>
      </c>
      <c r="AF26" s="6">
        <v>0</v>
      </c>
      <c r="AG26" s="6">
        <v>0</v>
      </c>
      <c r="AH26" s="6">
        <v>1</v>
      </c>
      <c r="AI26" s="6">
        <v>0</v>
      </c>
      <c r="AJ26" s="6">
        <v>0</v>
      </c>
      <c r="AK26" s="6">
        <v>0</v>
      </c>
      <c r="AL26" s="6">
        <v>0</v>
      </c>
      <c r="AM26" s="6"/>
      <c r="AN26" s="15"/>
      <c r="AO26" s="6" t="s">
        <v>426</v>
      </c>
      <c r="AP26" s="6" t="s">
        <v>823</v>
      </c>
      <c r="AQ26" s="6" t="s">
        <v>426</v>
      </c>
      <c r="AR26" s="6" t="s">
        <v>920</v>
      </c>
      <c r="AS26" s="6" t="s">
        <v>426</v>
      </c>
      <c r="AT26" s="6">
        <v>0.2</v>
      </c>
      <c r="AU26" s="6" t="s">
        <v>453</v>
      </c>
      <c r="AV26" s="6"/>
      <c r="AW26" s="6" t="s">
        <v>426</v>
      </c>
      <c r="AX26" s="6">
        <v>1</v>
      </c>
      <c r="AY26" s="6" t="s">
        <v>426</v>
      </c>
      <c r="AZ26" s="6">
        <v>1</v>
      </c>
      <c r="BA26" s="6" t="s">
        <v>426</v>
      </c>
      <c r="BB26" s="6">
        <v>0.4</v>
      </c>
      <c r="BC26" s="6" t="s">
        <v>426</v>
      </c>
      <c r="BD26" s="6">
        <v>0.4</v>
      </c>
      <c r="BE26" s="6" t="s">
        <v>453</v>
      </c>
      <c r="BF26" s="6"/>
      <c r="BG26" s="6" t="s">
        <v>426</v>
      </c>
      <c r="BH26" s="6">
        <v>0.4</v>
      </c>
      <c r="BI26" s="6" t="s">
        <v>426</v>
      </c>
      <c r="BJ26" s="6">
        <v>0.2</v>
      </c>
      <c r="BK26" s="6" t="s">
        <v>426</v>
      </c>
      <c r="BL26" s="6">
        <v>1</v>
      </c>
      <c r="BM26" s="6" t="s">
        <v>426</v>
      </c>
      <c r="BN26" s="6">
        <v>20</v>
      </c>
      <c r="BO26" s="6" t="s">
        <v>426</v>
      </c>
      <c r="BP26" s="6">
        <v>0.2</v>
      </c>
      <c r="BQ26" s="6" t="s">
        <v>426</v>
      </c>
      <c r="BR26" s="6">
        <v>3</v>
      </c>
      <c r="BS26" s="6" t="s">
        <v>453</v>
      </c>
      <c r="BT26" s="6"/>
      <c r="BU26" s="6" t="s">
        <v>426</v>
      </c>
      <c r="BV26" s="15">
        <v>1</v>
      </c>
      <c r="BW26" s="15" t="s">
        <v>428</v>
      </c>
      <c r="BX26" s="15" t="s">
        <v>429</v>
      </c>
      <c r="BY26" s="6" t="s">
        <v>430</v>
      </c>
      <c r="BZ26" s="6" t="s">
        <v>430</v>
      </c>
      <c r="CA26" s="6" t="s">
        <v>430</v>
      </c>
      <c r="CB26" s="6" t="s">
        <v>487</v>
      </c>
      <c r="CC26" s="6" t="s">
        <v>430</v>
      </c>
      <c r="CD26" s="6" t="s">
        <v>430</v>
      </c>
      <c r="CE26" s="6" t="s">
        <v>486</v>
      </c>
      <c r="CF26" s="6" t="s">
        <v>430</v>
      </c>
      <c r="CG26" s="6" t="s">
        <v>487</v>
      </c>
      <c r="CH26" s="6" t="s">
        <v>430</v>
      </c>
      <c r="CI26" s="6" t="s">
        <v>430</v>
      </c>
      <c r="CJ26" s="6" t="s">
        <v>430</v>
      </c>
      <c r="CK26" s="6" t="s">
        <v>430</v>
      </c>
      <c r="CL26" s="6" t="s">
        <v>430</v>
      </c>
      <c r="CM26" s="6" t="s">
        <v>430</v>
      </c>
      <c r="CN26" s="6" t="s">
        <v>430</v>
      </c>
      <c r="CO26" s="15" t="s">
        <v>430</v>
      </c>
      <c r="CP26" s="15" t="s">
        <v>432</v>
      </c>
      <c r="CQ26" s="6" t="s">
        <v>433</v>
      </c>
      <c r="CR26" s="15"/>
      <c r="CS26" s="6" t="s">
        <v>453</v>
      </c>
      <c r="CT26" s="6"/>
      <c r="CU26" s="6"/>
      <c r="CV26" s="6"/>
      <c r="CW26" s="6"/>
      <c r="CX26" s="15" t="s">
        <v>426</v>
      </c>
      <c r="CY26" s="6" t="s">
        <v>453</v>
      </c>
      <c r="CZ26" s="6"/>
      <c r="DA26" s="6"/>
      <c r="DB26" s="6"/>
      <c r="DC26" s="6"/>
      <c r="DD26" s="15"/>
      <c r="DE26" s="15" t="s">
        <v>436</v>
      </c>
      <c r="DF26" s="6" t="s">
        <v>489</v>
      </c>
      <c r="DG26" s="6">
        <v>1</v>
      </c>
      <c r="DH26" s="6">
        <v>1</v>
      </c>
      <c r="DI26" s="6">
        <v>1</v>
      </c>
      <c r="DJ26" s="6">
        <v>0</v>
      </c>
      <c r="DK26" s="6">
        <v>0</v>
      </c>
      <c r="DL26" s="6">
        <v>0</v>
      </c>
      <c r="DM26" s="6"/>
      <c r="DN26" s="6"/>
      <c r="DO26" s="6"/>
      <c r="DP26" s="6"/>
      <c r="DQ26" s="6"/>
      <c r="DR26" s="6"/>
      <c r="DS26" s="6"/>
      <c r="DT26" s="66"/>
      <c r="DU26" s="6" t="s">
        <v>438</v>
      </c>
      <c r="DV26" s="6" t="s">
        <v>426</v>
      </c>
      <c r="DW26" s="6" t="s">
        <v>439</v>
      </c>
      <c r="DX26" s="6" t="s">
        <v>440</v>
      </c>
      <c r="DY26" s="6"/>
      <c r="DZ26" s="6" t="s">
        <v>441</v>
      </c>
      <c r="EA26" s="6">
        <v>1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/>
      <c r="EJ26" s="6" t="s">
        <v>811</v>
      </c>
      <c r="EK26" s="6">
        <v>1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/>
      <c r="EU26" s="6" t="s">
        <v>443</v>
      </c>
      <c r="EV26" s="6" t="s">
        <v>495</v>
      </c>
      <c r="EW26" s="6"/>
      <c r="EX26" s="6" t="s">
        <v>921</v>
      </c>
      <c r="EY26" s="6">
        <v>1</v>
      </c>
      <c r="EZ26" s="6">
        <v>1</v>
      </c>
      <c r="FA26" s="6">
        <v>1</v>
      </c>
      <c r="FB26" s="6">
        <v>0</v>
      </c>
      <c r="FC26" s="6">
        <v>1</v>
      </c>
      <c r="FD26" s="6">
        <v>0</v>
      </c>
      <c r="FE26" s="6">
        <v>0</v>
      </c>
      <c r="FF26" s="6">
        <v>0</v>
      </c>
      <c r="FG26" s="6"/>
      <c r="FH26" s="6" t="s">
        <v>922</v>
      </c>
      <c r="FI26" s="6">
        <v>1</v>
      </c>
      <c r="FJ26" s="6">
        <v>0</v>
      </c>
      <c r="FK26" s="6">
        <v>1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/>
      <c r="FT26" s="6" t="s">
        <v>556</v>
      </c>
      <c r="FU26" s="6" t="s">
        <v>499</v>
      </c>
      <c r="FV26" s="6"/>
      <c r="FW26" s="6" t="s">
        <v>449</v>
      </c>
      <c r="FX26" s="15" t="s">
        <v>450</v>
      </c>
      <c r="FY26" s="6" t="s">
        <v>619</v>
      </c>
      <c r="FZ26" s="6"/>
      <c r="GA26" s="6" t="s">
        <v>450</v>
      </c>
      <c r="GB26" s="6" t="s">
        <v>501</v>
      </c>
      <c r="GC26" s="6" t="s">
        <v>453</v>
      </c>
      <c r="GD26" s="6"/>
      <c r="GE26" s="6" t="s">
        <v>454</v>
      </c>
      <c r="GF26" s="6" t="s">
        <v>923</v>
      </c>
      <c r="GG26" s="6" t="s">
        <v>456</v>
      </c>
      <c r="GH26" s="15" t="s">
        <v>924</v>
      </c>
      <c r="GI26" s="6" t="s">
        <v>458</v>
      </c>
      <c r="GJ26" s="6" t="s">
        <v>925</v>
      </c>
      <c r="GK26" s="6" t="s">
        <v>460</v>
      </c>
      <c r="GL26" s="6" t="s">
        <v>461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1</v>
      </c>
      <c r="GS26" s="6">
        <v>0</v>
      </c>
      <c r="GT26" s="6"/>
      <c r="GU26" s="6" t="s">
        <v>534</v>
      </c>
      <c r="GV26" s="6" t="s">
        <v>595</v>
      </c>
      <c r="GW26" s="6" t="s">
        <v>721</v>
      </c>
      <c r="GX26" s="6">
        <v>1</v>
      </c>
      <c r="GY26" s="6">
        <v>0</v>
      </c>
      <c r="GZ26" s="6">
        <v>0</v>
      </c>
      <c r="HA26" s="6">
        <v>1</v>
      </c>
      <c r="HB26" s="6">
        <v>0</v>
      </c>
      <c r="HC26" s="6">
        <v>0</v>
      </c>
      <c r="HD26" s="6"/>
      <c r="HE26" s="6" t="s">
        <v>926</v>
      </c>
      <c r="HF26" s="6">
        <v>0</v>
      </c>
      <c r="HG26" s="6">
        <v>0</v>
      </c>
      <c r="HH26" s="6">
        <v>1</v>
      </c>
      <c r="HI26" s="6">
        <v>0</v>
      </c>
      <c r="HJ26" s="6">
        <v>1</v>
      </c>
      <c r="HK26" s="6">
        <v>0</v>
      </c>
      <c r="HL26" s="15"/>
      <c r="HM26" s="6" t="s">
        <v>505</v>
      </c>
      <c r="HN26" s="6"/>
      <c r="HO26" s="6" t="s">
        <v>927</v>
      </c>
      <c r="HP26" s="6" t="s">
        <v>468</v>
      </c>
      <c r="HQ26" s="6"/>
      <c r="HR26" s="6" t="s">
        <v>507</v>
      </c>
      <c r="HS26" s="6" t="s">
        <v>928</v>
      </c>
      <c r="HT26" s="6">
        <v>0</v>
      </c>
      <c r="HU26" s="6">
        <v>0</v>
      </c>
      <c r="HV26" s="6">
        <v>0</v>
      </c>
      <c r="HW26" s="6">
        <v>0</v>
      </c>
      <c r="HX26" s="6">
        <v>1</v>
      </c>
      <c r="HY26" s="6">
        <v>1</v>
      </c>
      <c r="HZ26" s="6"/>
      <c r="IA26" s="6" t="s">
        <v>929</v>
      </c>
      <c r="IB26" s="6">
        <v>0</v>
      </c>
      <c r="IC26" s="6">
        <v>1</v>
      </c>
      <c r="ID26" s="6">
        <v>0</v>
      </c>
      <c r="IE26" s="6">
        <v>0</v>
      </c>
      <c r="IF26" s="6">
        <v>1</v>
      </c>
      <c r="IG26" s="6">
        <v>0</v>
      </c>
      <c r="IH26" s="15" t="s">
        <v>930</v>
      </c>
      <c r="II26" s="6" t="s">
        <v>426</v>
      </c>
      <c r="IJ26" s="6" t="s">
        <v>602</v>
      </c>
      <c r="IK26" s="6">
        <v>1</v>
      </c>
      <c r="IL26" s="6">
        <v>1</v>
      </c>
      <c r="IM26" s="6">
        <v>0</v>
      </c>
      <c r="IN26" s="6"/>
      <c r="IO26" s="6" t="s">
        <v>630</v>
      </c>
      <c r="IP26" s="6">
        <v>0</v>
      </c>
      <c r="IQ26" s="6">
        <v>0</v>
      </c>
      <c r="IR26" s="6">
        <v>0</v>
      </c>
      <c r="IS26" s="6">
        <v>1</v>
      </c>
      <c r="IT26" s="6">
        <v>0</v>
      </c>
      <c r="IU26" s="6">
        <v>0</v>
      </c>
      <c r="IV26" s="6"/>
      <c r="IW26" s="6" t="s">
        <v>453</v>
      </c>
      <c r="IX26" s="6"/>
      <c r="IY26" s="6" t="s">
        <v>510</v>
      </c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 t="s">
        <v>426</v>
      </c>
      <c r="JK26" s="6" t="s">
        <v>453</v>
      </c>
      <c r="JL26" s="6"/>
      <c r="JM26" s="6"/>
      <c r="JN26" s="6"/>
      <c r="JO26" s="6"/>
      <c r="JP26" s="6"/>
      <c r="JQ26" s="6"/>
      <c r="JR26" s="6"/>
      <c r="JS26" s="6"/>
      <c r="JT26" s="6"/>
      <c r="JU26" s="6" t="s">
        <v>477</v>
      </c>
      <c r="JV26" s="15"/>
      <c r="JW26" s="94" t="s">
        <v>931</v>
      </c>
      <c r="JX26" s="6" t="s">
        <v>932</v>
      </c>
      <c r="JY26" s="6">
        <v>0.8404918</v>
      </c>
      <c r="JZ26" s="6">
        <v>34.7437652</v>
      </c>
      <c r="KA26" s="6">
        <v>1751.41943359375</v>
      </c>
      <c r="KB26" s="15">
        <v>3.79</v>
      </c>
      <c r="KC26" s="15"/>
    </row>
    <row r="27" spans="1:289">
      <c r="A27" s="6" t="s">
        <v>419</v>
      </c>
      <c r="B27" s="6" t="s">
        <v>420</v>
      </c>
      <c r="C27" s="6" t="s">
        <v>421</v>
      </c>
      <c r="D27" s="6" t="s">
        <v>421</v>
      </c>
      <c r="E27" s="6" t="s">
        <v>933</v>
      </c>
      <c r="F27" s="8" t="s">
        <v>483</v>
      </c>
      <c r="G27" s="6" t="s">
        <v>484</v>
      </c>
      <c r="H27" s="6" t="s">
        <v>425</v>
      </c>
      <c r="I27" s="15"/>
      <c r="J27" s="6" t="s">
        <v>426</v>
      </c>
      <c r="K27" s="6" t="s">
        <v>426</v>
      </c>
      <c r="L27" s="6" t="s">
        <v>426</v>
      </c>
      <c r="M27" s="6" t="s">
        <v>426</v>
      </c>
      <c r="N27" s="6" t="s">
        <v>426</v>
      </c>
      <c r="O27" s="6" t="s">
        <v>426</v>
      </c>
      <c r="P27" s="6" t="s">
        <v>426</v>
      </c>
      <c r="Q27" s="6" t="s">
        <v>426</v>
      </c>
      <c r="R27" s="6" t="s">
        <v>426</v>
      </c>
      <c r="S27" s="6" t="s">
        <v>426</v>
      </c>
      <c r="T27" s="6" t="s">
        <v>426</v>
      </c>
      <c r="U27" s="6" t="s">
        <v>426</v>
      </c>
      <c r="V27" s="6" t="s">
        <v>426</v>
      </c>
      <c r="W27" s="6" t="s">
        <v>426</v>
      </c>
      <c r="X27" s="6" t="s">
        <v>426</v>
      </c>
      <c r="Y27" s="6" t="s">
        <v>426</v>
      </c>
      <c r="Z27" s="6" t="s">
        <v>426</v>
      </c>
      <c r="AA27" s="6" t="s">
        <v>426</v>
      </c>
      <c r="AB27" s="6" t="s">
        <v>426</v>
      </c>
      <c r="AC27" s="15" t="s">
        <v>426</v>
      </c>
      <c r="AD27" s="6" t="s">
        <v>427</v>
      </c>
      <c r="AE27" s="6">
        <v>0</v>
      </c>
      <c r="AF27" s="6">
        <v>0</v>
      </c>
      <c r="AG27" s="6">
        <v>0</v>
      </c>
      <c r="AH27" s="6">
        <v>1</v>
      </c>
      <c r="AI27" s="6">
        <v>0</v>
      </c>
      <c r="AJ27" s="6">
        <v>0</v>
      </c>
      <c r="AK27" s="6">
        <v>0</v>
      </c>
      <c r="AL27" s="6">
        <v>0</v>
      </c>
      <c r="AM27" s="6"/>
      <c r="AN27" s="15"/>
      <c r="AO27" s="6" t="s">
        <v>426</v>
      </c>
      <c r="AP27" s="6" t="s">
        <v>656</v>
      </c>
      <c r="AQ27" s="6" t="s">
        <v>426</v>
      </c>
      <c r="AR27" s="6" t="s">
        <v>656</v>
      </c>
      <c r="AS27" s="6" t="s">
        <v>426</v>
      </c>
      <c r="AT27" s="6">
        <v>1</v>
      </c>
      <c r="AU27" s="6" t="s">
        <v>453</v>
      </c>
      <c r="AV27" s="6"/>
      <c r="AW27" s="6" t="s">
        <v>426</v>
      </c>
      <c r="AX27" s="6">
        <v>1</v>
      </c>
      <c r="AY27" s="6" t="s">
        <v>426</v>
      </c>
      <c r="AZ27" s="6">
        <v>1</v>
      </c>
      <c r="BA27" s="6" t="s">
        <v>426</v>
      </c>
      <c r="BB27" s="6">
        <v>1</v>
      </c>
      <c r="BC27" s="6" t="s">
        <v>426</v>
      </c>
      <c r="BD27" s="6">
        <v>1</v>
      </c>
      <c r="BE27" s="6" t="s">
        <v>426</v>
      </c>
      <c r="BF27" s="6">
        <v>5</v>
      </c>
      <c r="BG27" s="6" t="s">
        <v>426</v>
      </c>
      <c r="BH27" s="6">
        <v>1</v>
      </c>
      <c r="BI27" s="6" t="s">
        <v>426</v>
      </c>
      <c r="BJ27" s="6">
        <v>1</v>
      </c>
      <c r="BK27" s="6" t="s">
        <v>426</v>
      </c>
      <c r="BL27" s="6">
        <v>1</v>
      </c>
      <c r="BM27" s="6" t="s">
        <v>426</v>
      </c>
      <c r="BN27" s="6">
        <v>12</v>
      </c>
      <c r="BO27" s="6" t="s">
        <v>426</v>
      </c>
      <c r="BP27" s="6">
        <v>1</v>
      </c>
      <c r="BQ27" s="6" t="s">
        <v>426</v>
      </c>
      <c r="BR27" s="6">
        <v>30</v>
      </c>
      <c r="BS27" s="6" t="s">
        <v>453</v>
      </c>
      <c r="BT27" s="6"/>
      <c r="BU27" s="6" t="s">
        <v>426</v>
      </c>
      <c r="BV27" s="15">
        <v>1</v>
      </c>
      <c r="BW27" s="15" t="s">
        <v>428</v>
      </c>
      <c r="BX27" s="15" t="s">
        <v>429</v>
      </c>
      <c r="BY27" s="6" t="s">
        <v>430</v>
      </c>
      <c r="BZ27" s="6" t="s">
        <v>430</v>
      </c>
      <c r="CA27" s="6" t="s">
        <v>430</v>
      </c>
      <c r="CB27" s="6" t="s">
        <v>487</v>
      </c>
      <c r="CC27" s="6" t="s">
        <v>431</v>
      </c>
      <c r="CD27" s="6" t="s">
        <v>431</v>
      </c>
      <c r="CE27" s="6" t="s">
        <v>431</v>
      </c>
      <c r="CF27" s="6" t="s">
        <v>430</v>
      </c>
      <c r="CG27" s="6" t="s">
        <v>431</v>
      </c>
      <c r="CH27" s="6" t="s">
        <v>431</v>
      </c>
      <c r="CI27" s="6" t="s">
        <v>431</v>
      </c>
      <c r="CJ27" s="6" t="s">
        <v>430</v>
      </c>
      <c r="CK27" s="6" t="s">
        <v>430</v>
      </c>
      <c r="CL27" s="6" t="s">
        <v>430</v>
      </c>
      <c r="CM27" s="6" t="s">
        <v>430</v>
      </c>
      <c r="CN27" s="6" t="s">
        <v>487</v>
      </c>
      <c r="CO27" s="15" t="s">
        <v>431</v>
      </c>
      <c r="CP27" s="15" t="s">
        <v>432</v>
      </c>
      <c r="CQ27" s="6" t="s">
        <v>686</v>
      </c>
      <c r="CR27" s="15"/>
      <c r="CS27" s="6" t="s">
        <v>426</v>
      </c>
      <c r="CT27" s="6" t="s">
        <v>934</v>
      </c>
      <c r="CU27" s="6" t="s">
        <v>825</v>
      </c>
      <c r="CV27" s="6" t="s">
        <v>935</v>
      </c>
      <c r="CW27" s="6" t="s">
        <v>936</v>
      </c>
      <c r="CX27" s="15" t="s">
        <v>426</v>
      </c>
      <c r="CY27" s="6" t="s">
        <v>426</v>
      </c>
      <c r="CZ27" s="6" t="s">
        <v>937</v>
      </c>
      <c r="DA27" s="6" t="s">
        <v>938</v>
      </c>
      <c r="DB27" s="6" t="s">
        <v>688</v>
      </c>
      <c r="DC27" s="6" t="s">
        <v>939</v>
      </c>
      <c r="DD27" s="15" t="s">
        <v>939</v>
      </c>
      <c r="DE27" s="15" t="s">
        <v>521</v>
      </c>
      <c r="DF27" s="6" t="s">
        <v>611</v>
      </c>
      <c r="DG27" s="6">
        <v>1</v>
      </c>
      <c r="DH27" s="6">
        <v>1</v>
      </c>
      <c r="DI27" s="6">
        <v>0</v>
      </c>
      <c r="DJ27" s="6">
        <v>0</v>
      </c>
      <c r="DK27" s="6">
        <v>0</v>
      </c>
      <c r="DL27" s="6">
        <v>0</v>
      </c>
      <c r="DM27" s="6"/>
      <c r="DN27" s="6"/>
      <c r="DO27" s="6"/>
      <c r="DP27" s="6"/>
      <c r="DQ27" s="6"/>
      <c r="DR27" s="6"/>
      <c r="DS27" s="6"/>
      <c r="DT27" s="66"/>
      <c r="DU27" s="6" t="s">
        <v>438</v>
      </c>
      <c r="DV27" s="6" t="s">
        <v>426</v>
      </c>
      <c r="DW27" s="6" t="s">
        <v>439</v>
      </c>
      <c r="DX27" s="6" t="s">
        <v>491</v>
      </c>
      <c r="DY27" s="6"/>
      <c r="DZ27" s="6" t="s">
        <v>940</v>
      </c>
      <c r="EA27" s="6">
        <v>1</v>
      </c>
      <c r="EB27" s="6">
        <v>1</v>
      </c>
      <c r="EC27" s="6">
        <v>1</v>
      </c>
      <c r="ED27" s="6">
        <v>1</v>
      </c>
      <c r="EE27" s="6">
        <v>0</v>
      </c>
      <c r="EF27" s="6">
        <v>0</v>
      </c>
      <c r="EG27" s="6">
        <v>0</v>
      </c>
      <c r="EH27" s="6">
        <v>0</v>
      </c>
      <c r="EI27" s="6"/>
      <c r="EJ27" s="6" t="s">
        <v>941</v>
      </c>
      <c r="EK27" s="6">
        <v>1</v>
      </c>
      <c r="EL27" s="6">
        <v>1</v>
      </c>
      <c r="EM27" s="6">
        <v>1</v>
      </c>
      <c r="EN27" s="6">
        <v>1</v>
      </c>
      <c r="EO27" s="6">
        <v>1</v>
      </c>
      <c r="EP27" s="6">
        <v>1</v>
      </c>
      <c r="EQ27" s="6">
        <v>0</v>
      </c>
      <c r="ER27" s="6">
        <v>0</v>
      </c>
      <c r="ES27" s="6">
        <v>0</v>
      </c>
      <c r="ET27" s="6"/>
      <c r="EU27" s="6" t="s">
        <v>494</v>
      </c>
      <c r="EV27" s="6" t="s">
        <v>444</v>
      </c>
      <c r="EW27" s="6"/>
      <c r="EX27" s="6" t="s">
        <v>445</v>
      </c>
      <c r="EY27" s="6">
        <v>0</v>
      </c>
      <c r="EZ27" s="6">
        <v>0</v>
      </c>
      <c r="FA27" s="6">
        <v>1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/>
      <c r="FH27" s="6" t="s">
        <v>833</v>
      </c>
      <c r="FI27" s="6">
        <v>1</v>
      </c>
      <c r="FJ27" s="6">
        <v>0</v>
      </c>
      <c r="FK27" s="6">
        <v>0</v>
      </c>
      <c r="FL27" s="6">
        <v>0</v>
      </c>
      <c r="FM27" s="6">
        <v>1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/>
      <c r="FT27" s="6" t="s">
        <v>447</v>
      </c>
      <c r="FU27" s="6" t="s">
        <v>448</v>
      </c>
      <c r="FV27" s="6"/>
      <c r="FW27" s="6" t="s">
        <v>449</v>
      </c>
      <c r="FX27" s="15" t="s">
        <v>528</v>
      </c>
      <c r="FY27" s="6" t="s">
        <v>529</v>
      </c>
      <c r="FZ27" s="6"/>
      <c r="GA27" s="6" t="s">
        <v>528</v>
      </c>
      <c r="GB27" s="6" t="s">
        <v>452</v>
      </c>
      <c r="GC27" s="6" t="s">
        <v>453</v>
      </c>
      <c r="GD27" s="6"/>
      <c r="GE27" s="6" t="s">
        <v>454</v>
      </c>
      <c r="GF27" s="6" t="s">
        <v>942</v>
      </c>
      <c r="GG27" s="6" t="s">
        <v>456</v>
      </c>
      <c r="GH27" s="15" t="s">
        <v>943</v>
      </c>
      <c r="GI27" s="6" t="s">
        <v>701</v>
      </c>
      <c r="GJ27" s="6" t="s">
        <v>944</v>
      </c>
      <c r="GK27" s="6" t="s">
        <v>460</v>
      </c>
      <c r="GL27" s="6" t="s">
        <v>704</v>
      </c>
      <c r="GM27" s="6">
        <v>0</v>
      </c>
      <c r="GN27" s="6">
        <v>0</v>
      </c>
      <c r="GO27" s="6">
        <v>0</v>
      </c>
      <c r="GP27" s="6">
        <v>1</v>
      </c>
      <c r="GQ27" s="6">
        <v>0</v>
      </c>
      <c r="GR27" s="6">
        <v>0</v>
      </c>
      <c r="GS27" s="6">
        <v>0</v>
      </c>
      <c r="GT27" s="6"/>
      <c r="GU27" s="6" t="s">
        <v>462</v>
      </c>
      <c r="GV27" s="6" t="s">
        <v>463</v>
      </c>
      <c r="GW27" s="6" t="s">
        <v>464</v>
      </c>
      <c r="GX27" s="6">
        <v>1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/>
      <c r="HE27" s="6" t="s">
        <v>722</v>
      </c>
      <c r="HF27" s="6">
        <v>1</v>
      </c>
      <c r="HG27" s="6">
        <v>1</v>
      </c>
      <c r="HH27" s="6">
        <v>1</v>
      </c>
      <c r="HI27" s="6">
        <v>0</v>
      </c>
      <c r="HJ27" s="6">
        <v>0</v>
      </c>
      <c r="HK27" s="6">
        <v>0</v>
      </c>
      <c r="HL27" s="15"/>
      <c r="HM27" s="6" t="s">
        <v>466</v>
      </c>
      <c r="HN27" s="6"/>
      <c r="HO27" s="6" t="s">
        <v>945</v>
      </c>
      <c r="HP27" s="6" t="s">
        <v>468</v>
      </c>
      <c r="HQ27" s="6"/>
      <c r="HR27" s="6" t="s">
        <v>946</v>
      </c>
      <c r="HS27" s="6" t="s">
        <v>470</v>
      </c>
      <c r="HT27" s="6">
        <v>0</v>
      </c>
      <c r="HU27" s="6">
        <v>0</v>
      </c>
      <c r="HV27" s="6">
        <v>0</v>
      </c>
      <c r="HW27" s="6">
        <v>0</v>
      </c>
      <c r="HX27" s="6">
        <v>1</v>
      </c>
      <c r="HY27" s="6">
        <v>0</v>
      </c>
      <c r="HZ27" s="6"/>
      <c r="IA27" s="6" t="s">
        <v>947</v>
      </c>
      <c r="IB27" s="6">
        <v>1</v>
      </c>
      <c r="IC27" s="6">
        <v>0</v>
      </c>
      <c r="ID27" s="6">
        <v>1</v>
      </c>
      <c r="IE27" s="6">
        <v>0</v>
      </c>
      <c r="IF27" s="6">
        <v>0</v>
      </c>
      <c r="IG27" s="6">
        <v>0</v>
      </c>
      <c r="IH27" s="15" t="s">
        <v>948</v>
      </c>
      <c r="II27" s="6" t="s">
        <v>426</v>
      </c>
      <c r="IJ27" s="6" t="s">
        <v>472</v>
      </c>
      <c r="IK27" s="6">
        <v>1</v>
      </c>
      <c r="IL27" s="6">
        <v>0</v>
      </c>
      <c r="IM27" s="6">
        <v>0</v>
      </c>
      <c r="IN27" s="6"/>
      <c r="IO27" s="6" t="s">
        <v>473</v>
      </c>
      <c r="IP27" s="6">
        <v>1</v>
      </c>
      <c r="IQ27" s="6">
        <v>0</v>
      </c>
      <c r="IR27" s="6">
        <v>0</v>
      </c>
      <c r="IS27" s="6">
        <v>0</v>
      </c>
      <c r="IT27" s="6">
        <v>0</v>
      </c>
      <c r="IU27" s="6">
        <v>0</v>
      </c>
      <c r="IV27" s="6"/>
      <c r="IW27" s="6" t="s">
        <v>426</v>
      </c>
      <c r="IX27" s="6">
        <v>1</v>
      </c>
      <c r="IY27" s="6" t="s">
        <v>474</v>
      </c>
      <c r="IZ27" s="6" t="s">
        <v>475</v>
      </c>
      <c r="JA27" s="6" t="s">
        <v>426</v>
      </c>
      <c r="JB27" s="6" t="s">
        <v>476</v>
      </c>
      <c r="JC27" s="6"/>
      <c r="JD27" s="6"/>
      <c r="JE27" s="6"/>
      <c r="JF27" s="6"/>
      <c r="JG27" s="6"/>
      <c r="JH27" s="6"/>
      <c r="JI27" s="6"/>
      <c r="JJ27" s="6"/>
      <c r="JK27" s="6" t="s">
        <v>426</v>
      </c>
      <c r="JL27" s="6" t="s">
        <v>426</v>
      </c>
      <c r="JM27" s="6"/>
      <c r="JN27" s="6"/>
      <c r="JO27" s="6"/>
      <c r="JP27" s="6"/>
      <c r="JQ27" s="6"/>
      <c r="JR27" s="6"/>
      <c r="JS27" s="6"/>
      <c r="JT27" s="6"/>
      <c r="JU27" s="6" t="s">
        <v>477</v>
      </c>
      <c r="JV27" s="15"/>
      <c r="JW27" s="94" t="s">
        <v>949</v>
      </c>
      <c r="JX27" s="6" t="s">
        <v>950</v>
      </c>
      <c r="JY27" s="6">
        <v>0.8391637</v>
      </c>
      <c r="JZ27" s="6">
        <v>34.7534738</v>
      </c>
      <c r="KA27" s="6">
        <v>1726.4</v>
      </c>
      <c r="KB27" s="15">
        <v>5</v>
      </c>
      <c r="KC27" s="15"/>
    </row>
    <row r="28" spans="1:289">
      <c r="A28" s="6" t="s">
        <v>864</v>
      </c>
      <c r="B28" s="6" t="s">
        <v>420</v>
      </c>
      <c r="C28" s="6" t="s">
        <v>421</v>
      </c>
      <c r="D28" s="6" t="s">
        <v>918</v>
      </c>
      <c r="E28" s="6" t="s">
        <v>951</v>
      </c>
      <c r="F28" s="8" t="s">
        <v>483</v>
      </c>
      <c r="G28" s="6" t="s">
        <v>567</v>
      </c>
      <c r="H28" s="6" t="s">
        <v>517</v>
      </c>
      <c r="I28" s="15"/>
      <c r="J28" s="6" t="s">
        <v>426</v>
      </c>
      <c r="K28" s="6" t="s">
        <v>453</v>
      </c>
      <c r="L28" s="6" t="s">
        <v>426</v>
      </c>
      <c r="M28" s="6" t="s">
        <v>426</v>
      </c>
      <c r="N28" s="6" t="s">
        <v>426</v>
      </c>
      <c r="O28" s="6" t="s">
        <v>426</v>
      </c>
      <c r="P28" s="6" t="s">
        <v>426</v>
      </c>
      <c r="Q28" s="6" t="s">
        <v>453</v>
      </c>
      <c r="R28" s="6" t="s">
        <v>426</v>
      </c>
      <c r="S28" s="6" t="s">
        <v>426</v>
      </c>
      <c r="T28" s="6" t="s">
        <v>426</v>
      </c>
      <c r="U28" s="6" t="s">
        <v>426</v>
      </c>
      <c r="V28" s="6" t="s">
        <v>426</v>
      </c>
      <c r="W28" s="6" t="s">
        <v>453</v>
      </c>
      <c r="X28" s="6" t="s">
        <v>426</v>
      </c>
      <c r="Y28" s="6" t="s">
        <v>426</v>
      </c>
      <c r="Z28" s="6" t="s">
        <v>426</v>
      </c>
      <c r="AA28" s="6" t="s">
        <v>453</v>
      </c>
      <c r="AB28" s="6" t="s">
        <v>426</v>
      </c>
      <c r="AC28" s="15" t="s">
        <v>453</v>
      </c>
      <c r="AD28" s="6" t="s">
        <v>952</v>
      </c>
      <c r="AE28" s="6">
        <v>0</v>
      </c>
      <c r="AF28" s="6">
        <v>0</v>
      </c>
      <c r="AG28" s="6">
        <v>0</v>
      </c>
      <c r="AH28" s="6">
        <v>1</v>
      </c>
      <c r="AI28" s="6">
        <v>0</v>
      </c>
      <c r="AJ28" s="6">
        <v>0</v>
      </c>
      <c r="AK28" s="6">
        <v>1</v>
      </c>
      <c r="AL28" s="6">
        <v>0</v>
      </c>
      <c r="AM28" s="6"/>
      <c r="AN28" s="15"/>
      <c r="AO28" s="6" t="s">
        <v>426</v>
      </c>
      <c r="AP28" s="6" t="s">
        <v>656</v>
      </c>
      <c r="AQ28" s="6" t="s">
        <v>426</v>
      </c>
      <c r="AR28" s="6" t="s">
        <v>656</v>
      </c>
      <c r="AS28" s="6" t="s">
        <v>426</v>
      </c>
      <c r="AT28" s="6">
        <v>0.2</v>
      </c>
      <c r="AU28" s="6" t="s">
        <v>453</v>
      </c>
      <c r="AV28" s="6"/>
      <c r="AW28" s="6" t="s">
        <v>426</v>
      </c>
      <c r="AX28" s="6">
        <v>0.1</v>
      </c>
      <c r="AY28" s="6" t="s">
        <v>426</v>
      </c>
      <c r="AZ28" s="6">
        <v>1</v>
      </c>
      <c r="BA28" s="6" t="s">
        <v>453</v>
      </c>
      <c r="BB28" s="6"/>
      <c r="BC28" s="6" t="s">
        <v>453</v>
      </c>
      <c r="BD28" s="6"/>
      <c r="BE28" s="6" t="s">
        <v>453</v>
      </c>
      <c r="BF28" s="6"/>
      <c r="BG28" s="6" t="s">
        <v>426</v>
      </c>
      <c r="BH28" s="6">
        <v>0.1</v>
      </c>
      <c r="BI28" s="6" t="s">
        <v>426</v>
      </c>
      <c r="BJ28" s="6">
        <v>0.2</v>
      </c>
      <c r="BK28" s="6" t="s">
        <v>453</v>
      </c>
      <c r="BL28" s="6"/>
      <c r="BM28" s="6" t="s">
        <v>426</v>
      </c>
      <c r="BN28" s="6">
        <v>15</v>
      </c>
      <c r="BO28" s="6" t="s">
        <v>453</v>
      </c>
      <c r="BP28" s="6"/>
      <c r="BQ28" s="6" t="s">
        <v>453</v>
      </c>
      <c r="BR28" s="6"/>
      <c r="BS28" s="6" t="s">
        <v>453</v>
      </c>
      <c r="BT28" s="6"/>
      <c r="BU28" s="6" t="s">
        <v>426</v>
      </c>
      <c r="BV28" s="15">
        <v>0.2</v>
      </c>
      <c r="BW28" s="15" t="s">
        <v>953</v>
      </c>
      <c r="BX28" s="15" t="s">
        <v>429</v>
      </c>
      <c r="BY28" s="6" t="s">
        <v>430</v>
      </c>
      <c r="BZ28" s="6" t="s">
        <v>430</v>
      </c>
      <c r="CA28" s="6" t="s">
        <v>430</v>
      </c>
      <c r="CB28" s="6" t="s">
        <v>487</v>
      </c>
      <c r="CC28" s="6" t="s">
        <v>430</v>
      </c>
      <c r="CD28" s="6" t="s">
        <v>430</v>
      </c>
      <c r="CE28" s="6" t="s">
        <v>487</v>
      </c>
      <c r="CF28" s="6" t="s">
        <v>609</v>
      </c>
      <c r="CG28" s="6" t="s">
        <v>487</v>
      </c>
      <c r="CH28" s="6" t="s">
        <v>431</v>
      </c>
      <c r="CI28" s="6" t="s">
        <v>430</v>
      </c>
      <c r="CJ28" s="6" t="s">
        <v>487</v>
      </c>
      <c r="CK28" s="6" t="s">
        <v>430</v>
      </c>
      <c r="CL28" s="6" t="s">
        <v>487</v>
      </c>
      <c r="CM28" s="6" t="s">
        <v>487</v>
      </c>
      <c r="CN28" s="6" t="s">
        <v>487</v>
      </c>
      <c r="CO28" s="15" t="s">
        <v>430</v>
      </c>
      <c r="CP28" s="15" t="s">
        <v>636</v>
      </c>
      <c r="CQ28" s="6" t="s">
        <v>686</v>
      </c>
      <c r="CR28" s="15"/>
      <c r="CS28" s="6" t="s">
        <v>453</v>
      </c>
      <c r="CT28" s="6"/>
      <c r="CU28" s="6"/>
      <c r="CV28" s="6"/>
      <c r="CW28" s="6"/>
      <c r="CX28" s="15" t="s">
        <v>453</v>
      </c>
      <c r="CY28" s="6"/>
      <c r="CZ28" s="6"/>
      <c r="DA28" s="6"/>
      <c r="DB28" s="6"/>
      <c r="DC28" s="6"/>
      <c r="DD28" s="15"/>
      <c r="DE28" s="15" t="s">
        <v>521</v>
      </c>
      <c r="DF28" s="6" t="s">
        <v>522</v>
      </c>
      <c r="DG28" s="6">
        <v>0</v>
      </c>
      <c r="DH28" s="6">
        <v>1</v>
      </c>
      <c r="DI28" s="6">
        <v>0</v>
      </c>
      <c r="DJ28" s="6">
        <v>0</v>
      </c>
      <c r="DK28" s="6">
        <v>0</v>
      </c>
      <c r="DL28" s="6">
        <v>0</v>
      </c>
      <c r="DM28" s="6"/>
      <c r="DN28" s="6"/>
      <c r="DO28" s="6"/>
      <c r="DP28" s="6"/>
      <c r="DQ28" s="6"/>
      <c r="DR28" s="6"/>
      <c r="DS28" s="6"/>
      <c r="DT28" s="66"/>
      <c r="DU28" s="6" t="s">
        <v>438</v>
      </c>
      <c r="DV28" s="6" t="s">
        <v>426</v>
      </c>
      <c r="DW28" s="6" t="s">
        <v>439</v>
      </c>
      <c r="DX28" s="6" t="s">
        <v>491</v>
      </c>
      <c r="DY28" s="6"/>
      <c r="DZ28" s="6" t="s">
        <v>954</v>
      </c>
      <c r="EA28" s="6">
        <v>1</v>
      </c>
      <c r="EB28" s="6">
        <v>0</v>
      </c>
      <c r="EC28" s="6">
        <v>0</v>
      </c>
      <c r="ED28" s="6">
        <v>0</v>
      </c>
      <c r="EE28" s="6">
        <v>1</v>
      </c>
      <c r="EF28" s="6">
        <v>0</v>
      </c>
      <c r="EG28" s="6">
        <v>0</v>
      </c>
      <c r="EH28" s="6">
        <v>0</v>
      </c>
      <c r="EI28" s="6"/>
      <c r="EJ28" s="6" t="s">
        <v>811</v>
      </c>
      <c r="EK28" s="6">
        <v>1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/>
      <c r="EU28" s="6" t="s">
        <v>955</v>
      </c>
      <c r="EV28" s="6" t="s">
        <v>554</v>
      </c>
      <c r="EW28" s="6"/>
      <c r="EX28" s="6" t="s">
        <v>617</v>
      </c>
      <c r="EY28" s="6">
        <v>1</v>
      </c>
      <c r="EZ28" s="6">
        <v>1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/>
      <c r="FH28" s="6" t="s">
        <v>497</v>
      </c>
      <c r="FI28" s="6">
        <v>1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1</v>
      </c>
      <c r="FR28" s="6">
        <v>0</v>
      </c>
      <c r="FS28" s="6"/>
      <c r="FT28" s="6" t="s">
        <v>556</v>
      </c>
      <c r="FU28" s="6" t="s">
        <v>448</v>
      </c>
      <c r="FV28" s="6"/>
      <c r="FW28" s="6" t="s">
        <v>449</v>
      </c>
      <c r="FX28" s="15" t="s">
        <v>886</v>
      </c>
      <c r="FY28" s="6" t="s">
        <v>529</v>
      </c>
      <c r="FZ28" s="6"/>
      <c r="GA28" s="6" t="s">
        <v>450</v>
      </c>
      <c r="GB28" s="6" t="s">
        <v>501</v>
      </c>
      <c r="GC28" s="6" t="s">
        <v>453</v>
      </c>
      <c r="GD28" s="6"/>
      <c r="GE28" s="6" t="s">
        <v>642</v>
      </c>
      <c r="GF28" s="6" t="s">
        <v>956</v>
      </c>
      <c r="GG28" s="6" t="s">
        <v>592</v>
      </c>
      <c r="GH28" s="15" t="s">
        <v>957</v>
      </c>
      <c r="GI28" s="6" t="s">
        <v>458</v>
      </c>
      <c r="GJ28" s="6" t="s">
        <v>958</v>
      </c>
      <c r="GK28" s="6" t="s">
        <v>460</v>
      </c>
      <c r="GL28" s="6" t="s">
        <v>959</v>
      </c>
      <c r="GM28" s="6">
        <v>1</v>
      </c>
      <c r="GN28" s="6">
        <v>1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/>
      <c r="GU28" s="6" t="s">
        <v>960</v>
      </c>
      <c r="GV28" s="6" t="s">
        <v>623</v>
      </c>
      <c r="GW28" s="6" t="s">
        <v>961</v>
      </c>
      <c r="GX28" s="6">
        <v>0</v>
      </c>
      <c r="GY28" s="6">
        <v>0</v>
      </c>
      <c r="GZ28" s="6">
        <v>0</v>
      </c>
      <c r="HA28" s="6">
        <v>0</v>
      </c>
      <c r="HB28" s="6">
        <v>1</v>
      </c>
      <c r="HC28" s="6">
        <v>0</v>
      </c>
      <c r="HD28" s="6"/>
      <c r="HE28" s="6" t="s">
        <v>962</v>
      </c>
      <c r="HF28" s="6">
        <v>1</v>
      </c>
      <c r="HG28" s="6">
        <v>0</v>
      </c>
      <c r="HH28" s="6">
        <v>0</v>
      </c>
      <c r="HI28" s="6">
        <v>1</v>
      </c>
      <c r="HJ28" s="6">
        <v>0</v>
      </c>
      <c r="HK28" s="6">
        <v>0</v>
      </c>
      <c r="HL28" s="15"/>
      <c r="HM28" s="6" t="s">
        <v>676</v>
      </c>
      <c r="HN28" s="6"/>
      <c r="HO28" s="6" t="s">
        <v>963</v>
      </c>
      <c r="HP28" s="6" t="s">
        <v>648</v>
      </c>
      <c r="HQ28" s="6"/>
      <c r="HR28" s="6" t="s">
        <v>964</v>
      </c>
      <c r="HS28" s="6" t="s">
        <v>508</v>
      </c>
      <c r="HT28" s="6">
        <v>0</v>
      </c>
      <c r="HU28" s="6">
        <v>0</v>
      </c>
      <c r="HV28" s="6">
        <v>1</v>
      </c>
      <c r="HW28" s="6">
        <v>0</v>
      </c>
      <c r="HX28" s="6">
        <v>0</v>
      </c>
      <c r="HY28" s="6">
        <v>0</v>
      </c>
      <c r="HZ28" s="6"/>
      <c r="IA28" s="6" t="s">
        <v>965</v>
      </c>
      <c r="IB28" s="6">
        <v>1</v>
      </c>
      <c r="IC28" s="6">
        <v>0</v>
      </c>
      <c r="ID28" s="6">
        <v>0</v>
      </c>
      <c r="IE28" s="6">
        <v>1</v>
      </c>
      <c r="IF28" s="6">
        <v>0</v>
      </c>
      <c r="IG28" s="6">
        <v>0</v>
      </c>
      <c r="IH28" s="15" t="s">
        <v>966</v>
      </c>
      <c r="II28" s="6" t="s">
        <v>426</v>
      </c>
      <c r="IJ28" s="6" t="s">
        <v>472</v>
      </c>
      <c r="IK28" s="6">
        <v>1</v>
      </c>
      <c r="IL28" s="6">
        <v>0</v>
      </c>
      <c r="IM28" s="6">
        <v>0</v>
      </c>
      <c r="IN28" s="6"/>
      <c r="IO28" s="6" t="s">
        <v>473</v>
      </c>
      <c r="IP28" s="6">
        <v>1</v>
      </c>
      <c r="IQ28" s="6">
        <v>0</v>
      </c>
      <c r="IR28" s="6">
        <v>0</v>
      </c>
      <c r="IS28" s="6">
        <v>0</v>
      </c>
      <c r="IT28" s="6">
        <v>0</v>
      </c>
      <c r="IU28" s="6">
        <v>0</v>
      </c>
      <c r="IV28" s="6"/>
      <c r="IW28" s="6" t="s">
        <v>453</v>
      </c>
      <c r="IX28" s="6"/>
      <c r="IY28" s="6" t="s">
        <v>510</v>
      </c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 t="s">
        <v>426</v>
      </c>
      <c r="JK28" s="6" t="s">
        <v>453</v>
      </c>
      <c r="JL28" s="6"/>
      <c r="JM28" s="6"/>
      <c r="JN28" s="6"/>
      <c r="JO28" s="6"/>
      <c r="JP28" s="6"/>
      <c r="JQ28" s="6"/>
      <c r="JR28" s="6"/>
      <c r="JS28" s="6"/>
      <c r="JT28" s="6"/>
      <c r="JU28" s="6" t="s">
        <v>477</v>
      </c>
      <c r="JV28" s="15"/>
      <c r="JW28" s="94" t="s">
        <v>967</v>
      </c>
      <c r="JX28" s="6" t="s">
        <v>968</v>
      </c>
      <c r="JY28" s="6">
        <v>0.841579</v>
      </c>
      <c r="JZ28" s="6">
        <v>34.7439097</v>
      </c>
      <c r="KA28" s="6">
        <v>1749.817</v>
      </c>
      <c r="KB28" s="15">
        <v>3.858</v>
      </c>
      <c r="KC28" s="15"/>
    </row>
    <row r="29" spans="1:289">
      <c r="A29" s="6" t="s">
        <v>419</v>
      </c>
      <c r="B29" s="6" t="s">
        <v>420</v>
      </c>
      <c r="C29" s="6" t="s">
        <v>421</v>
      </c>
      <c r="D29" s="6" t="s">
        <v>421</v>
      </c>
      <c r="E29" s="6" t="s">
        <v>969</v>
      </c>
      <c r="F29" s="8" t="s">
        <v>423</v>
      </c>
      <c r="G29" s="6" t="s">
        <v>731</v>
      </c>
      <c r="H29" s="6" t="s">
        <v>425</v>
      </c>
      <c r="I29" s="15"/>
      <c r="J29" s="6" t="s">
        <v>426</v>
      </c>
      <c r="K29" s="6" t="s">
        <v>426</v>
      </c>
      <c r="L29" s="6" t="s">
        <v>426</v>
      </c>
      <c r="M29" s="6" t="s">
        <v>426</v>
      </c>
      <c r="N29" s="6" t="s">
        <v>426</v>
      </c>
      <c r="O29" s="6" t="s">
        <v>426</v>
      </c>
      <c r="P29" s="6" t="s">
        <v>426</v>
      </c>
      <c r="Q29" s="6" t="s">
        <v>426</v>
      </c>
      <c r="R29" s="6" t="s">
        <v>426</v>
      </c>
      <c r="S29" s="6" t="s">
        <v>426</v>
      </c>
      <c r="T29" s="6" t="s">
        <v>426</v>
      </c>
      <c r="U29" s="6" t="s">
        <v>426</v>
      </c>
      <c r="V29" s="6" t="s">
        <v>426</v>
      </c>
      <c r="W29" s="6" t="s">
        <v>426</v>
      </c>
      <c r="X29" s="6" t="s">
        <v>426</v>
      </c>
      <c r="Y29" s="6" t="s">
        <v>426</v>
      </c>
      <c r="Z29" s="6" t="s">
        <v>426</v>
      </c>
      <c r="AA29" s="6" t="s">
        <v>426</v>
      </c>
      <c r="AB29" s="6" t="s">
        <v>426</v>
      </c>
      <c r="AC29" s="15" t="s">
        <v>426</v>
      </c>
      <c r="AD29" s="6" t="s">
        <v>427</v>
      </c>
      <c r="AE29" s="6">
        <v>0</v>
      </c>
      <c r="AF29" s="6">
        <v>0</v>
      </c>
      <c r="AG29" s="6">
        <v>0</v>
      </c>
      <c r="AH29" s="6">
        <v>1</v>
      </c>
      <c r="AI29" s="6">
        <v>0</v>
      </c>
      <c r="AJ29" s="6">
        <v>0</v>
      </c>
      <c r="AK29" s="6">
        <v>0</v>
      </c>
      <c r="AL29" s="6">
        <v>0</v>
      </c>
      <c r="AM29" s="6"/>
      <c r="AN29" s="15"/>
      <c r="AO29" s="6" t="s">
        <v>426</v>
      </c>
      <c r="AP29" s="6" t="s">
        <v>766</v>
      </c>
      <c r="AQ29" s="6" t="s">
        <v>426</v>
      </c>
      <c r="AR29" s="6" t="s">
        <v>766</v>
      </c>
      <c r="AS29" s="6" t="s">
        <v>426</v>
      </c>
      <c r="AT29" s="6">
        <v>1</v>
      </c>
      <c r="AU29" s="6" t="s">
        <v>426</v>
      </c>
      <c r="AV29" s="6">
        <v>1</v>
      </c>
      <c r="AW29" s="6" t="s">
        <v>426</v>
      </c>
      <c r="AX29" s="6">
        <v>2</v>
      </c>
      <c r="AY29" s="6" t="s">
        <v>426</v>
      </c>
      <c r="AZ29" s="6">
        <v>1</v>
      </c>
      <c r="BA29" s="6" t="s">
        <v>426</v>
      </c>
      <c r="BB29" s="6">
        <v>1</v>
      </c>
      <c r="BC29" s="6" t="s">
        <v>426</v>
      </c>
      <c r="BD29" s="6">
        <v>1</v>
      </c>
      <c r="BE29" s="6" t="s">
        <v>426</v>
      </c>
      <c r="BF29" s="6">
        <v>3</v>
      </c>
      <c r="BG29" s="6" t="s">
        <v>426</v>
      </c>
      <c r="BH29" s="6">
        <v>1</v>
      </c>
      <c r="BI29" s="6" t="s">
        <v>426</v>
      </c>
      <c r="BJ29" s="6">
        <v>2</v>
      </c>
      <c r="BK29" s="6" t="s">
        <v>426</v>
      </c>
      <c r="BL29" s="6">
        <v>1</v>
      </c>
      <c r="BM29" s="6" t="s">
        <v>426</v>
      </c>
      <c r="BN29" s="6">
        <v>100</v>
      </c>
      <c r="BO29" s="6" t="s">
        <v>426</v>
      </c>
      <c r="BP29" s="6">
        <v>1</v>
      </c>
      <c r="BQ29" s="6" t="s">
        <v>426</v>
      </c>
      <c r="BR29" s="6">
        <v>120</v>
      </c>
      <c r="BS29" s="6" t="s">
        <v>426</v>
      </c>
      <c r="BT29" s="6">
        <v>20</v>
      </c>
      <c r="BU29" s="6" t="s">
        <v>426</v>
      </c>
      <c r="BV29" s="15">
        <v>1</v>
      </c>
      <c r="BW29" s="15" t="s">
        <v>428</v>
      </c>
      <c r="BX29" s="15" t="s">
        <v>429</v>
      </c>
      <c r="BY29" s="6" t="s">
        <v>430</v>
      </c>
      <c r="BZ29" s="6" t="s">
        <v>430</v>
      </c>
      <c r="CA29" s="6" t="s">
        <v>430</v>
      </c>
      <c r="CB29" s="6" t="s">
        <v>431</v>
      </c>
      <c r="CC29" s="6" t="s">
        <v>430</v>
      </c>
      <c r="CD29" s="6" t="s">
        <v>431</v>
      </c>
      <c r="CE29" s="6" t="s">
        <v>431</v>
      </c>
      <c r="CF29" s="6" t="s">
        <v>431</v>
      </c>
      <c r="CG29" s="6" t="s">
        <v>430</v>
      </c>
      <c r="CH29" s="6" t="s">
        <v>431</v>
      </c>
      <c r="CI29" s="6" t="s">
        <v>430</v>
      </c>
      <c r="CJ29" s="6" t="s">
        <v>430</v>
      </c>
      <c r="CK29" s="6" t="s">
        <v>430</v>
      </c>
      <c r="CL29" s="6" t="s">
        <v>430</v>
      </c>
      <c r="CM29" s="6" t="s">
        <v>431</v>
      </c>
      <c r="CN29" s="6" t="s">
        <v>431</v>
      </c>
      <c r="CO29" s="15" t="s">
        <v>431</v>
      </c>
      <c r="CP29" s="15" t="s">
        <v>432</v>
      </c>
      <c r="CQ29" s="6" t="s">
        <v>686</v>
      </c>
      <c r="CR29" s="15"/>
      <c r="CS29" s="6" t="s">
        <v>426</v>
      </c>
      <c r="CT29" s="6" t="s">
        <v>970</v>
      </c>
      <c r="CU29" s="6" t="s">
        <v>971</v>
      </c>
      <c r="CV29" s="6" t="s">
        <v>660</v>
      </c>
      <c r="CW29" s="6" t="s">
        <v>972</v>
      </c>
      <c r="CX29" s="15" t="s">
        <v>426</v>
      </c>
      <c r="CY29" s="6" t="s">
        <v>426</v>
      </c>
      <c r="CZ29" s="6" t="s">
        <v>973</v>
      </c>
      <c r="DA29" s="6" t="s">
        <v>974</v>
      </c>
      <c r="DB29" s="6" t="s">
        <v>971</v>
      </c>
      <c r="DC29" s="6" t="s">
        <v>660</v>
      </c>
      <c r="DD29" s="15" t="s">
        <v>974</v>
      </c>
      <c r="DE29" s="15" t="s">
        <v>975</v>
      </c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6"/>
      <c r="DU29" s="6" t="s">
        <v>438</v>
      </c>
      <c r="DV29" s="6" t="s">
        <v>426</v>
      </c>
      <c r="DW29" s="6" t="s">
        <v>439</v>
      </c>
      <c r="DX29" s="6" t="s">
        <v>491</v>
      </c>
      <c r="DY29" s="6"/>
      <c r="DZ29" s="6" t="s">
        <v>940</v>
      </c>
      <c r="EA29" s="6">
        <v>1</v>
      </c>
      <c r="EB29" s="6">
        <v>1</v>
      </c>
      <c r="EC29" s="6">
        <v>1</v>
      </c>
      <c r="ED29" s="6">
        <v>1</v>
      </c>
      <c r="EE29" s="6">
        <v>0</v>
      </c>
      <c r="EF29" s="6">
        <v>0</v>
      </c>
      <c r="EG29" s="6">
        <v>0</v>
      </c>
      <c r="EH29" s="6">
        <v>0</v>
      </c>
      <c r="EI29" s="6"/>
      <c r="EJ29" s="6" t="s">
        <v>697</v>
      </c>
      <c r="EK29" s="6">
        <v>1</v>
      </c>
      <c r="EL29" s="6">
        <v>1</v>
      </c>
      <c r="EM29" s="6">
        <v>1</v>
      </c>
      <c r="EN29" s="6">
        <v>1</v>
      </c>
      <c r="EO29" s="6">
        <v>1</v>
      </c>
      <c r="EP29" s="6">
        <v>1</v>
      </c>
      <c r="EQ29" s="6">
        <v>0</v>
      </c>
      <c r="ER29" s="6">
        <v>0</v>
      </c>
      <c r="ES29" s="6">
        <v>0</v>
      </c>
      <c r="ET29" s="6"/>
      <c r="EU29" s="6" t="s">
        <v>443</v>
      </c>
      <c r="EV29" s="6" t="s">
        <v>444</v>
      </c>
      <c r="EW29" s="6"/>
      <c r="EX29" s="6" t="s">
        <v>445</v>
      </c>
      <c r="EY29" s="6">
        <v>0</v>
      </c>
      <c r="EZ29" s="6">
        <v>0</v>
      </c>
      <c r="FA29" s="6">
        <v>1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/>
      <c r="FH29" s="6" t="s">
        <v>555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1</v>
      </c>
      <c r="FR29" s="6">
        <v>0</v>
      </c>
      <c r="FS29" s="6"/>
      <c r="FT29" s="6" t="s">
        <v>447</v>
      </c>
      <c r="FU29" s="6" t="s">
        <v>448</v>
      </c>
      <c r="FV29" s="6"/>
      <c r="FW29" s="6" t="s">
        <v>449</v>
      </c>
      <c r="FX29" s="15" t="s">
        <v>528</v>
      </c>
      <c r="FY29" s="6" t="s">
        <v>451</v>
      </c>
      <c r="FZ29" s="6"/>
      <c r="GA29" s="6" t="s">
        <v>450</v>
      </c>
      <c r="GB29" s="6" t="s">
        <v>501</v>
      </c>
      <c r="GC29" s="6" t="s">
        <v>453</v>
      </c>
      <c r="GD29" s="6"/>
      <c r="GE29" s="6" t="s">
        <v>454</v>
      </c>
      <c r="GF29" s="6" t="s">
        <v>976</v>
      </c>
      <c r="GG29" s="6" t="s">
        <v>456</v>
      </c>
      <c r="GH29" s="15" t="s">
        <v>977</v>
      </c>
      <c r="GI29" s="6" t="s">
        <v>458</v>
      </c>
      <c r="GJ29" s="6" t="s">
        <v>978</v>
      </c>
      <c r="GK29" s="6" t="s">
        <v>460</v>
      </c>
      <c r="GL29" s="6" t="s">
        <v>461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1</v>
      </c>
      <c r="GS29" s="6">
        <v>0</v>
      </c>
      <c r="GT29" s="6"/>
      <c r="GU29" s="6" t="s">
        <v>462</v>
      </c>
      <c r="GV29" s="6" t="s">
        <v>463</v>
      </c>
      <c r="GW29" s="6" t="s">
        <v>464</v>
      </c>
      <c r="GX29" s="6">
        <v>1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/>
      <c r="HE29" s="6" t="s">
        <v>535</v>
      </c>
      <c r="HF29" s="6">
        <v>1</v>
      </c>
      <c r="HG29" s="6">
        <v>0</v>
      </c>
      <c r="HH29" s="6">
        <v>0</v>
      </c>
      <c r="HI29" s="6">
        <v>0</v>
      </c>
      <c r="HJ29" s="6">
        <v>0</v>
      </c>
      <c r="HK29" s="6">
        <v>0</v>
      </c>
      <c r="HL29" s="15"/>
      <c r="HM29" s="6" t="s">
        <v>466</v>
      </c>
      <c r="HN29" s="6"/>
      <c r="HO29" s="6" t="s">
        <v>979</v>
      </c>
      <c r="HP29" s="6" t="s">
        <v>468</v>
      </c>
      <c r="HQ29" s="6"/>
      <c r="HR29" s="6" t="s">
        <v>946</v>
      </c>
      <c r="HS29" s="6" t="s">
        <v>470</v>
      </c>
      <c r="HT29" s="6">
        <v>0</v>
      </c>
      <c r="HU29" s="6">
        <v>0</v>
      </c>
      <c r="HV29" s="6">
        <v>0</v>
      </c>
      <c r="HW29" s="6">
        <v>0</v>
      </c>
      <c r="HX29" s="6">
        <v>1</v>
      </c>
      <c r="HY29" s="6">
        <v>0</v>
      </c>
      <c r="HZ29" s="6"/>
      <c r="IA29" s="6" t="s">
        <v>541</v>
      </c>
      <c r="IB29" s="6">
        <v>0</v>
      </c>
      <c r="IC29" s="6">
        <v>0</v>
      </c>
      <c r="ID29" s="6">
        <v>1</v>
      </c>
      <c r="IE29" s="6">
        <v>0</v>
      </c>
      <c r="IF29" s="6">
        <v>0</v>
      </c>
      <c r="IG29" s="6">
        <v>0</v>
      </c>
      <c r="IH29" s="15" t="s">
        <v>980</v>
      </c>
      <c r="II29" s="6" t="s">
        <v>426</v>
      </c>
      <c r="IJ29" s="6" t="s">
        <v>472</v>
      </c>
      <c r="IK29" s="6">
        <v>1</v>
      </c>
      <c r="IL29" s="6">
        <v>0</v>
      </c>
      <c r="IM29" s="6">
        <v>0</v>
      </c>
      <c r="IN29" s="6"/>
      <c r="IO29" s="6" t="s">
        <v>473</v>
      </c>
      <c r="IP29" s="6">
        <v>1</v>
      </c>
      <c r="IQ29" s="6">
        <v>0</v>
      </c>
      <c r="IR29" s="6">
        <v>0</v>
      </c>
      <c r="IS29" s="6">
        <v>0</v>
      </c>
      <c r="IT29" s="6">
        <v>0</v>
      </c>
      <c r="IU29" s="6">
        <v>0</v>
      </c>
      <c r="IV29" s="6"/>
      <c r="IW29" s="6" t="s">
        <v>426</v>
      </c>
      <c r="IX29" s="6">
        <v>1</v>
      </c>
      <c r="IY29" s="6" t="s">
        <v>474</v>
      </c>
      <c r="IZ29" s="6" t="s">
        <v>475</v>
      </c>
      <c r="JA29" s="6" t="s">
        <v>426</v>
      </c>
      <c r="JB29" s="6" t="s">
        <v>476</v>
      </c>
      <c r="JC29" s="6"/>
      <c r="JD29" s="6"/>
      <c r="JE29" s="6"/>
      <c r="JF29" s="6"/>
      <c r="JG29" s="6"/>
      <c r="JH29" s="6"/>
      <c r="JI29" s="6"/>
      <c r="JJ29" s="6"/>
      <c r="JK29" s="6" t="s">
        <v>426</v>
      </c>
      <c r="JL29" s="6" t="s">
        <v>426</v>
      </c>
      <c r="JM29" s="6"/>
      <c r="JN29" s="6"/>
      <c r="JO29" s="6"/>
      <c r="JP29" s="6"/>
      <c r="JQ29" s="6"/>
      <c r="JR29" s="6"/>
      <c r="JS29" s="6"/>
      <c r="JT29" s="6"/>
      <c r="JU29" s="6" t="s">
        <v>477</v>
      </c>
      <c r="JV29" s="15"/>
      <c r="JW29" s="94" t="s">
        <v>981</v>
      </c>
      <c r="JX29" s="6" t="s">
        <v>982</v>
      </c>
      <c r="JY29" s="6">
        <v>0.8397391</v>
      </c>
      <c r="JZ29" s="6">
        <v>34.7501649</v>
      </c>
      <c r="KA29" s="6">
        <v>1726</v>
      </c>
      <c r="KB29" s="15">
        <v>4.96</v>
      </c>
      <c r="KC29" s="15"/>
    </row>
    <row r="30" spans="1:289">
      <c r="A30" s="6" t="s">
        <v>633</v>
      </c>
      <c r="B30" s="6" t="s">
        <v>420</v>
      </c>
      <c r="C30" s="6" t="s">
        <v>421</v>
      </c>
      <c r="D30" s="6" t="s">
        <v>983</v>
      </c>
      <c r="E30" s="6" t="s">
        <v>984</v>
      </c>
      <c r="F30" s="8" t="s">
        <v>483</v>
      </c>
      <c r="G30" s="6" t="s">
        <v>731</v>
      </c>
      <c r="H30" s="6" t="s">
        <v>517</v>
      </c>
      <c r="I30" s="15"/>
      <c r="J30" s="6" t="s">
        <v>426</v>
      </c>
      <c r="K30" s="6" t="s">
        <v>426</v>
      </c>
      <c r="L30" s="6" t="s">
        <v>426</v>
      </c>
      <c r="M30" s="6" t="s">
        <v>426</v>
      </c>
      <c r="N30" s="6" t="s">
        <v>426</v>
      </c>
      <c r="O30" s="6" t="s">
        <v>426</v>
      </c>
      <c r="P30" s="6" t="s">
        <v>426</v>
      </c>
      <c r="Q30" s="6" t="s">
        <v>426</v>
      </c>
      <c r="R30" s="6" t="s">
        <v>426</v>
      </c>
      <c r="S30" s="6" t="s">
        <v>426</v>
      </c>
      <c r="T30" s="6" t="s">
        <v>426</v>
      </c>
      <c r="U30" s="6" t="s">
        <v>426</v>
      </c>
      <c r="V30" s="6" t="s">
        <v>426</v>
      </c>
      <c r="W30" s="6" t="s">
        <v>426</v>
      </c>
      <c r="X30" s="6" t="s">
        <v>426</v>
      </c>
      <c r="Y30" s="6" t="s">
        <v>426</v>
      </c>
      <c r="Z30" s="6" t="s">
        <v>426</v>
      </c>
      <c r="AA30" s="6" t="s">
        <v>426</v>
      </c>
      <c r="AB30" s="6" t="s">
        <v>426</v>
      </c>
      <c r="AC30" s="15" t="s">
        <v>426</v>
      </c>
      <c r="AD30" s="6" t="s">
        <v>427</v>
      </c>
      <c r="AE30" s="6">
        <v>0</v>
      </c>
      <c r="AF30" s="6">
        <v>0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/>
      <c r="AN30" s="15"/>
      <c r="AO30" s="6" t="s">
        <v>426</v>
      </c>
      <c r="AP30" s="6" t="s">
        <v>985</v>
      </c>
      <c r="AQ30" s="6" t="s">
        <v>426</v>
      </c>
      <c r="AR30" s="6" t="s">
        <v>985</v>
      </c>
      <c r="AS30" s="6" t="s">
        <v>426</v>
      </c>
      <c r="AT30" s="6">
        <v>0.2</v>
      </c>
      <c r="AU30" s="6" t="s">
        <v>453</v>
      </c>
      <c r="AV30" s="6"/>
      <c r="AW30" s="6" t="s">
        <v>426</v>
      </c>
      <c r="AX30" s="6">
        <v>0.1</v>
      </c>
      <c r="AY30" s="6" t="s">
        <v>426</v>
      </c>
      <c r="AZ30" s="6">
        <v>1</v>
      </c>
      <c r="BA30" s="6" t="s">
        <v>426</v>
      </c>
      <c r="BB30" s="6">
        <v>0.08</v>
      </c>
      <c r="BC30" s="6" t="s">
        <v>426</v>
      </c>
      <c r="BD30" s="6">
        <v>0.08</v>
      </c>
      <c r="BE30" s="6" t="s">
        <v>453</v>
      </c>
      <c r="BF30" s="6"/>
      <c r="BG30" s="6" t="s">
        <v>426</v>
      </c>
      <c r="BH30" s="6">
        <v>0.1</v>
      </c>
      <c r="BI30" s="6" t="s">
        <v>426</v>
      </c>
      <c r="BJ30" s="6">
        <v>0.1</v>
      </c>
      <c r="BK30" s="6" t="s">
        <v>426</v>
      </c>
      <c r="BL30" s="6">
        <v>0.1</v>
      </c>
      <c r="BM30" s="6" t="s">
        <v>426</v>
      </c>
      <c r="BN30" s="6">
        <v>10</v>
      </c>
      <c r="BO30" s="6" t="s">
        <v>426</v>
      </c>
      <c r="BP30" s="6">
        <v>0.08</v>
      </c>
      <c r="BQ30" s="6" t="s">
        <v>426</v>
      </c>
      <c r="BR30" s="6">
        <v>20</v>
      </c>
      <c r="BS30" s="6" t="s">
        <v>426</v>
      </c>
      <c r="BT30" s="6">
        <v>2</v>
      </c>
      <c r="BU30" s="6" t="s">
        <v>426</v>
      </c>
      <c r="BV30" s="15">
        <v>0.1</v>
      </c>
      <c r="BW30" s="15" t="s">
        <v>518</v>
      </c>
      <c r="BX30" s="15" t="s">
        <v>429</v>
      </c>
      <c r="BY30" s="6" t="s">
        <v>430</v>
      </c>
      <c r="BZ30" s="6" t="s">
        <v>430</v>
      </c>
      <c r="CA30" s="6" t="s">
        <v>430</v>
      </c>
      <c r="CB30" s="6" t="s">
        <v>486</v>
      </c>
      <c r="CC30" s="6" t="s">
        <v>430</v>
      </c>
      <c r="CD30" s="6" t="s">
        <v>430</v>
      </c>
      <c r="CE30" s="6" t="s">
        <v>430</v>
      </c>
      <c r="CF30" s="6" t="s">
        <v>430</v>
      </c>
      <c r="CG30" s="6" t="s">
        <v>430</v>
      </c>
      <c r="CH30" s="6" t="s">
        <v>430</v>
      </c>
      <c r="CI30" s="6" t="s">
        <v>430</v>
      </c>
      <c r="CJ30" s="6" t="s">
        <v>430</v>
      </c>
      <c r="CK30" s="6" t="s">
        <v>430</v>
      </c>
      <c r="CL30" s="6" t="s">
        <v>430</v>
      </c>
      <c r="CM30" s="6" t="s">
        <v>430</v>
      </c>
      <c r="CN30" s="6" t="s">
        <v>430</v>
      </c>
      <c r="CO30" s="15" t="s">
        <v>430</v>
      </c>
      <c r="CP30" s="15" t="s">
        <v>432</v>
      </c>
      <c r="CQ30" s="6" t="s">
        <v>433</v>
      </c>
      <c r="CR30" s="15"/>
      <c r="CS30" s="6" t="s">
        <v>426</v>
      </c>
      <c r="CT30" s="6" t="s">
        <v>986</v>
      </c>
      <c r="CU30" s="6" t="s">
        <v>660</v>
      </c>
      <c r="CV30" s="6" t="s">
        <v>987</v>
      </c>
      <c r="CW30" s="6" t="s">
        <v>988</v>
      </c>
      <c r="CX30" s="15" t="s">
        <v>426</v>
      </c>
      <c r="CY30" s="6" t="s">
        <v>426</v>
      </c>
      <c r="CZ30" s="6" t="s">
        <v>989</v>
      </c>
      <c r="DA30" s="6" t="s">
        <v>990</v>
      </c>
      <c r="DB30" s="6" t="s">
        <v>660</v>
      </c>
      <c r="DC30" s="6" t="s">
        <v>825</v>
      </c>
      <c r="DD30" s="15" t="s">
        <v>990</v>
      </c>
      <c r="DE30" s="15" t="s">
        <v>521</v>
      </c>
      <c r="DF30" s="6" t="s">
        <v>522</v>
      </c>
      <c r="DG30" s="6">
        <v>0</v>
      </c>
      <c r="DH30" s="6">
        <v>1</v>
      </c>
      <c r="DI30" s="6">
        <v>0</v>
      </c>
      <c r="DJ30" s="6">
        <v>0</v>
      </c>
      <c r="DK30" s="6">
        <v>0</v>
      </c>
      <c r="DL30" s="6">
        <v>0</v>
      </c>
      <c r="DM30" s="6"/>
      <c r="DN30" s="6"/>
      <c r="DO30" s="6"/>
      <c r="DP30" s="6"/>
      <c r="DQ30" s="6"/>
      <c r="DR30" s="6"/>
      <c r="DS30" s="6"/>
      <c r="DT30" s="66"/>
      <c r="DU30" s="6" t="s">
        <v>523</v>
      </c>
      <c r="DV30" s="6" t="s">
        <v>426</v>
      </c>
      <c r="DW30" s="6" t="s">
        <v>490</v>
      </c>
      <c r="DX30" s="6" t="s">
        <v>440</v>
      </c>
      <c r="DY30" s="6"/>
      <c r="DZ30" s="6" t="s">
        <v>991</v>
      </c>
      <c r="EA30" s="6">
        <v>1</v>
      </c>
      <c r="EB30" s="6">
        <v>1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/>
      <c r="EJ30" s="6" t="s">
        <v>741</v>
      </c>
      <c r="EK30" s="6">
        <v>1</v>
      </c>
      <c r="EL30" s="6">
        <v>0</v>
      </c>
      <c r="EM30" s="6">
        <v>1</v>
      </c>
      <c r="EN30" s="6">
        <v>1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/>
      <c r="EU30" s="6" t="s">
        <v>443</v>
      </c>
      <c r="EV30" s="6" t="s">
        <v>554</v>
      </c>
      <c r="EW30" s="6"/>
      <c r="EX30" s="6" t="s">
        <v>992</v>
      </c>
      <c r="EY30" s="6">
        <v>1</v>
      </c>
      <c r="EZ30" s="6">
        <v>0</v>
      </c>
      <c r="FA30" s="6">
        <v>1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/>
      <c r="FH30" s="6" t="s">
        <v>993</v>
      </c>
      <c r="FI30" s="6">
        <v>0</v>
      </c>
      <c r="FJ30" s="6">
        <v>0</v>
      </c>
      <c r="FK30" s="6">
        <v>0</v>
      </c>
      <c r="FL30" s="6">
        <v>1</v>
      </c>
      <c r="FM30" s="6">
        <v>1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/>
      <c r="FT30" s="6" t="s">
        <v>447</v>
      </c>
      <c r="FU30" s="6" t="s">
        <v>743</v>
      </c>
      <c r="FV30" s="6" t="s">
        <v>994</v>
      </c>
      <c r="FW30" s="6" t="s">
        <v>449</v>
      </c>
      <c r="FX30" s="15" t="s">
        <v>450</v>
      </c>
      <c r="FY30" s="6" t="s">
        <v>529</v>
      </c>
      <c r="FZ30" s="6"/>
      <c r="GA30" s="6" t="s">
        <v>450</v>
      </c>
      <c r="GB30" s="6" t="s">
        <v>501</v>
      </c>
      <c r="GC30" s="6" t="s">
        <v>453</v>
      </c>
      <c r="GD30" s="6"/>
      <c r="GE30" s="6" t="s">
        <v>642</v>
      </c>
      <c r="GF30" s="6" t="s">
        <v>995</v>
      </c>
      <c r="GG30" s="6" t="s">
        <v>456</v>
      </c>
      <c r="GH30" s="15" t="s">
        <v>996</v>
      </c>
      <c r="GI30" s="6" t="s">
        <v>458</v>
      </c>
      <c r="GJ30" s="6" t="s">
        <v>997</v>
      </c>
      <c r="GK30" s="6" t="s">
        <v>460</v>
      </c>
      <c r="GL30" s="6" t="s">
        <v>461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1</v>
      </c>
      <c r="GS30" s="6">
        <v>0</v>
      </c>
      <c r="GT30" s="6"/>
      <c r="GU30" s="6" t="s">
        <v>534</v>
      </c>
      <c r="GV30" s="6" t="s">
        <v>559</v>
      </c>
      <c r="GW30" s="6" t="s">
        <v>464</v>
      </c>
      <c r="GX30" s="6">
        <v>1</v>
      </c>
      <c r="GY30" s="6">
        <v>0</v>
      </c>
      <c r="GZ30" s="6">
        <v>0</v>
      </c>
      <c r="HA30" s="6">
        <v>0</v>
      </c>
      <c r="HB30" s="6">
        <v>0</v>
      </c>
      <c r="HC30" s="6">
        <v>0</v>
      </c>
      <c r="HD30" s="6"/>
      <c r="HE30" s="6" t="s">
        <v>998</v>
      </c>
      <c r="HF30" s="6">
        <v>0</v>
      </c>
      <c r="HG30" s="6">
        <v>0</v>
      </c>
      <c r="HH30" s="6">
        <v>1</v>
      </c>
      <c r="HI30" s="6">
        <v>1</v>
      </c>
      <c r="HJ30" s="6">
        <v>0</v>
      </c>
      <c r="HK30" s="6">
        <v>0</v>
      </c>
      <c r="HL30" s="15"/>
      <c r="HM30" s="6" t="s">
        <v>505</v>
      </c>
      <c r="HN30" s="6"/>
      <c r="HO30" s="6" t="s">
        <v>999</v>
      </c>
      <c r="HP30" s="6" t="s">
        <v>537</v>
      </c>
      <c r="HQ30" s="6" t="s">
        <v>538</v>
      </c>
      <c r="HR30" s="6" t="s">
        <v>1000</v>
      </c>
      <c r="HS30" s="6" t="s">
        <v>508</v>
      </c>
      <c r="HT30" s="6">
        <v>0</v>
      </c>
      <c r="HU30" s="6">
        <v>0</v>
      </c>
      <c r="HV30" s="6">
        <v>1</v>
      </c>
      <c r="HW30" s="6">
        <v>0</v>
      </c>
      <c r="HX30" s="6">
        <v>0</v>
      </c>
      <c r="HY30" s="6">
        <v>0</v>
      </c>
      <c r="HZ30" s="6"/>
      <c r="IA30" s="6" t="s">
        <v>111</v>
      </c>
      <c r="IB30" s="6">
        <v>1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15" t="s">
        <v>1001</v>
      </c>
      <c r="II30" s="6" t="s">
        <v>426</v>
      </c>
      <c r="IJ30" s="6" t="s">
        <v>472</v>
      </c>
      <c r="IK30" s="6">
        <v>1</v>
      </c>
      <c r="IL30" s="6">
        <v>0</v>
      </c>
      <c r="IM30" s="6">
        <v>0</v>
      </c>
      <c r="IN30" s="6"/>
      <c r="IO30" s="6" t="s">
        <v>1002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1</v>
      </c>
      <c r="IV30" s="6" t="s">
        <v>1003</v>
      </c>
      <c r="IW30" s="6" t="s">
        <v>426</v>
      </c>
      <c r="IX30" s="6">
        <v>1</v>
      </c>
      <c r="IY30" s="6" t="s">
        <v>474</v>
      </c>
      <c r="IZ30" s="6" t="s">
        <v>475</v>
      </c>
      <c r="JA30" s="6" t="s">
        <v>426</v>
      </c>
      <c r="JB30" s="6" t="s">
        <v>651</v>
      </c>
      <c r="JC30" s="6"/>
      <c r="JD30" s="6"/>
      <c r="JE30" s="6"/>
      <c r="JF30" s="6"/>
      <c r="JG30" s="6"/>
      <c r="JH30" s="6"/>
      <c r="JI30" s="6"/>
      <c r="JJ30" s="6"/>
      <c r="JK30" s="6" t="s">
        <v>453</v>
      </c>
      <c r="JL30" s="6"/>
      <c r="JM30" s="6"/>
      <c r="JN30" s="6"/>
      <c r="JO30" s="6"/>
      <c r="JP30" s="6"/>
      <c r="JQ30" s="6"/>
      <c r="JR30" s="6"/>
      <c r="JS30" s="6"/>
      <c r="JT30" s="6"/>
      <c r="JU30" s="6" t="s">
        <v>477</v>
      </c>
      <c r="JV30" s="15"/>
      <c r="JW30" s="94" t="s">
        <v>1004</v>
      </c>
      <c r="JX30" s="6" t="s">
        <v>1005</v>
      </c>
      <c r="JY30" s="6">
        <v>0.8332371</v>
      </c>
      <c r="JZ30" s="6">
        <v>34.7476538</v>
      </c>
      <c r="KA30" s="6">
        <v>1704</v>
      </c>
      <c r="KB30" s="15">
        <v>4.9</v>
      </c>
      <c r="KC30" s="15"/>
    </row>
    <row r="31" spans="1:289">
      <c r="A31" s="6" t="s">
        <v>864</v>
      </c>
      <c r="B31" s="6" t="s">
        <v>420</v>
      </c>
      <c r="C31" s="6" t="s">
        <v>421</v>
      </c>
      <c r="D31" s="6" t="s">
        <v>1006</v>
      </c>
      <c r="E31" s="6" t="s">
        <v>1007</v>
      </c>
      <c r="F31" s="8" t="s">
        <v>423</v>
      </c>
      <c r="G31" s="6" t="s">
        <v>567</v>
      </c>
      <c r="H31" s="6" t="s">
        <v>517</v>
      </c>
      <c r="I31" s="15"/>
      <c r="J31" s="6" t="s">
        <v>426</v>
      </c>
      <c r="K31" s="6" t="s">
        <v>426</v>
      </c>
      <c r="L31" s="6" t="s">
        <v>426</v>
      </c>
      <c r="M31" s="6" t="s">
        <v>426</v>
      </c>
      <c r="N31" s="6" t="s">
        <v>426</v>
      </c>
      <c r="O31" s="6" t="s">
        <v>426</v>
      </c>
      <c r="P31" s="6" t="s">
        <v>426</v>
      </c>
      <c r="Q31" s="6" t="s">
        <v>426</v>
      </c>
      <c r="R31" s="6" t="s">
        <v>426</v>
      </c>
      <c r="S31" s="6" t="s">
        <v>426</v>
      </c>
      <c r="T31" s="6" t="s">
        <v>426</v>
      </c>
      <c r="U31" s="6" t="s">
        <v>426</v>
      </c>
      <c r="V31" s="6" t="s">
        <v>426</v>
      </c>
      <c r="W31" s="6" t="s">
        <v>453</v>
      </c>
      <c r="X31" s="6" t="s">
        <v>426</v>
      </c>
      <c r="Y31" s="6" t="s">
        <v>426</v>
      </c>
      <c r="Z31" s="6" t="s">
        <v>426</v>
      </c>
      <c r="AA31" s="6" t="s">
        <v>453</v>
      </c>
      <c r="AB31" s="6" t="s">
        <v>426</v>
      </c>
      <c r="AC31" s="15" t="s">
        <v>426</v>
      </c>
      <c r="AD31" s="6" t="s">
        <v>427</v>
      </c>
      <c r="AE31" s="6">
        <v>0</v>
      </c>
      <c r="AF31" s="6">
        <v>0</v>
      </c>
      <c r="AG31" s="6">
        <v>0</v>
      </c>
      <c r="AH31" s="6">
        <v>1</v>
      </c>
      <c r="AI31" s="6">
        <v>0</v>
      </c>
      <c r="AJ31" s="6">
        <v>0</v>
      </c>
      <c r="AK31" s="6">
        <v>0</v>
      </c>
      <c r="AL31" s="6">
        <v>0</v>
      </c>
      <c r="AM31" s="6"/>
      <c r="AN31" s="15"/>
      <c r="AO31" s="6" t="s">
        <v>426</v>
      </c>
      <c r="AP31" s="6" t="s">
        <v>658</v>
      </c>
      <c r="AQ31" s="6" t="s">
        <v>426</v>
      </c>
      <c r="AR31" s="6" t="s">
        <v>656</v>
      </c>
      <c r="AS31" s="6" t="s">
        <v>426</v>
      </c>
      <c r="AT31" s="6">
        <v>0.2</v>
      </c>
      <c r="AU31" s="6" t="s">
        <v>426</v>
      </c>
      <c r="AV31" s="6">
        <v>0.2</v>
      </c>
      <c r="AW31" s="6" t="s">
        <v>426</v>
      </c>
      <c r="AX31" s="6">
        <v>0.4</v>
      </c>
      <c r="AY31" s="6" t="s">
        <v>426</v>
      </c>
      <c r="AZ31" s="6">
        <v>1</v>
      </c>
      <c r="BA31" s="6" t="s">
        <v>453</v>
      </c>
      <c r="BB31" s="6"/>
      <c r="BC31" s="6" t="s">
        <v>453</v>
      </c>
      <c r="BD31" s="6"/>
      <c r="BE31" s="6" t="s">
        <v>453</v>
      </c>
      <c r="BF31" s="6"/>
      <c r="BG31" s="6" t="s">
        <v>426</v>
      </c>
      <c r="BH31" s="6">
        <v>0.01</v>
      </c>
      <c r="BI31" s="6" t="s">
        <v>426</v>
      </c>
      <c r="BJ31" s="6">
        <v>0.1</v>
      </c>
      <c r="BK31" s="6" t="s">
        <v>453</v>
      </c>
      <c r="BL31" s="6"/>
      <c r="BM31" s="6" t="s">
        <v>426</v>
      </c>
      <c r="BN31" s="6">
        <v>4</v>
      </c>
      <c r="BO31" s="6" t="s">
        <v>453</v>
      </c>
      <c r="BP31" s="6"/>
      <c r="BQ31" s="6" t="s">
        <v>426</v>
      </c>
      <c r="BR31" s="6">
        <v>8</v>
      </c>
      <c r="BS31" s="6" t="s">
        <v>453</v>
      </c>
      <c r="BT31" s="6"/>
      <c r="BU31" s="6" t="s">
        <v>426</v>
      </c>
      <c r="BV31" s="15">
        <v>0.1</v>
      </c>
      <c r="BW31" s="15" t="s">
        <v>518</v>
      </c>
      <c r="BX31" s="15" t="s">
        <v>429</v>
      </c>
      <c r="BY31" s="6" t="s">
        <v>430</v>
      </c>
      <c r="BZ31" s="6" t="s">
        <v>430</v>
      </c>
      <c r="CA31" s="6" t="s">
        <v>430</v>
      </c>
      <c r="CB31" s="6" t="s">
        <v>430</v>
      </c>
      <c r="CC31" s="6" t="s">
        <v>430</v>
      </c>
      <c r="CD31" s="6" t="s">
        <v>430</v>
      </c>
      <c r="CE31" s="6" t="s">
        <v>487</v>
      </c>
      <c r="CF31" s="6" t="s">
        <v>609</v>
      </c>
      <c r="CG31" s="6" t="s">
        <v>487</v>
      </c>
      <c r="CH31" s="6" t="s">
        <v>430</v>
      </c>
      <c r="CI31" s="6" t="s">
        <v>430</v>
      </c>
      <c r="CJ31" s="6" t="s">
        <v>430</v>
      </c>
      <c r="CK31" s="6" t="s">
        <v>430</v>
      </c>
      <c r="CL31" s="6" t="s">
        <v>487</v>
      </c>
      <c r="CM31" s="6" t="s">
        <v>431</v>
      </c>
      <c r="CN31" s="6" t="s">
        <v>487</v>
      </c>
      <c r="CO31" s="15" t="s">
        <v>430</v>
      </c>
      <c r="CP31" s="15" t="s">
        <v>636</v>
      </c>
      <c r="CQ31" s="6" t="s">
        <v>686</v>
      </c>
      <c r="CR31" s="15"/>
      <c r="CS31" s="6" t="s">
        <v>426</v>
      </c>
      <c r="CT31" s="6" t="s">
        <v>1008</v>
      </c>
      <c r="CU31" s="6" t="s">
        <v>1009</v>
      </c>
      <c r="CV31" s="6" t="s">
        <v>1010</v>
      </c>
      <c r="CW31" s="6" t="s">
        <v>762</v>
      </c>
      <c r="CX31" s="15" t="s">
        <v>453</v>
      </c>
      <c r="CY31" s="6"/>
      <c r="CZ31" s="6"/>
      <c r="DA31" s="6"/>
      <c r="DB31" s="6"/>
      <c r="DC31" s="6"/>
      <c r="DD31" s="15"/>
      <c r="DE31" s="15" t="s">
        <v>521</v>
      </c>
      <c r="DF31" s="6" t="s">
        <v>522</v>
      </c>
      <c r="DG31" s="6">
        <v>0</v>
      </c>
      <c r="DH31" s="6">
        <v>1</v>
      </c>
      <c r="DI31" s="6">
        <v>0</v>
      </c>
      <c r="DJ31" s="6">
        <v>0</v>
      </c>
      <c r="DK31" s="6">
        <v>0</v>
      </c>
      <c r="DL31" s="6">
        <v>0</v>
      </c>
      <c r="DM31" s="6"/>
      <c r="DN31" s="6"/>
      <c r="DO31" s="6"/>
      <c r="DP31" s="6"/>
      <c r="DQ31" s="6"/>
      <c r="DR31" s="6"/>
      <c r="DS31" s="6"/>
      <c r="DT31" s="66"/>
      <c r="DU31" s="6" t="s">
        <v>438</v>
      </c>
      <c r="DV31" s="6" t="s">
        <v>426</v>
      </c>
      <c r="DW31" s="6" t="s">
        <v>439</v>
      </c>
      <c r="DX31" s="6" t="s">
        <v>440</v>
      </c>
      <c r="DY31" s="6"/>
      <c r="DZ31" s="6" t="s">
        <v>1011</v>
      </c>
      <c r="EA31" s="6">
        <v>0</v>
      </c>
      <c r="EB31" s="6">
        <v>1</v>
      </c>
      <c r="EC31" s="6">
        <v>0</v>
      </c>
      <c r="ED31" s="6">
        <v>0</v>
      </c>
      <c r="EE31" s="6">
        <v>1</v>
      </c>
      <c r="EF31" s="6">
        <v>0</v>
      </c>
      <c r="EG31" s="6">
        <v>0</v>
      </c>
      <c r="EH31" s="6">
        <v>0</v>
      </c>
      <c r="EI31" s="6"/>
      <c r="EJ31" s="6" t="s">
        <v>811</v>
      </c>
      <c r="EK31" s="6">
        <v>1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/>
      <c r="EU31" s="6" t="s">
        <v>443</v>
      </c>
      <c r="EV31" s="6" t="s">
        <v>588</v>
      </c>
      <c r="EW31" s="6"/>
      <c r="EX31" s="6" t="s">
        <v>870</v>
      </c>
      <c r="EY31" s="6">
        <v>1</v>
      </c>
      <c r="EZ31" s="6">
        <v>0</v>
      </c>
      <c r="FA31" s="6">
        <v>0</v>
      </c>
      <c r="FB31" s="6">
        <v>0</v>
      </c>
      <c r="FC31" s="6">
        <v>1</v>
      </c>
      <c r="FD31" s="6">
        <v>0</v>
      </c>
      <c r="FE31" s="6">
        <v>0</v>
      </c>
      <c r="FF31" s="6">
        <v>0</v>
      </c>
      <c r="FG31" s="6"/>
      <c r="FH31" s="6" t="s">
        <v>909</v>
      </c>
      <c r="FI31" s="6">
        <v>0</v>
      </c>
      <c r="FJ31" s="6">
        <v>0</v>
      </c>
      <c r="FK31" s="6">
        <v>0</v>
      </c>
      <c r="FL31" s="6">
        <v>0</v>
      </c>
      <c r="FM31" s="6">
        <v>1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/>
      <c r="FT31" s="6" t="s">
        <v>556</v>
      </c>
      <c r="FU31" s="6" t="s">
        <v>448</v>
      </c>
      <c r="FV31" s="6"/>
      <c r="FW31" s="6" t="s">
        <v>449</v>
      </c>
      <c r="FX31" s="15" t="s">
        <v>886</v>
      </c>
      <c r="FY31" s="6" t="s">
        <v>1012</v>
      </c>
      <c r="FZ31" s="6"/>
      <c r="GA31" s="6" t="s">
        <v>528</v>
      </c>
      <c r="GB31" s="6" t="s">
        <v>452</v>
      </c>
      <c r="GC31" s="6" t="s">
        <v>426</v>
      </c>
      <c r="GD31" s="6" t="s">
        <v>1013</v>
      </c>
      <c r="GE31" s="6" t="s">
        <v>642</v>
      </c>
      <c r="GF31" s="6" t="s">
        <v>1014</v>
      </c>
      <c r="GG31" s="6" t="s">
        <v>502</v>
      </c>
      <c r="GH31" s="15"/>
      <c r="GI31" s="6" t="s">
        <v>458</v>
      </c>
      <c r="GJ31" s="6" t="s">
        <v>1015</v>
      </c>
      <c r="GK31" s="6" t="s">
        <v>460</v>
      </c>
      <c r="GL31" s="6" t="s">
        <v>857</v>
      </c>
      <c r="GM31" s="6">
        <v>0</v>
      </c>
      <c r="GN31" s="6">
        <v>1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/>
      <c r="GU31" s="6" t="s">
        <v>622</v>
      </c>
      <c r="GV31" s="6" t="s">
        <v>623</v>
      </c>
      <c r="GW31" s="6" t="s">
        <v>464</v>
      </c>
      <c r="GX31" s="6">
        <v>1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/>
      <c r="HE31" s="6" t="s">
        <v>535</v>
      </c>
      <c r="HF31" s="6">
        <v>1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15"/>
      <c r="HM31" s="6" t="s">
        <v>1016</v>
      </c>
      <c r="HN31" s="6"/>
      <c r="HO31" s="6" t="s">
        <v>1017</v>
      </c>
      <c r="HP31" s="6" t="s">
        <v>648</v>
      </c>
      <c r="HQ31" s="6"/>
      <c r="HR31" s="6" t="s">
        <v>1018</v>
      </c>
      <c r="HS31" s="6" t="s">
        <v>508</v>
      </c>
      <c r="HT31" s="6">
        <v>0</v>
      </c>
      <c r="HU31" s="6">
        <v>0</v>
      </c>
      <c r="HV31" s="6">
        <v>1</v>
      </c>
      <c r="HW31" s="6">
        <v>0</v>
      </c>
      <c r="HX31" s="6">
        <v>0</v>
      </c>
      <c r="HY31" s="6">
        <v>0</v>
      </c>
      <c r="HZ31" s="6"/>
      <c r="IA31" s="6" t="s">
        <v>111</v>
      </c>
      <c r="IB31" s="6">
        <v>1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15" t="s">
        <v>1019</v>
      </c>
      <c r="II31" s="6" t="s">
        <v>426</v>
      </c>
      <c r="IJ31" s="6" t="s">
        <v>472</v>
      </c>
      <c r="IK31" s="6">
        <v>1</v>
      </c>
      <c r="IL31" s="6">
        <v>0</v>
      </c>
      <c r="IM31" s="6">
        <v>0</v>
      </c>
      <c r="IN31" s="6"/>
      <c r="IO31" s="6" t="s">
        <v>473</v>
      </c>
      <c r="IP31" s="6">
        <v>1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/>
      <c r="IW31" s="6" t="s">
        <v>426</v>
      </c>
      <c r="IX31" s="6">
        <v>2</v>
      </c>
      <c r="IY31" s="6" t="s">
        <v>474</v>
      </c>
      <c r="IZ31" s="6" t="s">
        <v>475</v>
      </c>
      <c r="JA31" s="6" t="s">
        <v>426</v>
      </c>
      <c r="JB31" s="6" t="s">
        <v>476</v>
      </c>
      <c r="JC31" s="6"/>
      <c r="JD31" s="6"/>
      <c r="JE31" s="6"/>
      <c r="JF31" s="6"/>
      <c r="JG31" s="6"/>
      <c r="JH31" s="6"/>
      <c r="JI31" s="6"/>
      <c r="JJ31" s="6"/>
      <c r="JK31" s="6" t="s">
        <v>453</v>
      </c>
      <c r="JL31" s="6"/>
      <c r="JM31" s="6"/>
      <c r="JN31" s="6"/>
      <c r="JO31" s="6"/>
      <c r="JP31" s="6"/>
      <c r="JQ31" s="6"/>
      <c r="JR31" s="6"/>
      <c r="JS31" s="6"/>
      <c r="JT31" s="6"/>
      <c r="JU31" s="6" t="s">
        <v>477</v>
      </c>
      <c r="JV31" s="15"/>
      <c r="JW31" s="94" t="s">
        <v>1020</v>
      </c>
      <c r="JX31" s="6" t="s">
        <v>1021</v>
      </c>
      <c r="JY31" s="6">
        <v>0.8348608</v>
      </c>
      <c r="JZ31" s="6">
        <v>34.7492195</v>
      </c>
      <c r="KA31" s="6">
        <v>1775.206</v>
      </c>
      <c r="KB31" s="15">
        <v>2.405</v>
      </c>
      <c r="KC31" s="15"/>
    </row>
    <row r="32" spans="1:289">
      <c r="A32" s="6" t="s">
        <v>755</v>
      </c>
      <c r="B32" s="6" t="s">
        <v>420</v>
      </c>
      <c r="C32" s="6" t="s">
        <v>421</v>
      </c>
      <c r="D32" s="6" t="s">
        <v>515</v>
      </c>
      <c r="E32" s="6" t="s">
        <v>1022</v>
      </c>
      <c r="F32" s="8" t="s">
        <v>483</v>
      </c>
      <c r="G32" s="6" t="s">
        <v>731</v>
      </c>
      <c r="H32" s="6" t="s">
        <v>425</v>
      </c>
      <c r="I32" s="15"/>
      <c r="J32" s="6" t="s">
        <v>426</v>
      </c>
      <c r="K32" s="6" t="s">
        <v>426</v>
      </c>
      <c r="L32" s="6" t="s">
        <v>426</v>
      </c>
      <c r="M32" s="6" t="s">
        <v>426</v>
      </c>
      <c r="N32" s="6" t="s">
        <v>426</v>
      </c>
      <c r="O32" s="6" t="s">
        <v>426</v>
      </c>
      <c r="P32" s="6" t="s">
        <v>426</v>
      </c>
      <c r="Q32" s="6" t="s">
        <v>426</v>
      </c>
      <c r="R32" s="6" t="s">
        <v>426</v>
      </c>
      <c r="S32" s="6" t="s">
        <v>426</v>
      </c>
      <c r="T32" s="6" t="s">
        <v>426</v>
      </c>
      <c r="U32" s="6" t="s">
        <v>426</v>
      </c>
      <c r="V32" s="6" t="s">
        <v>453</v>
      </c>
      <c r="W32" s="6" t="s">
        <v>453</v>
      </c>
      <c r="X32" s="6" t="s">
        <v>426</v>
      </c>
      <c r="Y32" s="6" t="s">
        <v>426</v>
      </c>
      <c r="Z32" s="6" t="s">
        <v>426</v>
      </c>
      <c r="AA32" s="6" t="s">
        <v>426</v>
      </c>
      <c r="AB32" s="6" t="s">
        <v>426</v>
      </c>
      <c r="AC32" s="15" t="s">
        <v>426</v>
      </c>
      <c r="AD32" s="6" t="s">
        <v>1023</v>
      </c>
      <c r="AE32" s="6">
        <v>0</v>
      </c>
      <c r="AF32" s="6">
        <v>1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0</v>
      </c>
      <c r="AM32" s="6"/>
      <c r="AN32" s="15"/>
      <c r="AO32" s="6" t="s">
        <v>426</v>
      </c>
      <c r="AP32" s="6" t="s">
        <v>1024</v>
      </c>
      <c r="AQ32" s="6" t="s">
        <v>426</v>
      </c>
      <c r="AR32" s="6" t="s">
        <v>1024</v>
      </c>
      <c r="AS32" s="6" t="s">
        <v>426</v>
      </c>
      <c r="AT32" s="6">
        <v>1</v>
      </c>
      <c r="AU32" s="6" t="s">
        <v>453</v>
      </c>
      <c r="AV32" s="6"/>
      <c r="AW32" s="6" t="s">
        <v>426</v>
      </c>
      <c r="AX32" s="6">
        <v>1</v>
      </c>
      <c r="AY32" s="6" t="s">
        <v>426</v>
      </c>
      <c r="AZ32" s="6">
        <v>5</v>
      </c>
      <c r="BA32" s="6" t="s">
        <v>453</v>
      </c>
      <c r="BB32" s="6"/>
      <c r="BC32" s="6" t="s">
        <v>426</v>
      </c>
      <c r="BD32" s="6">
        <v>1</v>
      </c>
      <c r="BE32" s="6" t="s">
        <v>453</v>
      </c>
      <c r="BF32" s="6"/>
      <c r="BG32" s="6" t="s">
        <v>426</v>
      </c>
      <c r="BH32" s="6">
        <v>1</v>
      </c>
      <c r="BI32" s="6" t="s">
        <v>426</v>
      </c>
      <c r="BJ32" s="6">
        <v>1</v>
      </c>
      <c r="BK32" s="6" t="s">
        <v>426</v>
      </c>
      <c r="BL32" s="6">
        <v>1</v>
      </c>
      <c r="BM32" s="6" t="s">
        <v>426</v>
      </c>
      <c r="BN32" s="6">
        <v>60</v>
      </c>
      <c r="BO32" s="6" t="s">
        <v>426</v>
      </c>
      <c r="BP32" s="6">
        <v>1</v>
      </c>
      <c r="BQ32" s="6" t="s">
        <v>426</v>
      </c>
      <c r="BR32" s="6">
        <v>40</v>
      </c>
      <c r="BS32" s="6" t="s">
        <v>426</v>
      </c>
      <c r="BT32" s="6">
        <v>5</v>
      </c>
      <c r="BU32" s="6" t="s">
        <v>426</v>
      </c>
      <c r="BV32" s="15">
        <v>1</v>
      </c>
      <c r="BW32" s="15" t="s">
        <v>550</v>
      </c>
      <c r="BX32" s="15" t="s">
        <v>429</v>
      </c>
      <c r="BY32" s="6" t="s">
        <v>430</v>
      </c>
      <c r="BZ32" s="6" t="s">
        <v>430</v>
      </c>
      <c r="CA32" s="6" t="s">
        <v>430</v>
      </c>
      <c r="CB32" s="6" t="s">
        <v>430</v>
      </c>
      <c r="CC32" s="6" t="s">
        <v>430</v>
      </c>
      <c r="CD32" s="6" t="s">
        <v>430</v>
      </c>
      <c r="CE32" s="6" t="s">
        <v>486</v>
      </c>
      <c r="CF32" s="6" t="s">
        <v>430</v>
      </c>
      <c r="CG32" s="6" t="s">
        <v>486</v>
      </c>
      <c r="CH32" s="6" t="s">
        <v>430</v>
      </c>
      <c r="CI32" s="6" t="s">
        <v>430</v>
      </c>
      <c r="CJ32" s="6" t="s">
        <v>430</v>
      </c>
      <c r="CK32" s="6" t="s">
        <v>430</v>
      </c>
      <c r="CL32" s="6" t="s">
        <v>431</v>
      </c>
      <c r="CM32" s="6" t="s">
        <v>430</v>
      </c>
      <c r="CN32" s="6" t="s">
        <v>430</v>
      </c>
      <c r="CO32" s="15" t="s">
        <v>430</v>
      </c>
      <c r="CP32" s="15" t="s">
        <v>432</v>
      </c>
      <c r="CQ32" s="6" t="s">
        <v>433</v>
      </c>
      <c r="CR32" s="15"/>
      <c r="CS32" s="6" t="s">
        <v>426</v>
      </c>
      <c r="CT32" s="6" t="s">
        <v>1025</v>
      </c>
      <c r="CU32" s="6" t="s">
        <v>1026</v>
      </c>
      <c r="CV32" s="6" t="s">
        <v>938</v>
      </c>
      <c r="CW32" s="6" t="s">
        <v>1027</v>
      </c>
      <c r="CX32" s="15" t="s">
        <v>426</v>
      </c>
      <c r="CY32" s="6" t="s">
        <v>426</v>
      </c>
      <c r="CZ32" s="6" t="s">
        <v>1028</v>
      </c>
      <c r="DA32" s="6" t="s">
        <v>1029</v>
      </c>
      <c r="DB32" s="6" t="s">
        <v>1030</v>
      </c>
      <c r="DC32" s="6" t="s">
        <v>938</v>
      </c>
      <c r="DD32" s="15" t="s">
        <v>1029</v>
      </c>
      <c r="DE32" s="15" t="s">
        <v>436</v>
      </c>
      <c r="DF32" s="6" t="s">
        <v>611</v>
      </c>
      <c r="DG32" s="6">
        <v>1</v>
      </c>
      <c r="DH32" s="6">
        <v>1</v>
      </c>
      <c r="DI32" s="6">
        <v>0</v>
      </c>
      <c r="DJ32" s="6">
        <v>0</v>
      </c>
      <c r="DK32" s="6">
        <v>0</v>
      </c>
      <c r="DL32" s="6">
        <v>0</v>
      </c>
      <c r="DM32" s="6"/>
      <c r="DN32" s="6"/>
      <c r="DO32" s="6"/>
      <c r="DP32" s="6"/>
      <c r="DQ32" s="6"/>
      <c r="DR32" s="6"/>
      <c r="DS32" s="6"/>
      <c r="DT32" s="66"/>
      <c r="DU32" s="6" t="s">
        <v>438</v>
      </c>
      <c r="DV32" s="6" t="s">
        <v>426</v>
      </c>
      <c r="DW32" s="6" t="s">
        <v>439</v>
      </c>
      <c r="DX32" s="6" t="s">
        <v>440</v>
      </c>
      <c r="DY32" s="6"/>
      <c r="DZ32" s="6" t="s">
        <v>768</v>
      </c>
      <c r="EA32" s="6">
        <v>1</v>
      </c>
      <c r="EB32" s="6">
        <v>1</v>
      </c>
      <c r="EC32" s="6">
        <v>1</v>
      </c>
      <c r="ED32" s="6">
        <v>1</v>
      </c>
      <c r="EE32" s="6">
        <v>1</v>
      </c>
      <c r="EF32" s="6">
        <v>0</v>
      </c>
      <c r="EG32" s="6">
        <v>0</v>
      </c>
      <c r="EH32" s="6">
        <v>0</v>
      </c>
      <c r="EI32" s="6"/>
      <c r="EJ32" s="6" t="s">
        <v>697</v>
      </c>
      <c r="EK32" s="6">
        <v>1</v>
      </c>
      <c r="EL32" s="6">
        <v>1</v>
      </c>
      <c r="EM32" s="6">
        <v>1</v>
      </c>
      <c r="EN32" s="6">
        <v>1</v>
      </c>
      <c r="EO32" s="6">
        <v>1</v>
      </c>
      <c r="EP32" s="6">
        <v>1</v>
      </c>
      <c r="EQ32" s="6">
        <v>0</v>
      </c>
      <c r="ER32" s="6">
        <v>0</v>
      </c>
      <c r="ES32" s="6">
        <v>0</v>
      </c>
      <c r="ET32" s="6"/>
      <c r="EU32" s="6" t="s">
        <v>443</v>
      </c>
      <c r="EV32" s="6" t="s">
        <v>554</v>
      </c>
      <c r="EW32" s="6"/>
      <c r="EX32" s="6" t="s">
        <v>1031</v>
      </c>
      <c r="EY32" s="6">
        <v>1</v>
      </c>
      <c r="EZ32" s="6">
        <v>1</v>
      </c>
      <c r="FA32" s="6">
        <v>0</v>
      </c>
      <c r="FB32" s="6">
        <v>1</v>
      </c>
      <c r="FC32" s="6">
        <v>0</v>
      </c>
      <c r="FD32" s="6">
        <v>0</v>
      </c>
      <c r="FE32" s="6">
        <v>0</v>
      </c>
      <c r="FF32" s="6">
        <v>0</v>
      </c>
      <c r="FG32" s="6"/>
      <c r="FH32" s="6" t="s">
        <v>1032</v>
      </c>
      <c r="FI32" s="6">
        <v>1</v>
      </c>
      <c r="FJ32" s="6">
        <v>0</v>
      </c>
      <c r="FK32" s="6">
        <v>1</v>
      </c>
      <c r="FL32" s="6">
        <v>1</v>
      </c>
      <c r="FM32" s="6">
        <v>1</v>
      </c>
      <c r="FN32" s="6">
        <v>0</v>
      </c>
      <c r="FO32" s="6">
        <v>0</v>
      </c>
      <c r="FP32" s="6">
        <v>0</v>
      </c>
      <c r="FQ32" s="6">
        <v>1</v>
      </c>
      <c r="FR32" s="6">
        <v>0</v>
      </c>
      <c r="FS32" s="6"/>
      <c r="FT32" s="6" t="s">
        <v>447</v>
      </c>
      <c r="FU32" s="6" t="s">
        <v>448</v>
      </c>
      <c r="FV32" s="6"/>
      <c r="FW32" s="6" t="s">
        <v>449</v>
      </c>
      <c r="FX32" s="15" t="s">
        <v>450</v>
      </c>
      <c r="FY32" s="6" t="s">
        <v>451</v>
      </c>
      <c r="FZ32" s="6"/>
      <c r="GA32" s="6" t="s">
        <v>450</v>
      </c>
      <c r="GB32" s="6" t="s">
        <v>501</v>
      </c>
      <c r="GC32" s="6" t="s">
        <v>426</v>
      </c>
      <c r="GD32" s="6" t="s">
        <v>1033</v>
      </c>
      <c r="GE32" s="6" t="s">
        <v>454</v>
      </c>
      <c r="GF32" s="6" t="s">
        <v>773</v>
      </c>
      <c r="GG32" s="6" t="s">
        <v>456</v>
      </c>
      <c r="GH32" s="15" t="s">
        <v>1034</v>
      </c>
      <c r="GI32" s="6" t="s">
        <v>458</v>
      </c>
      <c r="GJ32" s="6" t="s">
        <v>1035</v>
      </c>
      <c r="GK32" s="6" t="s">
        <v>460</v>
      </c>
      <c r="GL32" s="6" t="s">
        <v>461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1</v>
      </c>
      <c r="GS32" s="6">
        <v>0</v>
      </c>
      <c r="GT32" s="6"/>
      <c r="GU32" s="6" t="s">
        <v>534</v>
      </c>
      <c r="GV32" s="6" t="s">
        <v>595</v>
      </c>
      <c r="GW32" s="6" t="s">
        <v>464</v>
      </c>
      <c r="GX32" s="6">
        <v>1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/>
      <c r="HE32" s="6" t="s">
        <v>1036</v>
      </c>
      <c r="HF32" s="6">
        <v>0</v>
      </c>
      <c r="HG32" s="6">
        <v>1</v>
      </c>
      <c r="HH32" s="6">
        <v>0</v>
      </c>
      <c r="HI32" s="6">
        <v>1</v>
      </c>
      <c r="HJ32" s="6">
        <v>0</v>
      </c>
      <c r="HK32" s="6">
        <v>0</v>
      </c>
      <c r="HL32" s="15"/>
      <c r="HM32" s="6" t="s">
        <v>505</v>
      </c>
      <c r="HN32" s="6"/>
      <c r="HO32" s="6" t="s">
        <v>1037</v>
      </c>
      <c r="HP32" s="6" t="s">
        <v>561</v>
      </c>
      <c r="HQ32" s="6"/>
      <c r="HR32" s="6" t="s">
        <v>1038</v>
      </c>
      <c r="HS32" s="6" t="s">
        <v>1039</v>
      </c>
      <c r="HT32" s="6">
        <v>1</v>
      </c>
      <c r="HU32" s="6">
        <v>0</v>
      </c>
      <c r="HV32" s="6">
        <v>1</v>
      </c>
      <c r="HW32" s="6">
        <v>0</v>
      </c>
      <c r="HX32" s="6">
        <v>0</v>
      </c>
      <c r="HY32" s="6">
        <v>0</v>
      </c>
      <c r="HZ32" s="6"/>
      <c r="IA32" s="6" t="s">
        <v>1040</v>
      </c>
      <c r="IB32" s="6">
        <v>1</v>
      </c>
      <c r="IC32" s="6">
        <v>1</v>
      </c>
      <c r="ID32" s="6">
        <v>1</v>
      </c>
      <c r="IE32" s="6">
        <v>0</v>
      </c>
      <c r="IF32" s="6">
        <v>0</v>
      </c>
      <c r="IG32" s="6">
        <v>0</v>
      </c>
      <c r="IH32" s="15" t="s">
        <v>1041</v>
      </c>
      <c r="II32" s="6" t="s">
        <v>426</v>
      </c>
      <c r="IJ32" s="6" t="s">
        <v>472</v>
      </c>
      <c r="IK32" s="6">
        <v>1</v>
      </c>
      <c r="IL32" s="6">
        <v>0</v>
      </c>
      <c r="IM32" s="6">
        <v>0</v>
      </c>
      <c r="IN32" s="6"/>
      <c r="IO32" s="6" t="s">
        <v>473</v>
      </c>
      <c r="IP32" s="6">
        <v>1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/>
      <c r="IW32" s="6" t="s">
        <v>426</v>
      </c>
      <c r="IX32" s="6">
        <v>1</v>
      </c>
      <c r="IY32" s="6" t="s">
        <v>474</v>
      </c>
      <c r="IZ32" s="6" t="s">
        <v>475</v>
      </c>
      <c r="JA32" s="6" t="s">
        <v>426</v>
      </c>
      <c r="JB32" s="6" t="s">
        <v>476</v>
      </c>
      <c r="JC32" s="6"/>
      <c r="JD32" s="6"/>
      <c r="JE32" s="6"/>
      <c r="JF32" s="6"/>
      <c r="JG32" s="6"/>
      <c r="JH32" s="6"/>
      <c r="JI32" s="6"/>
      <c r="JJ32" s="6"/>
      <c r="JK32" s="6" t="s">
        <v>426</v>
      </c>
      <c r="JL32" s="6" t="s">
        <v>453</v>
      </c>
      <c r="JM32" s="6" t="s">
        <v>1042</v>
      </c>
      <c r="JN32" s="6">
        <v>0</v>
      </c>
      <c r="JO32" s="6">
        <v>0</v>
      </c>
      <c r="JP32" s="6">
        <v>1</v>
      </c>
      <c r="JQ32" s="6">
        <v>0</v>
      </c>
      <c r="JR32" s="6">
        <v>0</v>
      </c>
      <c r="JS32" s="6">
        <v>0</v>
      </c>
      <c r="JT32" s="6"/>
      <c r="JU32" s="6" t="s">
        <v>544</v>
      </c>
      <c r="JV32" s="15"/>
      <c r="JW32" s="94" t="s">
        <v>1043</v>
      </c>
      <c r="JX32" s="6" t="s">
        <v>1044</v>
      </c>
      <c r="JY32" s="6">
        <v>0.8404438</v>
      </c>
      <c r="JZ32" s="6">
        <v>34.753022</v>
      </c>
      <c r="KA32" s="6">
        <v>1702.8</v>
      </c>
      <c r="KB32" s="15">
        <v>2.071</v>
      </c>
      <c r="KC32" s="15"/>
    </row>
    <row r="33" spans="1:289">
      <c r="A33" s="6" t="s">
        <v>755</v>
      </c>
      <c r="B33" s="6" t="s">
        <v>420</v>
      </c>
      <c r="C33" s="6" t="s">
        <v>421</v>
      </c>
      <c r="D33" s="6" t="s">
        <v>899</v>
      </c>
      <c r="E33" s="6" t="s">
        <v>1045</v>
      </c>
      <c r="F33" s="8" t="s">
        <v>483</v>
      </c>
      <c r="G33" s="6" t="s">
        <v>567</v>
      </c>
      <c r="H33" s="6" t="s">
        <v>517</v>
      </c>
      <c r="I33" s="15"/>
      <c r="J33" s="6" t="s">
        <v>426</v>
      </c>
      <c r="K33" s="6" t="s">
        <v>426</v>
      </c>
      <c r="L33" s="6" t="s">
        <v>426</v>
      </c>
      <c r="M33" s="6" t="s">
        <v>426</v>
      </c>
      <c r="N33" s="6" t="s">
        <v>426</v>
      </c>
      <c r="O33" s="6" t="s">
        <v>426</v>
      </c>
      <c r="P33" s="6" t="s">
        <v>426</v>
      </c>
      <c r="Q33" s="6" t="s">
        <v>426</v>
      </c>
      <c r="R33" s="6" t="s">
        <v>426</v>
      </c>
      <c r="S33" s="6" t="s">
        <v>426</v>
      </c>
      <c r="T33" s="6" t="s">
        <v>426</v>
      </c>
      <c r="U33" s="6" t="s">
        <v>426</v>
      </c>
      <c r="V33" s="6" t="s">
        <v>426</v>
      </c>
      <c r="W33" s="6" t="s">
        <v>426</v>
      </c>
      <c r="X33" s="6" t="s">
        <v>426</v>
      </c>
      <c r="Y33" s="6" t="s">
        <v>426</v>
      </c>
      <c r="Z33" s="6" t="s">
        <v>426</v>
      </c>
      <c r="AA33" s="6" t="s">
        <v>426</v>
      </c>
      <c r="AB33" s="6" t="s">
        <v>426</v>
      </c>
      <c r="AC33" s="15" t="s">
        <v>426</v>
      </c>
      <c r="AD33" s="6" t="s">
        <v>427</v>
      </c>
      <c r="AE33" s="6">
        <v>0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/>
      <c r="AN33" s="15"/>
      <c r="AO33" s="6" t="s">
        <v>426</v>
      </c>
      <c r="AP33" s="6" t="s">
        <v>766</v>
      </c>
      <c r="AQ33" s="6" t="s">
        <v>426</v>
      </c>
      <c r="AR33" s="6" t="s">
        <v>758</v>
      </c>
      <c r="AS33" s="6" t="s">
        <v>426</v>
      </c>
      <c r="AT33" s="6">
        <v>1</v>
      </c>
      <c r="AU33" s="6" t="s">
        <v>453</v>
      </c>
      <c r="AV33" s="6"/>
      <c r="AW33" s="6" t="s">
        <v>426</v>
      </c>
      <c r="AX33" s="6">
        <v>1</v>
      </c>
      <c r="AY33" s="6" t="s">
        <v>426</v>
      </c>
      <c r="AZ33" s="6">
        <v>5</v>
      </c>
      <c r="BA33" s="6" t="s">
        <v>453</v>
      </c>
      <c r="BB33" s="6"/>
      <c r="BC33" s="6" t="s">
        <v>426</v>
      </c>
      <c r="BD33" s="6">
        <v>1</v>
      </c>
      <c r="BE33" s="6" t="s">
        <v>453</v>
      </c>
      <c r="BF33" s="6"/>
      <c r="BG33" s="6" t="s">
        <v>426</v>
      </c>
      <c r="BH33" s="6">
        <v>1</v>
      </c>
      <c r="BI33" s="6" t="s">
        <v>426</v>
      </c>
      <c r="BJ33" s="6">
        <v>1</v>
      </c>
      <c r="BK33" s="6" t="s">
        <v>426</v>
      </c>
      <c r="BL33" s="6">
        <v>1</v>
      </c>
      <c r="BM33" s="6" t="s">
        <v>426</v>
      </c>
      <c r="BN33" s="6">
        <v>60</v>
      </c>
      <c r="BO33" s="6" t="s">
        <v>426</v>
      </c>
      <c r="BP33" s="6">
        <v>1</v>
      </c>
      <c r="BQ33" s="6" t="s">
        <v>426</v>
      </c>
      <c r="BR33" s="6">
        <v>30</v>
      </c>
      <c r="BS33" s="6" t="s">
        <v>426</v>
      </c>
      <c r="BT33" s="6">
        <v>2</v>
      </c>
      <c r="BU33" s="6" t="s">
        <v>426</v>
      </c>
      <c r="BV33" s="15">
        <v>1</v>
      </c>
      <c r="BW33" s="15" t="s">
        <v>428</v>
      </c>
      <c r="BX33" s="15" t="s">
        <v>429</v>
      </c>
      <c r="BY33" s="6" t="s">
        <v>430</v>
      </c>
      <c r="BZ33" s="6" t="s">
        <v>430</v>
      </c>
      <c r="CA33" s="6" t="s">
        <v>430</v>
      </c>
      <c r="CB33" s="6" t="s">
        <v>430</v>
      </c>
      <c r="CC33" s="6" t="s">
        <v>430</v>
      </c>
      <c r="CD33" s="6" t="s">
        <v>430</v>
      </c>
      <c r="CE33" s="6" t="s">
        <v>486</v>
      </c>
      <c r="CF33" s="6" t="s">
        <v>430</v>
      </c>
      <c r="CG33" s="6" t="s">
        <v>431</v>
      </c>
      <c r="CH33" s="6" t="s">
        <v>430</v>
      </c>
      <c r="CI33" s="6" t="s">
        <v>430</v>
      </c>
      <c r="CJ33" s="6" t="s">
        <v>430</v>
      </c>
      <c r="CK33" s="6" t="s">
        <v>430</v>
      </c>
      <c r="CL33" s="6" t="s">
        <v>430</v>
      </c>
      <c r="CM33" s="6" t="s">
        <v>430</v>
      </c>
      <c r="CN33" s="6" t="s">
        <v>430</v>
      </c>
      <c r="CO33" s="15" t="s">
        <v>430</v>
      </c>
      <c r="CP33" s="15" t="s">
        <v>432</v>
      </c>
      <c r="CQ33" s="6" t="s">
        <v>433</v>
      </c>
      <c r="CR33" s="15"/>
      <c r="CS33" s="6" t="s">
        <v>426</v>
      </c>
      <c r="CT33" s="6" t="s">
        <v>1046</v>
      </c>
      <c r="CU33" s="6" t="s">
        <v>823</v>
      </c>
      <c r="CV33" s="6" t="s">
        <v>1047</v>
      </c>
      <c r="CW33" s="6" t="s">
        <v>1048</v>
      </c>
      <c r="CX33" s="15" t="s">
        <v>426</v>
      </c>
      <c r="CY33" s="6" t="s">
        <v>426</v>
      </c>
      <c r="CZ33" s="6" t="s">
        <v>1046</v>
      </c>
      <c r="DA33" s="6" t="s">
        <v>985</v>
      </c>
      <c r="DB33" s="6" t="s">
        <v>985</v>
      </c>
      <c r="DC33" s="6" t="s">
        <v>846</v>
      </c>
      <c r="DD33" s="15" t="s">
        <v>1049</v>
      </c>
      <c r="DE33" s="15" t="s">
        <v>436</v>
      </c>
      <c r="DF33" s="6" t="s">
        <v>611</v>
      </c>
      <c r="DG33" s="6">
        <v>1</v>
      </c>
      <c r="DH33" s="6">
        <v>1</v>
      </c>
      <c r="DI33" s="6">
        <v>0</v>
      </c>
      <c r="DJ33" s="6">
        <v>0</v>
      </c>
      <c r="DK33" s="6">
        <v>0</v>
      </c>
      <c r="DL33" s="6">
        <v>0</v>
      </c>
      <c r="DM33" s="6"/>
      <c r="DN33" s="6"/>
      <c r="DO33" s="6"/>
      <c r="DP33" s="6"/>
      <c r="DQ33" s="6"/>
      <c r="DR33" s="6"/>
      <c r="DS33" s="6"/>
      <c r="DT33" s="66"/>
      <c r="DU33" s="6" t="s">
        <v>438</v>
      </c>
      <c r="DV33" s="6" t="s">
        <v>426</v>
      </c>
      <c r="DW33" s="6" t="s">
        <v>439</v>
      </c>
      <c r="DX33" s="6" t="s">
        <v>491</v>
      </c>
      <c r="DY33" s="6"/>
      <c r="DZ33" s="6" t="s">
        <v>768</v>
      </c>
      <c r="EA33" s="6">
        <v>1</v>
      </c>
      <c r="EB33" s="6">
        <v>1</v>
      </c>
      <c r="EC33" s="6">
        <v>1</v>
      </c>
      <c r="ED33" s="6">
        <v>1</v>
      </c>
      <c r="EE33" s="6">
        <v>1</v>
      </c>
      <c r="EF33" s="6">
        <v>0</v>
      </c>
      <c r="EG33" s="6">
        <v>0</v>
      </c>
      <c r="EH33" s="6">
        <v>0</v>
      </c>
      <c r="EI33" s="6"/>
      <c r="EJ33" s="6" t="s">
        <v>1050</v>
      </c>
      <c r="EK33" s="6">
        <v>1</v>
      </c>
      <c r="EL33" s="6">
        <v>1</v>
      </c>
      <c r="EM33" s="6">
        <v>1</v>
      </c>
      <c r="EN33" s="6">
        <v>1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/>
      <c r="EU33" s="6" t="s">
        <v>494</v>
      </c>
      <c r="EV33" s="6" t="s">
        <v>554</v>
      </c>
      <c r="EW33" s="6"/>
      <c r="EX33" s="6" t="s">
        <v>1051</v>
      </c>
      <c r="EY33" s="6">
        <v>1</v>
      </c>
      <c r="EZ33" s="6">
        <v>1</v>
      </c>
      <c r="FA33" s="6">
        <v>1</v>
      </c>
      <c r="FB33" s="6">
        <v>1</v>
      </c>
      <c r="FC33" s="6">
        <v>1</v>
      </c>
      <c r="FD33" s="6">
        <v>0</v>
      </c>
      <c r="FE33" s="6">
        <v>0</v>
      </c>
      <c r="FF33" s="6">
        <v>0</v>
      </c>
      <c r="FG33" s="6"/>
      <c r="FH33" s="6" t="s">
        <v>812</v>
      </c>
      <c r="FI33" s="6">
        <v>1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/>
      <c r="FT33" s="6" t="s">
        <v>447</v>
      </c>
      <c r="FU33" s="6" t="s">
        <v>499</v>
      </c>
      <c r="FV33" s="6"/>
      <c r="FW33" s="6" t="s">
        <v>449</v>
      </c>
      <c r="FX33" s="15" t="s">
        <v>450</v>
      </c>
      <c r="FY33" s="6" t="s">
        <v>451</v>
      </c>
      <c r="FZ33" s="6"/>
      <c r="GA33" s="6" t="s">
        <v>450</v>
      </c>
      <c r="GB33" s="6" t="s">
        <v>452</v>
      </c>
      <c r="GC33" s="6" t="s">
        <v>453</v>
      </c>
      <c r="GD33" s="6"/>
      <c r="GE33" s="6" t="s">
        <v>454</v>
      </c>
      <c r="GF33" s="6" t="s">
        <v>1052</v>
      </c>
      <c r="GG33" s="6" t="s">
        <v>456</v>
      </c>
      <c r="GH33" s="15" t="s">
        <v>718</v>
      </c>
      <c r="GI33" s="6" t="s">
        <v>458</v>
      </c>
      <c r="GJ33" s="6" t="s">
        <v>1053</v>
      </c>
      <c r="GK33" s="6" t="s">
        <v>460</v>
      </c>
      <c r="GL33" s="6" t="s">
        <v>1054</v>
      </c>
      <c r="GM33" s="6">
        <v>1</v>
      </c>
      <c r="GN33" s="6">
        <v>0</v>
      </c>
      <c r="GO33" s="6">
        <v>0</v>
      </c>
      <c r="GP33" s="6">
        <v>0</v>
      </c>
      <c r="GQ33" s="6">
        <v>0</v>
      </c>
      <c r="GR33" s="6">
        <v>1</v>
      </c>
      <c r="GS33" s="6">
        <v>0</v>
      </c>
      <c r="GT33" s="6"/>
      <c r="GU33" s="6" t="s">
        <v>534</v>
      </c>
      <c r="GV33" s="6" t="s">
        <v>595</v>
      </c>
      <c r="GW33" s="6" t="s">
        <v>464</v>
      </c>
      <c r="GX33" s="6">
        <v>1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/>
      <c r="HE33" s="6" t="s">
        <v>1055</v>
      </c>
      <c r="HF33" s="6">
        <v>1</v>
      </c>
      <c r="HG33" s="6">
        <v>0</v>
      </c>
      <c r="HH33" s="6">
        <v>1</v>
      </c>
      <c r="HI33" s="6">
        <v>0</v>
      </c>
      <c r="HJ33" s="6">
        <v>0</v>
      </c>
      <c r="HK33" s="6">
        <v>0</v>
      </c>
      <c r="HL33" s="15"/>
      <c r="HM33" s="6" t="s">
        <v>505</v>
      </c>
      <c r="HN33" s="6"/>
      <c r="HO33" s="6" t="s">
        <v>1056</v>
      </c>
      <c r="HP33" s="6" t="s">
        <v>561</v>
      </c>
      <c r="HQ33" s="6"/>
      <c r="HR33" s="6" t="s">
        <v>853</v>
      </c>
      <c r="HS33" s="6" t="s">
        <v>1057</v>
      </c>
      <c r="HT33" s="6">
        <v>0</v>
      </c>
      <c r="HU33" s="6">
        <v>0</v>
      </c>
      <c r="HV33" s="6">
        <v>1</v>
      </c>
      <c r="HW33" s="6">
        <v>1</v>
      </c>
      <c r="HX33" s="6">
        <v>1</v>
      </c>
      <c r="HY33" s="6">
        <v>1</v>
      </c>
      <c r="HZ33" s="6"/>
      <c r="IA33" s="6" t="s">
        <v>1058</v>
      </c>
      <c r="IB33" s="6">
        <v>1</v>
      </c>
      <c r="IC33" s="6">
        <v>1</v>
      </c>
      <c r="ID33" s="6">
        <v>0</v>
      </c>
      <c r="IE33" s="6">
        <v>1</v>
      </c>
      <c r="IF33" s="6">
        <v>1</v>
      </c>
      <c r="IG33" s="6">
        <v>0</v>
      </c>
      <c r="IH33" s="15" t="s">
        <v>1059</v>
      </c>
      <c r="II33" s="6" t="s">
        <v>426</v>
      </c>
      <c r="IJ33" s="6" t="s">
        <v>472</v>
      </c>
      <c r="IK33" s="6">
        <v>1</v>
      </c>
      <c r="IL33" s="6">
        <v>0</v>
      </c>
      <c r="IM33" s="6">
        <v>0</v>
      </c>
      <c r="IN33" s="6"/>
      <c r="IO33" s="6" t="s">
        <v>473</v>
      </c>
      <c r="IP33" s="6">
        <v>1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/>
      <c r="IW33" s="6" t="s">
        <v>426</v>
      </c>
      <c r="IX33" s="6">
        <v>1</v>
      </c>
      <c r="IY33" s="6" t="s">
        <v>474</v>
      </c>
      <c r="IZ33" s="6" t="s">
        <v>475</v>
      </c>
      <c r="JA33" s="6" t="s">
        <v>426</v>
      </c>
      <c r="JB33" s="6" t="s">
        <v>476</v>
      </c>
      <c r="JC33" s="6"/>
      <c r="JD33" s="6"/>
      <c r="JE33" s="6"/>
      <c r="JF33" s="6"/>
      <c r="JG33" s="6"/>
      <c r="JH33" s="6"/>
      <c r="JI33" s="6"/>
      <c r="JJ33" s="6"/>
      <c r="JK33" s="6" t="s">
        <v>426</v>
      </c>
      <c r="JL33" s="6" t="s">
        <v>453</v>
      </c>
      <c r="JM33" s="6" t="s">
        <v>894</v>
      </c>
      <c r="JN33" s="6">
        <v>0</v>
      </c>
      <c r="JO33" s="6">
        <v>1</v>
      </c>
      <c r="JP33" s="6">
        <v>0</v>
      </c>
      <c r="JQ33" s="6">
        <v>0</v>
      </c>
      <c r="JR33" s="6">
        <v>0</v>
      </c>
      <c r="JS33" s="6">
        <v>0</v>
      </c>
      <c r="JT33" s="6"/>
      <c r="JU33" s="6" t="s">
        <v>544</v>
      </c>
      <c r="JV33" s="15"/>
      <c r="JW33" s="94" t="s">
        <v>1060</v>
      </c>
      <c r="JX33" s="6" t="s">
        <v>1061</v>
      </c>
      <c r="JY33" s="6">
        <v>0.8346781</v>
      </c>
      <c r="JZ33" s="6">
        <v>34.7472855</v>
      </c>
      <c r="KA33" s="6">
        <v>1693.279</v>
      </c>
      <c r="KB33" s="15">
        <v>2.882</v>
      </c>
      <c r="KC33" s="15"/>
    </row>
    <row r="34" spans="1:289">
      <c r="A34" s="6" t="s">
        <v>864</v>
      </c>
      <c r="B34" s="6" t="s">
        <v>420</v>
      </c>
      <c r="C34" s="6" t="s">
        <v>421</v>
      </c>
      <c r="D34" s="6" t="s">
        <v>918</v>
      </c>
      <c r="E34" s="6" t="s">
        <v>1062</v>
      </c>
      <c r="F34" s="8" t="s">
        <v>423</v>
      </c>
      <c r="G34" s="6" t="s">
        <v>424</v>
      </c>
      <c r="H34" s="6" t="s">
        <v>425</v>
      </c>
      <c r="I34" s="15"/>
      <c r="J34" s="6" t="s">
        <v>426</v>
      </c>
      <c r="K34" s="6" t="s">
        <v>426</v>
      </c>
      <c r="L34" s="6" t="s">
        <v>426</v>
      </c>
      <c r="M34" s="6" t="s">
        <v>426</v>
      </c>
      <c r="N34" s="6" t="s">
        <v>426</v>
      </c>
      <c r="O34" s="6" t="s">
        <v>426</v>
      </c>
      <c r="P34" s="6" t="s">
        <v>426</v>
      </c>
      <c r="Q34" s="6" t="s">
        <v>426</v>
      </c>
      <c r="R34" s="6" t="s">
        <v>426</v>
      </c>
      <c r="S34" s="6" t="s">
        <v>426</v>
      </c>
      <c r="T34" s="6" t="s">
        <v>426</v>
      </c>
      <c r="U34" s="6" t="s">
        <v>426</v>
      </c>
      <c r="V34" s="6" t="s">
        <v>426</v>
      </c>
      <c r="W34" s="6" t="s">
        <v>426</v>
      </c>
      <c r="X34" s="6" t="s">
        <v>426</v>
      </c>
      <c r="Y34" s="6" t="s">
        <v>426</v>
      </c>
      <c r="Z34" s="6" t="s">
        <v>426</v>
      </c>
      <c r="AA34" s="6" t="s">
        <v>426</v>
      </c>
      <c r="AB34" s="6" t="s">
        <v>426</v>
      </c>
      <c r="AC34" s="15" t="s">
        <v>426</v>
      </c>
      <c r="AD34" s="6" t="s">
        <v>1063</v>
      </c>
      <c r="AE34" s="6">
        <v>1</v>
      </c>
      <c r="AF34" s="6">
        <v>0</v>
      </c>
      <c r="AG34" s="6">
        <v>0</v>
      </c>
      <c r="AH34" s="6">
        <v>1</v>
      </c>
      <c r="AI34" s="6">
        <v>0</v>
      </c>
      <c r="AJ34" s="6">
        <v>0</v>
      </c>
      <c r="AK34" s="6">
        <v>0</v>
      </c>
      <c r="AL34" s="6">
        <v>0</v>
      </c>
      <c r="AM34" s="6"/>
      <c r="AN34" s="15"/>
      <c r="AO34" s="6" t="s">
        <v>426</v>
      </c>
      <c r="AP34" s="6" t="s">
        <v>683</v>
      </c>
      <c r="AQ34" s="6" t="s">
        <v>426</v>
      </c>
      <c r="AR34" s="6" t="s">
        <v>823</v>
      </c>
      <c r="AS34" s="6" t="s">
        <v>426</v>
      </c>
      <c r="AT34" s="6">
        <v>0.2</v>
      </c>
      <c r="AU34" s="6" t="s">
        <v>426</v>
      </c>
      <c r="AV34" s="6">
        <v>0.1</v>
      </c>
      <c r="AW34" s="6" t="s">
        <v>426</v>
      </c>
      <c r="AX34" s="6">
        <v>0.2</v>
      </c>
      <c r="AY34" s="6" t="s">
        <v>426</v>
      </c>
      <c r="AZ34" s="6">
        <v>1</v>
      </c>
      <c r="BA34" s="6" t="s">
        <v>426</v>
      </c>
      <c r="BB34" s="6">
        <v>0.1</v>
      </c>
      <c r="BC34" s="6" t="s">
        <v>426</v>
      </c>
      <c r="BD34" s="6">
        <v>0.4</v>
      </c>
      <c r="BE34" s="6" t="s">
        <v>426</v>
      </c>
      <c r="BF34" s="6">
        <v>40</v>
      </c>
      <c r="BG34" s="6" t="s">
        <v>426</v>
      </c>
      <c r="BH34" s="6">
        <v>0.2</v>
      </c>
      <c r="BI34" s="6" t="s">
        <v>426</v>
      </c>
      <c r="BJ34" s="6">
        <v>0.4</v>
      </c>
      <c r="BK34" s="6" t="s">
        <v>426</v>
      </c>
      <c r="BL34" s="6">
        <v>0.2</v>
      </c>
      <c r="BM34" s="6" t="s">
        <v>426</v>
      </c>
      <c r="BN34" s="6">
        <v>16</v>
      </c>
      <c r="BO34" s="6" t="s">
        <v>426</v>
      </c>
      <c r="BP34" s="6">
        <v>0.4</v>
      </c>
      <c r="BQ34" s="6" t="s">
        <v>426</v>
      </c>
      <c r="BR34" s="6">
        <v>40</v>
      </c>
      <c r="BS34" s="6" t="s">
        <v>426</v>
      </c>
      <c r="BT34" s="6">
        <v>5</v>
      </c>
      <c r="BU34" s="6" t="s">
        <v>426</v>
      </c>
      <c r="BV34" s="15">
        <v>0.4</v>
      </c>
      <c r="BW34" s="15" t="s">
        <v>518</v>
      </c>
      <c r="BX34" s="15" t="s">
        <v>1064</v>
      </c>
      <c r="BY34" s="6" t="s">
        <v>430</v>
      </c>
      <c r="BZ34" s="6" t="s">
        <v>430</v>
      </c>
      <c r="CA34" s="6" t="s">
        <v>431</v>
      </c>
      <c r="CB34" s="6" t="s">
        <v>431</v>
      </c>
      <c r="CC34" s="6" t="s">
        <v>430</v>
      </c>
      <c r="CD34" s="6" t="s">
        <v>430</v>
      </c>
      <c r="CE34" s="6" t="s">
        <v>486</v>
      </c>
      <c r="CF34" s="6" t="s">
        <v>431</v>
      </c>
      <c r="CG34" s="6" t="s">
        <v>430</v>
      </c>
      <c r="CH34" s="6" t="s">
        <v>486</v>
      </c>
      <c r="CI34" s="6" t="s">
        <v>486</v>
      </c>
      <c r="CJ34" s="6" t="s">
        <v>759</v>
      </c>
      <c r="CK34" s="6" t="s">
        <v>430</v>
      </c>
      <c r="CL34" s="6" t="s">
        <v>431</v>
      </c>
      <c r="CM34" s="6" t="s">
        <v>759</v>
      </c>
      <c r="CN34" s="6" t="s">
        <v>430</v>
      </c>
      <c r="CO34" s="15" t="s">
        <v>430</v>
      </c>
      <c r="CP34" s="15" t="s">
        <v>636</v>
      </c>
      <c r="CQ34" s="6" t="s">
        <v>686</v>
      </c>
      <c r="CR34" s="15"/>
      <c r="CS34" s="6" t="s">
        <v>426</v>
      </c>
      <c r="CT34" s="6" t="s">
        <v>1065</v>
      </c>
      <c r="CU34" s="6" t="s">
        <v>1066</v>
      </c>
      <c r="CV34" s="6" t="s">
        <v>1067</v>
      </c>
      <c r="CW34" s="6" t="s">
        <v>1068</v>
      </c>
      <c r="CX34" s="15" t="s">
        <v>453</v>
      </c>
      <c r="CY34" s="6"/>
      <c r="CZ34" s="6"/>
      <c r="DA34" s="6"/>
      <c r="DB34" s="6"/>
      <c r="DC34" s="6"/>
      <c r="DD34" s="15"/>
      <c r="DE34" s="15" t="s">
        <v>521</v>
      </c>
      <c r="DF34" s="6" t="s">
        <v>611</v>
      </c>
      <c r="DG34" s="6">
        <v>1</v>
      </c>
      <c r="DH34" s="6">
        <v>1</v>
      </c>
      <c r="DI34" s="6">
        <v>0</v>
      </c>
      <c r="DJ34" s="6">
        <v>0</v>
      </c>
      <c r="DK34" s="6">
        <v>0</v>
      </c>
      <c r="DL34" s="6">
        <v>0</v>
      </c>
      <c r="DM34" s="6"/>
      <c r="DN34" s="6"/>
      <c r="DO34" s="6"/>
      <c r="DP34" s="6"/>
      <c r="DQ34" s="6"/>
      <c r="DR34" s="6"/>
      <c r="DS34" s="6"/>
      <c r="DT34" s="66"/>
      <c r="DU34" s="6" t="s">
        <v>438</v>
      </c>
      <c r="DV34" s="6" t="s">
        <v>426</v>
      </c>
      <c r="DW34" s="6" t="s">
        <v>490</v>
      </c>
      <c r="DX34" s="6" t="s">
        <v>1069</v>
      </c>
      <c r="DY34" s="6"/>
      <c r="DZ34" s="6" t="s">
        <v>1070</v>
      </c>
      <c r="EA34" s="6">
        <v>0</v>
      </c>
      <c r="EB34" s="6">
        <v>0</v>
      </c>
      <c r="EC34" s="6">
        <v>1</v>
      </c>
      <c r="ED34" s="6">
        <v>1</v>
      </c>
      <c r="EE34" s="6">
        <v>0</v>
      </c>
      <c r="EF34" s="6">
        <v>0</v>
      </c>
      <c r="EG34" s="6">
        <v>0</v>
      </c>
      <c r="EH34" s="6">
        <v>0</v>
      </c>
      <c r="EI34" s="6"/>
      <c r="EJ34" s="6" t="s">
        <v>525</v>
      </c>
      <c r="EK34" s="6">
        <v>1</v>
      </c>
      <c r="EL34" s="6">
        <v>0</v>
      </c>
      <c r="EM34" s="6">
        <v>0</v>
      </c>
      <c r="EN34" s="6">
        <v>1</v>
      </c>
      <c r="EO34" s="6">
        <v>0</v>
      </c>
      <c r="EP34" s="6">
        <v>1</v>
      </c>
      <c r="EQ34" s="6">
        <v>0</v>
      </c>
      <c r="ER34" s="6">
        <v>0</v>
      </c>
      <c r="ES34" s="6">
        <v>0</v>
      </c>
      <c r="ET34" s="6"/>
      <c r="EU34" s="6" t="s">
        <v>494</v>
      </c>
      <c r="EV34" s="6" t="s">
        <v>588</v>
      </c>
      <c r="EW34" s="6"/>
      <c r="EX34" s="6" t="s">
        <v>1071</v>
      </c>
      <c r="EY34" s="6">
        <v>1</v>
      </c>
      <c r="EZ34" s="6">
        <v>1</v>
      </c>
      <c r="FA34" s="6">
        <v>0</v>
      </c>
      <c r="FB34" s="6">
        <v>0</v>
      </c>
      <c r="FC34" s="6">
        <v>1</v>
      </c>
      <c r="FD34" s="6">
        <v>0</v>
      </c>
      <c r="FE34" s="6">
        <v>0</v>
      </c>
      <c r="FF34" s="6">
        <v>0</v>
      </c>
      <c r="FG34" s="6"/>
      <c r="FH34" s="6" t="s">
        <v>812</v>
      </c>
      <c r="FI34" s="6">
        <v>1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/>
      <c r="FT34" s="6" t="s">
        <v>556</v>
      </c>
      <c r="FU34" s="6" t="s">
        <v>743</v>
      </c>
      <c r="FV34" s="6" t="s">
        <v>1072</v>
      </c>
      <c r="FW34" s="6" t="s">
        <v>449</v>
      </c>
      <c r="FX34" s="15" t="s">
        <v>450</v>
      </c>
      <c r="FY34" s="6" t="s">
        <v>529</v>
      </c>
      <c r="FZ34" s="6"/>
      <c r="GA34" s="6" t="s">
        <v>450</v>
      </c>
      <c r="GB34" s="6" t="s">
        <v>501</v>
      </c>
      <c r="GC34" s="6" t="s">
        <v>453</v>
      </c>
      <c r="GD34" s="6"/>
      <c r="GE34" s="6" t="s">
        <v>642</v>
      </c>
      <c r="GF34" s="6" t="s">
        <v>1073</v>
      </c>
      <c r="GG34" s="6" t="s">
        <v>592</v>
      </c>
      <c r="GH34" s="15" t="s">
        <v>1074</v>
      </c>
      <c r="GI34" s="6" t="s">
        <v>458</v>
      </c>
      <c r="GJ34" s="6" t="s">
        <v>1075</v>
      </c>
      <c r="GK34" s="6" t="s">
        <v>460</v>
      </c>
      <c r="GL34" s="6" t="s">
        <v>461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1</v>
      </c>
      <c r="GS34" s="6">
        <v>0</v>
      </c>
      <c r="GT34" s="6"/>
      <c r="GU34" s="6" t="s">
        <v>534</v>
      </c>
      <c r="GV34" s="6" t="s">
        <v>595</v>
      </c>
      <c r="GW34" s="6" t="s">
        <v>464</v>
      </c>
      <c r="GX34" s="6">
        <v>1</v>
      </c>
      <c r="GY34" s="6">
        <v>0</v>
      </c>
      <c r="GZ34" s="6">
        <v>0</v>
      </c>
      <c r="HA34" s="6">
        <v>0</v>
      </c>
      <c r="HB34" s="6">
        <v>0</v>
      </c>
      <c r="HC34" s="6">
        <v>0</v>
      </c>
      <c r="HD34" s="6"/>
      <c r="HE34" s="6" t="s">
        <v>1076</v>
      </c>
      <c r="HF34" s="6">
        <v>1</v>
      </c>
      <c r="HG34" s="6">
        <v>1</v>
      </c>
      <c r="HH34" s="6">
        <v>1</v>
      </c>
      <c r="HI34" s="6">
        <v>0</v>
      </c>
      <c r="HJ34" s="6">
        <v>0</v>
      </c>
      <c r="HK34" s="6">
        <v>0</v>
      </c>
      <c r="HL34" s="15"/>
      <c r="HM34" s="6" t="s">
        <v>873</v>
      </c>
      <c r="HN34" s="6"/>
      <c r="HO34" s="6" t="s">
        <v>1077</v>
      </c>
      <c r="HP34" s="6" t="s">
        <v>537</v>
      </c>
      <c r="HQ34" s="6" t="s">
        <v>1078</v>
      </c>
      <c r="HR34" s="6" t="s">
        <v>1079</v>
      </c>
      <c r="HS34" s="6" t="s">
        <v>508</v>
      </c>
      <c r="HT34" s="6">
        <v>0</v>
      </c>
      <c r="HU34" s="6">
        <v>0</v>
      </c>
      <c r="HV34" s="6">
        <v>1</v>
      </c>
      <c r="HW34" s="6">
        <v>0</v>
      </c>
      <c r="HX34" s="6">
        <v>0</v>
      </c>
      <c r="HY34" s="6">
        <v>0</v>
      </c>
      <c r="HZ34" s="6"/>
      <c r="IA34" s="6" t="s">
        <v>1080</v>
      </c>
      <c r="IB34" s="6">
        <v>1</v>
      </c>
      <c r="IC34" s="6">
        <v>1</v>
      </c>
      <c r="ID34" s="6">
        <v>1</v>
      </c>
      <c r="IE34" s="6">
        <v>1</v>
      </c>
      <c r="IF34" s="6">
        <v>0</v>
      </c>
      <c r="IG34" s="6">
        <v>0</v>
      </c>
      <c r="IH34" s="15" t="s">
        <v>1081</v>
      </c>
      <c r="II34" s="6" t="s">
        <v>426</v>
      </c>
      <c r="IJ34" s="6" t="s">
        <v>602</v>
      </c>
      <c r="IK34" s="6">
        <v>1</v>
      </c>
      <c r="IL34" s="6">
        <v>1</v>
      </c>
      <c r="IM34" s="6">
        <v>0</v>
      </c>
      <c r="IN34" s="6"/>
      <c r="IO34" s="6" t="s">
        <v>473</v>
      </c>
      <c r="IP34" s="6">
        <v>1</v>
      </c>
      <c r="IQ34" s="6">
        <v>0</v>
      </c>
      <c r="IR34" s="6">
        <v>0</v>
      </c>
      <c r="IS34" s="6">
        <v>0</v>
      </c>
      <c r="IT34" s="6">
        <v>0</v>
      </c>
      <c r="IU34" s="6">
        <v>0</v>
      </c>
      <c r="IV34" s="6"/>
      <c r="IW34" s="6" t="s">
        <v>426</v>
      </c>
      <c r="IX34" s="6">
        <v>2</v>
      </c>
      <c r="IY34" s="6" t="s">
        <v>510</v>
      </c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 t="s">
        <v>453</v>
      </c>
      <c r="JL34" s="6"/>
      <c r="JM34" s="6"/>
      <c r="JN34" s="6"/>
      <c r="JO34" s="6"/>
      <c r="JP34" s="6"/>
      <c r="JQ34" s="6"/>
      <c r="JR34" s="6"/>
      <c r="JS34" s="6"/>
      <c r="JT34" s="6"/>
      <c r="JU34" s="6" t="s">
        <v>477</v>
      </c>
      <c r="JV34" s="15"/>
      <c r="JW34" s="94" t="s">
        <v>1082</v>
      </c>
      <c r="JX34" s="6" t="s">
        <v>1083</v>
      </c>
      <c r="JY34" s="6">
        <v>0.8370205</v>
      </c>
      <c r="JZ34" s="6">
        <v>34.7259039</v>
      </c>
      <c r="KA34" s="6">
        <v>0</v>
      </c>
      <c r="KB34" s="15">
        <v>2000</v>
      </c>
      <c r="KC34" s="15"/>
    </row>
    <row r="35" spans="1:289">
      <c r="A35" s="6" t="s">
        <v>633</v>
      </c>
      <c r="B35" s="6" t="s">
        <v>420</v>
      </c>
      <c r="C35" s="6" t="s">
        <v>421</v>
      </c>
      <c r="D35" s="6" t="s">
        <v>918</v>
      </c>
      <c r="E35" s="6" t="s">
        <v>1084</v>
      </c>
      <c r="F35" s="8" t="s">
        <v>483</v>
      </c>
      <c r="G35" s="6" t="s">
        <v>731</v>
      </c>
      <c r="H35" s="6" t="s">
        <v>517</v>
      </c>
      <c r="I35" s="15"/>
      <c r="J35" s="6" t="s">
        <v>426</v>
      </c>
      <c r="K35" s="6" t="s">
        <v>426</v>
      </c>
      <c r="L35" s="6" t="s">
        <v>426</v>
      </c>
      <c r="M35" s="6" t="s">
        <v>426</v>
      </c>
      <c r="N35" s="6" t="s">
        <v>426</v>
      </c>
      <c r="O35" s="6" t="s">
        <v>426</v>
      </c>
      <c r="P35" s="6" t="s">
        <v>426</v>
      </c>
      <c r="Q35" s="6" t="s">
        <v>426</v>
      </c>
      <c r="R35" s="6" t="s">
        <v>426</v>
      </c>
      <c r="S35" s="6" t="s">
        <v>426</v>
      </c>
      <c r="T35" s="6" t="s">
        <v>426</v>
      </c>
      <c r="U35" s="6" t="s">
        <v>426</v>
      </c>
      <c r="V35" s="6" t="s">
        <v>426</v>
      </c>
      <c r="W35" s="6" t="s">
        <v>426</v>
      </c>
      <c r="X35" s="6" t="s">
        <v>426</v>
      </c>
      <c r="Y35" s="6" t="s">
        <v>426</v>
      </c>
      <c r="Z35" s="6" t="s">
        <v>426</v>
      </c>
      <c r="AA35" s="6" t="s">
        <v>426</v>
      </c>
      <c r="AB35" s="6" t="s">
        <v>426</v>
      </c>
      <c r="AC35" s="15" t="s">
        <v>426</v>
      </c>
      <c r="AD35" s="6" t="s">
        <v>427</v>
      </c>
      <c r="AE35" s="6">
        <v>0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/>
      <c r="AN35" s="15"/>
      <c r="AO35" s="6" t="s">
        <v>426</v>
      </c>
      <c r="AP35" s="6" t="s">
        <v>1085</v>
      </c>
      <c r="AQ35" s="6" t="s">
        <v>426</v>
      </c>
      <c r="AR35" s="6" t="s">
        <v>683</v>
      </c>
      <c r="AS35" s="6" t="s">
        <v>426</v>
      </c>
      <c r="AT35" s="6">
        <v>0.5</v>
      </c>
      <c r="AU35" s="6" t="s">
        <v>426</v>
      </c>
      <c r="AV35" s="6">
        <v>0.5</v>
      </c>
      <c r="AW35" s="6" t="s">
        <v>426</v>
      </c>
      <c r="AX35" s="6">
        <v>0.5</v>
      </c>
      <c r="AY35" s="6" t="s">
        <v>426</v>
      </c>
      <c r="AZ35" s="6">
        <v>1</v>
      </c>
      <c r="BA35" s="6" t="s">
        <v>426</v>
      </c>
      <c r="BB35" s="6">
        <v>0.1</v>
      </c>
      <c r="BC35" s="6" t="s">
        <v>426</v>
      </c>
      <c r="BD35" s="6">
        <v>0.1</v>
      </c>
      <c r="BE35" s="6" t="s">
        <v>453</v>
      </c>
      <c r="BF35" s="6"/>
      <c r="BG35" s="6" t="s">
        <v>426</v>
      </c>
      <c r="BH35" s="6">
        <v>0.08</v>
      </c>
      <c r="BI35" s="6" t="s">
        <v>426</v>
      </c>
      <c r="BJ35" s="6">
        <v>0.1</v>
      </c>
      <c r="BK35" s="6" t="s">
        <v>426</v>
      </c>
      <c r="BL35" s="6">
        <v>0.2</v>
      </c>
      <c r="BM35" s="6" t="s">
        <v>426</v>
      </c>
      <c r="BN35" s="6">
        <v>20</v>
      </c>
      <c r="BO35" s="6" t="s">
        <v>426</v>
      </c>
      <c r="BP35" s="6">
        <v>0.08</v>
      </c>
      <c r="BQ35" s="6" t="s">
        <v>426</v>
      </c>
      <c r="BR35" s="6">
        <v>15</v>
      </c>
      <c r="BS35" s="6" t="s">
        <v>426</v>
      </c>
      <c r="BT35" s="6">
        <v>4</v>
      </c>
      <c r="BU35" s="6" t="s">
        <v>426</v>
      </c>
      <c r="BV35" s="15">
        <v>0.1</v>
      </c>
      <c r="BW35" s="15" t="s">
        <v>550</v>
      </c>
      <c r="BX35" s="15" t="s">
        <v>429</v>
      </c>
      <c r="BY35" s="6" t="s">
        <v>430</v>
      </c>
      <c r="BZ35" s="6" t="s">
        <v>430</v>
      </c>
      <c r="CA35" s="6" t="s">
        <v>430</v>
      </c>
      <c r="CB35" s="6" t="s">
        <v>430</v>
      </c>
      <c r="CC35" s="6" t="s">
        <v>430</v>
      </c>
      <c r="CD35" s="6" t="s">
        <v>430</v>
      </c>
      <c r="CE35" s="6" t="s">
        <v>430</v>
      </c>
      <c r="CF35" s="6" t="s">
        <v>430</v>
      </c>
      <c r="CG35" s="6" t="s">
        <v>486</v>
      </c>
      <c r="CH35" s="6" t="s">
        <v>430</v>
      </c>
      <c r="CI35" s="6" t="s">
        <v>430</v>
      </c>
      <c r="CJ35" s="6" t="s">
        <v>430</v>
      </c>
      <c r="CK35" s="6" t="s">
        <v>430</v>
      </c>
      <c r="CL35" s="6" t="s">
        <v>430</v>
      </c>
      <c r="CM35" s="6" t="s">
        <v>430</v>
      </c>
      <c r="CN35" s="6" t="s">
        <v>430</v>
      </c>
      <c r="CO35" s="15" t="s">
        <v>430</v>
      </c>
      <c r="CP35" s="15" t="s">
        <v>432</v>
      </c>
      <c r="CQ35" s="6" t="s">
        <v>433</v>
      </c>
      <c r="CR35" s="15"/>
      <c r="CS35" s="6" t="s">
        <v>426</v>
      </c>
      <c r="CT35" s="6" t="s">
        <v>1086</v>
      </c>
      <c r="CU35" s="6" t="s">
        <v>1087</v>
      </c>
      <c r="CV35" s="6" t="s">
        <v>987</v>
      </c>
      <c r="CW35" s="6" t="s">
        <v>1088</v>
      </c>
      <c r="CX35" s="15" t="s">
        <v>426</v>
      </c>
      <c r="CY35" s="6" t="s">
        <v>426</v>
      </c>
      <c r="CZ35" s="6" t="s">
        <v>1089</v>
      </c>
      <c r="DA35" s="6" t="s">
        <v>1090</v>
      </c>
      <c r="DB35" s="6" t="s">
        <v>1091</v>
      </c>
      <c r="DC35" s="6" t="s">
        <v>825</v>
      </c>
      <c r="DD35" s="15" t="s">
        <v>1092</v>
      </c>
      <c r="DE35" s="15" t="s">
        <v>436</v>
      </c>
      <c r="DF35" s="6" t="s">
        <v>1093</v>
      </c>
      <c r="DG35" s="6">
        <v>1</v>
      </c>
      <c r="DH35" s="6">
        <v>1</v>
      </c>
      <c r="DI35" s="6">
        <v>0</v>
      </c>
      <c r="DJ35" s="6">
        <v>0</v>
      </c>
      <c r="DK35" s="6">
        <v>0</v>
      </c>
      <c r="DL35" s="6">
        <v>0</v>
      </c>
      <c r="DM35" s="6"/>
      <c r="DN35" s="6"/>
      <c r="DO35" s="6"/>
      <c r="DP35" s="6"/>
      <c r="DQ35" s="6"/>
      <c r="DR35" s="6"/>
      <c r="DS35" s="6"/>
      <c r="DT35" s="66"/>
      <c r="DU35" s="6" t="s">
        <v>523</v>
      </c>
      <c r="DV35" s="6" t="s">
        <v>426</v>
      </c>
      <c r="DW35" s="6" t="s">
        <v>439</v>
      </c>
      <c r="DX35" s="6" t="s">
        <v>440</v>
      </c>
      <c r="DY35" s="6"/>
      <c r="DZ35" s="6" t="s">
        <v>991</v>
      </c>
      <c r="EA35" s="6">
        <v>1</v>
      </c>
      <c r="EB35" s="6">
        <v>1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/>
      <c r="EJ35" s="6" t="s">
        <v>1094</v>
      </c>
      <c r="EK35" s="6">
        <v>1</v>
      </c>
      <c r="EL35" s="6">
        <v>0</v>
      </c>
      <c r="EM35" s="6">
        <v>1</v>
      </c>
      <c r="EN35" s="6">
        <v>1</v>
      </c>
      <c r="EO35" s="6">
        <v>1</v>
      </c>
      <c r="EP35" s="6">
        <v>0</v>
      </c>
      <c r="EQ35" s="6">
        <v>0</v>
      </c>
      <c r="ER35" s="6">
        <v>0</v>
      </c>
      <c r="ES35" s="6">
        <v>0</v>
      </c>
      <c r="ET35" s="6"/>
      <c r="EU35" s="6" t="s">
        <v>443</v>
      </c>
      <c r="EV35" s="6" t="s">
        <v>537</v>
      </c>
      <c r="EW35" s="6" t="s">
        <v>538</v>
      </c>
      <c r="EX35" s="6" t="s">
        <v>1095</v>
      </c>
      <c r="EY35" s="6">
        <v>1</v>
      </c>
      <c r="EZ35" s="6">
        <v>0</v>
      </c>
      <c r="FA35" s="6">
        <v>1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/>
      <c r="FH35" s="6" t="s">
        <v>1096</v>
      </c>
      <c r="FI35" s="6">
        <v>1</v>
      </c>
      <c r="FJ35" s="6">
        <v>0</v>
      </c>
      <c r="FK35" s="6">
        <v>0</v>
      </c>
      <c r="FL35" s="6">
        <v>1</v>
      </c>
      <c r="FM35" s="6">
        <v>1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/>
      <c r="FT35" s="6" t="s">
        <v>447</v>
      </c>
      <c r="FU35" s="6" t="s">
        <v>448</v>
      </c>
      <c r="FV35" s="6"/>
      <c r="FW35" s="6" t="s">
        <v>449</v>
      </c>
      <c r="FX35" s="15" t="s">
        <v>450</v>
      </c>
      <c r="FY35" s="6" t="s">
        <v>529</v>
      </c>
      <c r="FZ35" s="6"/>
      <c r="GA35" s="6" t="s">
        <v>450</v>
      </c>
      <c r="GB35" s="6" t="s">
        <v>501</v>
      </c>
      <c r="GC35" s="6" t="s">
        <v>453</v>
      </c>
      <c r="GD35" s="6"/>
      <c r="GE35" s="6" t="s">
        <v>454</v>
      </c>
      <c r="GF35" s="6" t="s">
        <v>1097</v>
      </c>
      <c r="GG35" s="6" t="s">
        <v>456</v>
      </c>
      <c r="GH35" s="15" t="s">
        <v>1098</v>
      </c>
      <c r="GI35" s="6" t="s">
        <v>458</v>
      </c>
      <c r="GJ35" s="6" t="s">
        <v>1099</v>
      </c>
      <c r="GK35" s="6" t="s">
        <v>460</v>
      </c>
      <c r="GL35" s="6" t="s">
        <v>1100</v>
      </c>
      <c r="GM35" s="6">
        <v>1</v>
      </c>
      <c r="GN35" s="6">
        <v>1</v>
      </c>
      <c r="GO35" s="6">
        <v>0</v>
      </c>
      <c r="GP35" s="6">
        <v>0</v>
      </c>
      <c r="GQ35" s="6">
        <v>0</v>
      </c>
      <c r="GR35" s="6">
        <v>1</v>
      </c>
      <c r="GS35" s="6">
        <v>0</v>
      </c>
      <c r="GT35" s="6"/>
      <c r="GU35" s="6" t="s">
        <v>534</v>
      </c>
      <c r="GV35" s="6" t="s">
        <v>595</v>
      </c>
      <c r="GW35" s="6" t="s">
        <v>1101</v>
      </c>
      <c r="GX35" s="6">
        <v>1</v>
      </c>
      <c r="GY35" s="6">
        <v>0</v>
      </c>
      <c r="GZ35" s="6">
        <v>0</v>
      </c>
      <c r="HA35" s="6">
        <v>0</v>
      </c>
      <c r="HB35" s="6">
        <v>0</v>
      </c>
      <c r="HC35" s="6">
        <v>1</v>
      </c>
      <c r="HD35" s="6" t="s">
        <v>1102</v>
      </c>
      <c r="HE35" s="6" t="s">
        <v>1076</v>
      </c>
      <c r="HF35" s="6">
        <v>1</v>
      </c>
      <c r="HG35" s="6">
        <v>1</v>
      </c>
      <c r="HH35" s="6">
        <v>1</v>
      </c>
      <c r="HI35" s="6">
        <v>0</v>
      </c>
      <c r="HJ35" s="6">
        <v>0</v>
      </c>
      <c r="HK35" s="6">
        <v>0</v>
      </c>
      <c r="HL35" s="15"/>
      <c r="HM35" s="6" t="s">
        <v>505</v>
      </c>
      <c r="HN35" s="6"/>
      <c r="HO35" s="6" t="s">
        <v>1103</v>
      </c>
      <c r="HP35" s="6" t="s">
        <v>468</v>
      </c>
      <c r="HQ35" s="6"/>
      <c r="HR35" s="6" t="s">
        <v>1104</v>
      </c>
      <c r="HS35" s="6" t="s">
        <v>508</v>
      </c>
      <c r="HT35" s="6">
        <v>0</v>
      </c>
      <c r="HU35" s="6">
        <v>0</v>
      </c>
      <c r="HV35" s="6">
        <v>1</v>
      </c>
      <c r="HW35" s="6">
        <v>0</v>
      </c>
      <c r="HX35" s="6">
        <v>0</v>
      </c>
      <c r="HY35" s="6">
        <v>0</v>
      </c>
      <c r="HZ35" s="6"/>
      <c r="IA35" s="6" t="s">
        <v>1105</v>
      </c>
      <c r="IB35" s="6">
        <v>1</v>
      </c>
      <c r="IC35" s="6">
        <v>1</v>
      </c>
      <c r="ID35" s="6">
        <v>0</v>
      </c>
      <c r="IE35" s="6">
        <v>0</v>
      </c>
      <c r="IF35" s="6">
        <v>0</v>
      </c>
      <c r="IG35" s="6">
        <v>0</v>
      </c>
      <c r="IH35" s="15" t="s">
        <v>1106</v>
      </c>
      <c r="II35" s="6" t="s">
        <v>426</v>
      </c>
      <c r="IJ35" s="6" t="s">
        <v>472</v>
      </c>
      <c r="IK35" s="6">
        <v>1</v>
      </c>
      <c r="IL35" s="6">
        <v>0</v>
      </c>
      <c r="IM35" s="6">
        <v>0</v>
      </c>
      <c r="IN35" s="6"/>
      <c r="IO35" s="6" t="s">
        <v>473</v>
      </c>
      <c r="IP35" s="6">
        <v>1</v>
      </c>
      <c r="IQ35" s="6">
        <v>0</v>
      </c>
      <c r="IR35" s="6">
        <v>0</v>
      </c>
      <c r="IS35" s="6">
        <v>0</v>
      </c>
      <c r="IT35" s="6">
        <v>0</v>
      </c>
      <c r="IU35" s="6">
        <v>0</v>
      </c>
      <c r="IV35" s="6"/>
      <c r="IW35" s="6" t="s">
        <v>426</v>
      </c>
      <c r="IX35" s="6">
        <v>1</v>
      </c>
      <c r="IY35" s="6" t="s">
        <v>474</v>
      </c>
      <c r="IZ35" s="6" t="s">
        <v>475</v>
      </c>
      <c r="JA35" s="6" t="s">
        <v>426</v>
      </c>
      <c r="JB35" s="6" t="s">
        <v>651</v>
      </c>
      <c r="JC35" s="6"/>
      <c r="JD35" s="6"/>
      <c r="JE35" s="6"/>
      <c r="JF35" s="6"/>
      <c r="JG35" s="6"/>
      <c r="JH35" s="6"/>
      <c r="JI35" s="6"/>
      <c r="JJ35" s="6"/>
      <c r="JK35" s="6" t="s">
        <v>453</v>
      </c>
      <c r="JL35" s="6"/>
      <c r="JM35" s="6"/>
      <c r="JN35" s="6"/>
      <c r="JO35" s="6"/>
      <c r="JP35" s="6"/>
      <c r="JQ35" s="6"/>
      <c r="JR35" s="6"/>
      <c r="JS35" s="6"/>
      <c r="JT35" s="6"/>
      <c r="JU35" s="6" t="s">
        <v>477</v>
      </c>
      <c r="JV35" s="15"/>
      <c r="JW35" s="94" t="s">
        <v>1107</v>
      </c>
      <c r="JX35" s="6" t="s">
        <v>1108</v>
      </c>
      <c r="JY35" s="6">
        <v>0.834545</v>
      </c>
      <c r="JZ35" s="6">
        <v>34.7483178</v>
      </c>
      <c r="KA35" s="6">
        <v>1704</v>
      </c>
      <c r="KB35" s="15">
        <v>5</v>
      </c>
      <c r="KC35" s="15"/>
    </row>
    <row r="36" spans="1:289">
      <c r="A36" s="6" t="s">
        <v>633</v>
      </c>
      <c r="B36" s="6" t="s">
        <v>420</v>
      </c>
      <c r="C36" s="6" t="s">
        <v>421</v>
      </c>
      <c r="D36" s="6" t="s">
        <v>918</v>
      </c>
      <c r="E36" s="6" t="s">
        <v>1109</v>
      </c>
      <c r="F36" s="8" t="s">
        <v>483</v>
      </c>
      <c r="G36" s="6" t="s">
        <v>484</v>
      </c>
      <c r="H36" s="6" t="s">
        <v>517</v>
      </c>
      <c r="I36" s="15"/>
      <c r="J36" s="6" t="s">
        <v>426</v>
      </c>
      <c r="K36" s="6" t="s">
        <v>426</v>
      </c>
      <c r="L36" s="6" t="s">
        <v>426</v>
      </c>
      <c r="M36" s="6" t="s">
        <v>426</v>
      </c>
      <c r="N36" s="6" t="s">
        <v>426</v>
      </c>
      <c r="O36" s="6" t="s">
        <v>426</v>
      </c>
      <c r="P36" s="6" t="s">
        <v>426</v>
      </c>
      <c r="Q36" s="6" t="s">
        <v>426</v>
      </c>
      <c r="R36" s="6" t="s">
        <v>426</v>
      </c>
      <c r="S36" s="6" t="s">
        <v>426</v>
      </c>
      <c r="T36" s="6" t="s">
        <v>426</v>
      </c>
      <c r="U36" s="6" t="s">
        <v>426</v>
      </c>
      <c r="V36" s="6" t="s">
        <v>426</v>
      </c>
      <c r="W36" s="6" t="s">
        <v>426</v>
      </c>
      <c r="X36" s="6" t="s">
        <v>426</v>
      </c>
      <c r="Y36" s="6" t="s">
        <v>426</v>
      </c>
      <c r="Z36" s="6" t="s">
        <v>426</v>
      </c>
      <c r="AA36" s="6" t="s">
        <v>426</v>
      </c>
      <c r="AB36" s="6" t="s">
        <v>426</v>
      </c>
      <c r="AC36" s="15" t="s">
        <v>426</v>
      </c>
      <c r="AD36" s="6" t="s">
        <v>427</v>
      </c>
      <c r="AE36" s="6">
        <v>0</v>
      </c>
      <c r="AF36" s="6">
        <v>0</v>
      </c>
      <c r="AG36" s="6">
        <v>0</v>
      </c>
      <c r="AH36" s="6">
        <v>1</v>
      </c>
      <c r="AI36" s="6">
        <v>0</v>
      </c>
      <c r="AJ36" s="6">
        <v>0</v>
      </c>
      <c r="AK36" s="6">
        <v>0</v>
      </c>
      <c r="AL36" s="6">
        <v>0</v>
      </c>
      <c r="AM36" s="6"/>
      <c r="AN36" s="15"/>
      <c r="AO36" s="6" t="s">
        <v>426</v>
      </c>
      <c r="AP36" s="6" t="s">
        <v>920</v>
      </c>
      <c r="AQ36" s="6" t="s">
        <v>426</v>
      </c>
      <c r="AR36" s="6" t="s">
        <v>920</v>
      </c>
      <c r="AS36" s="6" t="s">
        <v>426</v>
      </c>
      <c r="AT36" s="6">
        <v>0.2</v>
      </c>
      <c r="AU36" s="6" t="s">
        <v>426</v>
      </c>
      <c r="AV36" s="6">
        <v>0.2</v>
      </c>
      <c r="AW36" s="6" t="s">
        <v>426</v>
      </c>
      <c r="AX36" s="6">
        <v>0.2</v>
      </c>
      <c r="AY36" s="6" t="s">
        <v>426</v>
      </c>
      <c r="AZ36" s="6">
        <v>1</v>
      </c>
      <c r="BA36" s="6" t="s">
        <v>426</v>
      </c>
      <c r="BB36" s="6">
        <v>0.1</v>
      </c>
      <c r="BC36" s="6" t="s">
        <v>426</v>
      </c>
      <c r="BD36" s="6">
        <v>0.1</v>
      </c>
      <c r="BE36" s="6" t="s">
        <v>426</v>
      </c>
      <c r="BF36" s="6">
        <v>1</v>
      </c>
      <c r="BG36" s="6" t="s">
        <v>426</v>
      </c>
      <c r="BH36" s="6">
        <v>0.08</v>
      </c>
      <c r="BI36" s="6" t="s">
        <v>426</v>
      </c>
      <c r="BJ36" s="6">
        <v>0.2</v>
      </c>
      <c r="BK36" s="6" t="s">
        <v>426</v>
      </c>
      <c r="BL36" s="6">
        <v>0.2</v>
      </c>
      <c r="BM36" s="6" t="s">
        <v>426</v>
      </c>
      <c r="BN36" s="6">
        <v>20</v>
      </c>
      <c r="BO36" s="6" t="s">
        <v>426</v>
      </c>
      <c r="BP36" s="6">
        <v>0.08</v>
      </c>
      <c r="BQ36" s="6" t="s">
        <v>426</v>
      </c>
      <c r="BR36" s="6">
        <v>30</v>
      </c>
      <c r="BS36" s="6" t="s">
        <v>426</v>
      </c>
      <c r="BT36" s="6">
        <v>4</v>
      </c>
      <c r="BU36" s="6" t="s">
        <v>426</v>
      </c>
      <c r="BV36" s="15">
        <v>0.2</v>
      </c>
      <c r="BW36" s="15" t="s">
        <v>550</v>
      </c>
      <c r="BX36" s="15" t="s">
        <v>429</v>
      </c>
      <c r="BY36" s="6" t="s">
        <v>430</v>
      </c>
      <c r="BZ36" s="6" t="s">
        <v>430</v>
      </c>
      <c r="CA36" s="6" t="s">
        <v>430</v>
      </c>
      <c r="CB36" s="6" t="s">
        <v>430</v>
      </c>
      <c r="CC36" s="6" t="s">
        <v>430</v>
      </c>
      <c r="CD36" s="6" t="s">
        <v>430</v>
      </c>
      <c r="CE36" s="6" t="s">
        <v>430</v>
      </c>
      <c r="CF36" s="6" t="s">
        <v>430</v>
      </c>
      <c r="CG36" s="6" t="s">
        <v>430</v>
      </c>
      <c r="CH36" s="6" t="s">
        <v>430</v>
      </c>
      <c r="CI36" s="6" t="s">
        <v>430</v>
      </c>
      <c r="CJ36" s="6" t="s">
        <v>430</v>
      </c>
      <c r="CK36" s="6" t="s">
        <v>430</v>
      </c>
      <c r="CL36" s="6" t="s">
        <v>430</v>
      </c>
      <c r="CM36" s="6" t="s">
        <v>430</v>
      </c>
      <c r="CN36" s="6" t="s">
        <v>430</v>
      </c>
      <c r="CO36" s="15" t="s">
        <v>430</v>
      </c>
      <c r="CP36" s="15" t="s">
        <v>432</v>
      </c>
      <c r="CQ36" s="6" t="s">
        <v>433</v>
      </c>
      <c r="CR36" s="15"/>
      <c r="CS36" s="6" t="s">
        <v>453</v>
      </c>
      <c r="CT36" s="6"/>
      <c r="CU36" s="6"/>
      <c r="CV36" s="6"/>
      <c r="CW36" s="6"/>
      <c r="CX36" s="15" t="s">
        <v>426</v>
      </c>
      <c r="CY36" s="6" t="s">
        <v>426</v>
      </c>
      <c r="CZ36" s="6" t="s">
        <v>1110</v>
      </c>
      <c r="DA36" s="6" t="s">
        <v>736</v>
      </c>
      <c r="DB36" s="6" t="s">
        <v>734</v>
      </c>
      <c r="DC36" s="6" t="s">
        <v>660</v>
      </c>
      <c r="DD36" s="15" t="s">
        <v>1111</v>
      </c>
      <c r="DE36" s="15" t="s">
        <v>436</v>
      </c>
      <c r="DF36" s="6" t="s">
        <v>611</v>
      </c>
      <c r="DG36" s="6">
        <v>1</v>
      </c>
      <c r="DH36" s="6">
        <v>1</v>
      </c>
      <c r="DI36" s="6">
        <v>0</v>
      </c>
      <c r="DJ36" s="6">
        <v>0</v>
      </c>
      <c r="DK36" s="6">
        <v>0</v>
      </c>
      <c r="DL36" s="6">
        <v>0</v>
      </c>
      <c r="DM36" s="6"/>
      <c r="DN36" s="6"/>
      <c r="DO36" s="6"/>
      <c r="DP36" s="6"/>
      <c r="DQ36" s="6"/>
      <c r="DR36" s="6"/>
      <c r="DS36" s="6"/>
      <c r="DT36" s="66"/>
      <c r="DU36" s="6" t="s">
        <v>523</v>
      </c>
      <c r="DV36" s="6" t="s">
        <v>426</v>
      </c>
      <c r="DW36" s="6" t="s">
        <v>439</v>
      </c>
      <c r="DX36" s="6" t="s">
        <v>440</v>
      </c>
      <c r="DY36" s="6"/>
      <c r="DZ36" s="6" t="s">
        <v>768</v>
      </c>
      <c r="EA36" s="6">
        <v>1</v>
      </c>
      <c r="EB36" s="6">
        <v>1</v>
      </c>
      <c r="EC36" s="6">
        <v>1</v>
      </c>
      <c r="ED36" s="6">
        <v>1</v>
      </c>
      <c r="EE36" s="6">
        <v>1</v>
      </c>
      <c r="EF36" s="6">
        <v>0</v>
      </c>
      <c r="EG36" s="6">
        <v>0</v>
      </c>
      <c r="EH36" s="6">
        <v>0</v>
      </c>
      <c r="EI36" s="6"/>
      <c r="EJ36" s="6" t="s">
        <v>1094</v>
      </c>
      <c r="EK36" s="6">
        <v>1</v>
      </c>
      <c r="EL36" s="6">
        <v>0</v>
      </c>
      <c r="EM36" s="6">
        <v>1</v>
      </c>
      <c r="EN36" s="6">
        <v>1</v>
      </c>
      <c r="EO36" s="6">
        <v>1</v>
      </c>
      <c r="EP36" s="6">
        <v>0</v>
      </c>
      <c r="EQ36" s="6">
        <v>0</v>
      </c>
      <c r="ER36" s="6">
        <v>0</v>
      </c>
      <c r="ES36" s="6">
        <v>0</v>
      </c>
      <c r="ET36" s="6"/>
      <c r="EU36" s="6" t="s">
        <v>443</v>
      </c>
      <c r="EV36" s="6" t="s">
        <v>641</v>
      </c>
      <c r="EW36" s="6"/>
      <c r="EX36" s="6" t="s">
        <v>770</v>
      </c>
      <c r="EY36" s="6">
        <v>1</v>
      </c>
      <c r="EZ36" s="6">
        <v>1</v>
      </c>
      <c r="FA36" s="6">
        <v>1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/>
      <c r="FH36" s="6" t="s">
        <v>1096</v>
      </c>
      <c r="FI36" s="6">
        <v>1</v>
      </c>
      <c r="FJ36" s="6">
        <v>0</v>
      </c>
      <c r="FK36" s="6">
        <v>0</v>
      </c>
      <c r="FL36" s="6">
        <v>1</v>
      </c>
      <c r="FM36" s="6">
        <v>1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/>
      <c r="FT36" s="6" t="s">
        <v>447</v>
      </c>
      <c r="FU36" s="6" t="s">
        <v>448</v>
      </c>
      <c r="FV36" s="6"/>
      <c r="FW36" s="6" t="s">
        <v>449</v>
      </c>
      <c r="FX36" s="15" t="s">
        <v>450</v>
      </c>
      <c r="FY36" s="6" t="s">
        <v>529</v>
      </c>
      <c r="FZ36" s="6"/>
      <c r="GA36" s="6" t="s">
        <v>450</v>
      </c>
      <c r="GB36" s="6" t="s">
        <v>501</v>
      </c>
      <c r="GC36" s="6" t="s">
        <v>453</v>
      </c>
      <c r="GD36" s="6"/>
      <c r="GE36" s="6" t="s">
        <v>454</v>
      </c>
      <c r="GF36" s="6" t="s">
        <v>1112</v>
      </c>
      <c r="GG36" s="6" t="s">
        <v>456</v>
      </c>
      <c r="GH36" s="15" t="s">
        <v>1113</v>
      </c>
      <c r="GI36" s="6" t="s">
        <v>458</v>
      </c>
      <c r="GJ36" s="6" t="s">
        <v>1114</v>
      </c>
      <c r="GK36" s="6" t="s">
        <v>460</v>
      </c>
      <c r="GL36" s="6" t="s">
        <v>1100</v>
      </c>
      <c r="GM36" s="6">
        <v>1</v>
      </c>
      <c r="GN36" s="6">
        <v>1</v>
      </c>
      <c r="GO36" s="6">
        <v>0</v>
      </c>
      <c r="GP36" s="6">
        <v>0</v>
      </c>
      <c r="GQ36" s="6">
        <v>0</v>
      </c>
      <c r="GR36" s="6">
        <v>1</v>
      </c>
      <c r="GS36" s="6">
        <v>0</v>
      </c>
      <c r="GT36" s="6"/>
      <c r="GU36" s="6" t="s">
        <v>534</v>
      </c>
      <c r="GV36" s="6" t="s">
        <v>595</v>
      </c>
      <c r="GW36" s="6" t="s">
        <v>1101</v>
      </c>
      <c r="GX36" s="6">
        <v>1</v>
      </c>
      <c r="GY36" s="6">
        <v>0</v>
      </c>
      <c r="GZ36" s="6">
        <v>0</v>
      </c>
      <c r="HA36" s="6">
        <v>0</v>
      </c>
      <c r="HB36" s="6">
        <v>0</v>
      </c>
      <c r="HC36" s="6">
        <v>1</v>
      </c>
      <c r="HD36" s="6" t="s">
        <v>1115</v>
      </c>
      <c r="HE36" s="6" t="s">
        <v>596</v>
      </c>
      <c r="HF36" s="6">
        <v>1</v>
      </c>
      <c r="HG36" s="6">
        <v>1</v>
      </c>
      <c r="HH36" s="6">
        <v>1</v>
      </c>
      <c r="HI36" s="6">
        <v>1</v>
      </c>
      <c r="HJ36" s="6">
        <v>0</v>
      </c>
      <c r="HK36" s="6">
        <v>0</v>
      </c>
      <c r="HL36" s="15"/>
      <c r="HM36" s="6" t="s">
        <v>505</v>
      </c>
      <c r="HN36" s="6"/>
      <c r="HO36" s="6" t="s">
        <v>1116</v>
      </c>
      <c r="HP36" s="6" t="s">
        <v>648</v>
      </c>
      <c r="HQ36" s="6"/>
      <c r="HR36" s="6" t="s">
        <v>1117</v>
      </c>
      <c r="HS36" s="6" t="s">
        <v>508</v>
      </c>
      <c r="HT36" s="6">
        <v>0</v>
      </c>
      <c r="HU36" s="6">
        <v>0</v>
      </c>
      <c r="HV36" s="6">
        <v>1</v>
      </c>
      <c r="HW36" s="6">
        <v>0</v>
      </c>
      <c r="HX36" s="6">
        <v>0</v>
      </c>
      <c r="HY36" s="6">
        <v>0</v>
      </c>
      <c r="HZ36" s="6"/>
      <c r="IA36" s="6" t="s">
        <v>1105</v>
      </c>
      <c r="IB36" s="6">
        <v>1</v>
      </c>
      <c r="IC36" s="6">
        <v>1</v>
      </c>
      <c r="ID36" s="6">
        <v>0</v>
      </c>
      <c r="IE36" s="6">
        <v>0</v>
      </c>
      <c r="IF36" s="6">
        <v>0</v>
      </c>
      <c r="IG36" s="6">
        <v>0</v>
      </c>
      <c r="IH36" s="15" t="s">
        <v>1118</v>
      </c>
      <c r="II36" s="6" t="s">
        <v>426</v>
      </c>
      <c r="IJ36" s="6" t="s">
        <v>472</v>
      </c>
      <c r="IK36" s="6">
        <v>1</v>
      </c>
      <c r="IL36" s="6">
        <v>0</v>
      </c>
      <c r="IM36" s="6">
        <v>0</v>
      </c>
      <c r="IN36" s="6"/>
      <c r="IO36" s="6" t="s">
        <v>473</v>
      </c>
      <c r="IP36" s="6">
        <v>1</v>
      </c>
      <c r="IQ36" s="6">
        <v>0</v>
      </c>
      <c r="IR36" s="6">
        <v>0</v>
      </c>
      <c r="IS36" s="6">
        <v>0</v>
      </c>
      <c r="IT36" s="6">
        <v>0</v>
      </c>
      <c r="IU36" s="6">
        <v>0</v>
      </c>
      <c r="IV36" s="6"/>
      <c r="IW36" s="6" t="s">
        <v>453</v>
      </c>
      <c r="IX36" s="6"/>
      <c r="IY36" s="6" t="s">
        <v>510</v>
      </c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 t="s">
        <v>453</v>
      </c>
      <c r="JK36" s="6" t="s">
        <v>453</v>
      </c>
      <c r="JL36" s="6"/>
      <c r="JM36" s="6"/>
      <c r="JN36" s="6"/>
      <c r="JO36" s="6"/>
      <c r="JP36" s="6"/>
      <c r="JQ36" s="6"/>
      <c r="JR36" s="6"/>
      <c r="JS36" s="6"/>
      <c r="JT36" s="6"/>
      <c r="JU36" s="6" t="s">
        <v>511</v>
      </c>
      <c r="JV36" s="15"/>
      <c r="JW36" s="94" t="s">
        <v>1119</v>
      </c>
      <c r="JX36" s="6" t="s">
        <v>1120</v>
      </c>
      <c r="JY36" s="6">
        <v>0.834565</v>
      </c>
      <c r="JZ36" s="6">
        <v>34.7482547</v>
      </c>
      <c r="KA36" s="6">
        <v>1720</v>
      </c>
      <c r="KB36" s="15">
        <v>4.9</v>
      </c>
      <c r="KC36" s="15"/>
    </row>
    <row r="37" spans="1:289">
      <c r="A37" s="6" t="s">
        <v>547</v>
      </c>
      <c r="B37" s="6" t="s">
        <v>420</v>
      </c>
      <c r="C37" s="6" t="s">
        <v>421</v>
      </c>
      <c r="D37" s="6" t="s">
        <v>548</v>
      </c>
      <c r="E37" s="6" t="s">
        <v>1121</v>
      </c>
      <c r="F37" s="8" t="s">
        <v>423</v>
      </c>
      <c r="G37" s="6" t="s">
        <v>731</v>
      </c>
      <c r="H37" s="6" t="s">
        <v>517</v>
      </c>
      <c r="I37" s="15"/>
      <c r="J37" s="6" t="s">
        <v>426</v>
      </c>
      <c r="K37" s="6" t="s">
        <v>426</v>
      </c>
      <c r="L37" s="6" t="s">
        <v>426</v>
      </c>
      <c r="M37" s="6" t="s">
        <v>426</v>
      </c>
      <c r="N37" s="6" t="s">
        <v>426</v>
      </c>
      <c r="O37" s="6" t="s">
        <v>426</v>
      </c>
      <c r="P37" s="6" t="s">
        <v>426</v>
      </c>
      <c r="Q37" s="6" t="s">
        <v>426</v>
      </c>
      <c r="R37" s="6" t="s">
        <v>426</v>
      </c>
      <c r="S37" s="6" t="s">
        <v>426</v>
      </c>
      <c r="T37" s="6" t="s">
        <v>426</v>
      </c>
      <c r="U37" s="6" t="s">
        <v>426</v>
      </c>
      <c r="V37" s="6" t="s">
        <v>426</v>
      </c>
      <c r="W37" s="6" t="s">
        <v>426</v>
      </c>
      <c r="X37" s="6" t="s">
        <v>426</v>
      </c>
      <c r="Y37" s="6" t="s">
        <v>426</v>
      </c>
      <c r="Z37" s="6" t="s">
        <v>426</v>
      </c>
      <c r="AA37" s="6" t="s">
        <v>426</v>
      </c>
      <c r="AB37" s="6" t="s">
        <v>453</v>
      </c>
      <c r="AC37" s="15" t="s">
        <v>453</v>
      </c>
      <c r="AD37" s="6" t="s">
        <v>427</v>
      </c>
      <c r="AE37" s="6">
        <v>0</v>
      </c>
      <c r="AF37" s="6">
        <v>0</v>
      </c>
      <c r="AG37" s="6">
        <v>0</v>
      </c>
      <c r="AH37" s="6">
        <v>1</v>
      </c>
      <c r="AI37" s="6">
        <v>0</v>
      </c>
      <c r="AJ37" s="6">
        <v>0</v>
      </c>
      <c r="AK37" s="6">
        <v>0</v>
      </c>
      <c r="AL37" s="6">
        <v>0</v>
      </c>
      <c r="AM37" s="6"/>
      <c r="AN37" s="15"/>
      <c r="AO37" s="6" t="s">
        <v>426</v>
      </c>
      <c r="AP37" s="6" t="s">
        <v>683</v>
      </c>
      <c r="AQ37" s="6" t="s">
        <v>426</v>
      </c>
      <c r="AR37" s="6" t="s">
        <v>823</v>
      </c>
      <c r="AS37" s="6" t="s">
        <v>426</v>
      </c>
      <c r="AT37" s="6">
        <v>0.4</v>
      </c>
      <c r="AU37" s="6" t="s">
        <v>426</v>
      </c>
      <c r="AV37" s="6">
        <v>0.2</v>
      </c>
      <c r="AW37" s="6" t="s">
        <v>426</v>
      </c>
      <c r="AX37" s="6">
        <v>0.8</v>
      </c>
      <c r="AY37" s="6" t="s">
        <v>426</v>
      </c>
      <c r="AZ37" s="6">
        <v>1</v>
      </c>
      <c r="BA37" s="6" t="s">
        <v>453</v>
      </c>
      <c r="BB37" s="6"/>
      <c r="BC37" s="6" t="s">
        <v>426</v>
      </c>
      <c r="BD37" s="6">
        <v>0.2</v>
      </c>
      <c r="BE37" s="6" t="s">
        <v>453</v>
      </c>
      <c r="BF37" s="6"/>
      <c r="BG37" s="6" t="s">
        <v>426</v>
      </c>
      <c r="BH37" s="6">
        <v>0.4</v>
      </c>
      <c r="BI37" s="6" t="s">
        <v>426</v>
      </c>
      <c r="BJ37" s="6">
        <v>0.4</v>
      </c>
      <c r="BK37" s="6" t="s">
        <v>426</v>
      </c>
      <c r="BL37" s="6">
        <v>0.8</v>
      </c>
      <c r="BM37" s="6" t="s">
        <v>426</v>
      </c>
      <c r="BN37" s="6">
        <v>15</v>
      </c>
      <c r="BO37" s="6" t="s">
        <v>426</v>
      </c>
      <c r="BP37" s="6">
        <v>0.4</v>
      </c>
      <c r="BQ37" s="6" t="s">
        <v>426</v>
      </c>
      <c r="BR37" s="6">
        <v>200</v>
      </c>
      <c r="BS37" s="6" t="s">
        <v>426</v>
      </c>
      <c r="BT37" s="6">
        <v>20</v>
      </c>
      <c r="BU37" s="6" t="s">
        <v>426</v>
      </c>
      <c r="BV37" s="15">
        <v>0.8</v>
      </c>
      <c r="BW37" s="15" t="s">
        <v>428</v>
      </c>
      <c r="BX37" s="15" t="s">
        <v>485</v>
      </c>
      <c r="BY37" s="6" t="s">
        <v>430</v>
      </c>
      <c r="BZ37" s="6" t="s">
        <v>430</v>
      </c>
      <c r="CA37" s="6" t="s">
        <v>430</v>
      </c>
      <c r="CB37" s="6" t="s">
        <v>430</v>
      </c>
      <c r="CC37" s="6" t="s">
        <v>430</v>
      </c>
      <c r="CD37" s="6" t="s">
        <v>430</v>
      </c>
      <c r="CE37" s="6" t="s">
        <v>487</v>
      </c>
      <c r="CF37" s="6" t="s">
        <v>430</v>
      </c>
      <c r="CG37" s="6" t="s">
        <v>430</v>
      </c>
      <c r="CH37" s="6" t="s">
        <v>430</v>
      </c>
      <c r="CI37" s="6" t="s">
        <v>430</v>
      </c>
      <c r="CJ37" s="6" t="s">
        <v>430</v>
      </c>
      <c r="CK37" s="6" t="s">
        <v>430</v>
      </c>
      <c r="CL37" s="6" t="s">
        <v>430</v>
      </c>
      <c r="CM37" s="6" t="s">
        <v>430</v>
      </c>
      <c r="CN37" s="6" t="s">
        <v>430</v>
      </c>
      <c r="CO37" s="15" t="s">
        <v>430</v>
      </c>
      <c r="CP37" s="15" t="s">
        <v>432</v>
      </c>
      <c r="CQ37" s="6" t="s">
        <v>433</v>
      </c>
      <c r="CR37" s="15"/>
      <c r="CS37" s="6" t="s">
        <v>426</v>
      </c>
      <c r="CT37" s="6" t="s">
        <v>1122</v>
      </c>
      <c r="CU37" s="6" t="s">
        <v>1087</v>
      </c>
      <c r="CV37" s="6" t="s">
        <v>938</v>
      </c>
      <c r="CW37" s="6" t="s">
        <v>938</v>
      </c>
      <c r="CX37" s="15" t="s">
        <v>426</v>
      </c>
      <c r="CY37" s="6" t="s">
        <v>453</v>
      </c>
      <c r="CZ37" s="6"/>
      <c r="DA37" s="6"/>
      <c r="DB37" s="6"/>
      <c r="DC37" s="6"/>
      <c r="DD37" s="15"/>
      <c r="DE37" s="15" t="s">
        <v>436</v>
      </c>
      <c r="DF37" s="6" t="s">
        <v>522</v>
      </c>
      <c r="DG37" s="6">
        <v>0</v>
      </c>
      <c r="DH37" s="6">
        <v>1</v>
      </c>
      <c r="DI37" s="6">
        <v>0</v>
      </c>
      <c r="DJ37" s="6">
        <v>0</v>
      </c>
      <c r="DK37" s="6">
        <v>0</v>
      </c>
      <c r="DL37" s="6">
        <v>0</v>
      </c>
      <c r="DM37" s="6"/>
      <c r="DN37" s="6"/>
      <c r="DO37" s="6"/>
      <c r="DP37" s="6"/>
      <c r="DQ37" s="6"/>
      <c r="DR37" s="6"/>
      <c r="DS37" s="6"/>
      <c r="DT37" s="66"/>
      <c r="DU37" s="6" t="s">
        <v>438</v>
      </c>
      <c r="DV37" s="6" t="s">
        <v>426</v>
      </c>
      <c r="DW37" s="6" t="s">
        <v>439</v>
      </c>
      <c r="DX37" s="6" t="s">
        <v>440</v>
      </c>
      <c r="DY37" s="6"/>
      <c r="DZ37" s="6" t="s">
        <v>441</v>
      </c>
      <c r="EA37" s="6">
        <v>1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/>
      <c r="EJ37" s="6" t="s">
        <v>811</v>
      </c>
      <c r="EK37" s="6">
        <v>1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/>
      <c r="EU37" s="6" t="s">
        <v>443</v>
      </c>
      <c r="EV37" s="6" t="s">
        <v>495</v>
      </c>
      <c r="EW37" s="6"/>
      <c r="EX37" s="6" t="s">
        <v>1123</v>
      </c>
      <c r="EY37" s="6">
        <v>1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/>
      <c r="FH37" s="6" t="s">
        <v>537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1</v>
      </c>
      <c r="FS37" s="6" t="s">
        <v>453</v>
      </c>
      <c r="FT37" s="6" t="s">
        <v>556</v>
      </c>
      <c r="FU37" s="6" t="s">
        <v>499</v>
      </c>
      <c r="FV37" s="6"/>
      <c r="FW37" s="6" t="s">
        <v>1124</v>
      </c>
      <c r="FX37" s="15" t="s">
        <v>450</v>
      </c>
      <c r="FY37" s="6" t="s">
        <v>451</v>
      </c>
      <c r="FZ37" s="6"/>
      <c r="GA37" s="6" t="s">
        <v>450</v>
      </c>
      <c r="GB37" s="6" t="s">
        <v>501</v>
      </c>
      <c r="GC37" s="6" t="s">
        <v>453</v>
      </c>
      <c r="GD37" s="6"/>
      <c r="GE37" s="6" t="s">
        <v>454</v>
      </c>
      <c r="GF37" s="6" t="s">
        <v>1125</v>
      </c>
      <c r="GG37" s="6" t="s">
        <v>456</v>
      </c>
      <c r="GH37" s="15" t="s">
        <v>1126</v>
      </c>
      <c r="GI37" s="6" t="s">
        <v>458</v>
      </c>
      <c r="GJ37" s="6" t="s">
        <v>1127</v>
      </c>
      <c r="GK37" s="6" t="s">
        <v>460</v>
      </c>
      <c r="GL37" s="6" t="s">
        <v>461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1</v>
      </c>
      <c r="GS37" s="6">
        <v>0</v>
      </c>
      <c r="GT37" s="6"/>
      <c r="GU37" s="6" t="s">
        <v>534</v>
      </c>
      <c r="GV37" s="6" t="s">
        <v>559</v>
      </c>
      <c r="GW37" s="6" t="s">
        <v>464</v>
      </c>
      <c r="GX37" s="6">
        <v>1</v>
      </c>
      <c r="GY37" s="6">
        <v>0</v>
      </c>
      <c r="GZ37" s="6">
        <v>0</v>
      </c>
      <c r="HA37" s="6">
        <v>0</v>
      </c>
      <c r="HB37" s="6">
        <v>0</v>
      </c>
      <c r="HC37" s="6">
        <v>0</v>
      </c>
      <c r="HD37" s="6"/>
      <c r="HE37" s="6" t="s">
        <v>535</v>
      </c>
      <c r="HF37" s="6">
        <v>1</v>
      </c>
      <c r="HG37" s="6">
        <v>0</v>
      </c>
      <c r="HH37" s="6">
        <v>0</v>
      </c>
      <c r="HI37" s="6">
        <v>0</v>
      </c>
      <c r="HJ37" s="6">
        <v>0</v>
      </c>
      <c r="HK37" s="6">
        <v>0</v>
      </c>
      <c r="HL37" s="15"/>
      <c r="HM37" s="6" t="s">
        <v>505</v>
      </c>
      <c r="HN37" s="6"/>
      <c r="HO37" s="6" t="s">
        <v>1128</v>
      </c>
      <c r="HP37" s="6" t="s">
        <v>561</v>
      </c>
      <c r="HQ37" s="6"/>
      <c r="HR37" s="6" t="s">
        <v>1129</v>
      </c>
      <c r="HS37" s="6" t="s">
        <v>508</v>
      </c>
      <c r="HT37" s="6">
        <v>0</v>
      </c>
      <c r="HU37" s="6">
        <v>0</v>
      </c>
      <c r="HV37" s="6">
        <v>1</v>
      </c>
      <c r="HW37" s="6">
        <v>0</v>
      </c>
      <c r="HX37" s="6">
        <v>0</v>
      </c>
      <c r="HY37" s="6">
        <v>0</v>
      </c>
      <c r="HZ37" s="6"/>
      <c r="IA37" s="6" t="s">
        <v>541</v>
      </c>
      <c r="IB37" s="6">
        <v>0</v>
      </c>
      <c r="IC37" s="6">
        <v>0</v>
      </c>
      <c r="ID37" s="6">
        <v>1</v>
      </c>
      <c r="IE37" s="6">
        <v>0</v>
      </c>
      <c r="IF37" s="6">
        <v>0</v>
      </c>
      <c r="IG37" s="6">
        <v>0</v>
      </c>
      <c r="IH37" s="15" t="s">
        <v>1130</v>
      </c>
      <c r="II37" s="6" t="s">
        <v>426</v>
      </c>
      <c r="IJ37" s="6" t="s">
        <v>472</v>
      </c>
      <c r="IK37" s="6">
        <v>1</v>
      </c>
      <c r="IL37" s="6">
        <v>0</v>
      </c>
      <c r="IM37" s="6">
        <v>0</v>
      </c>
      <c r="IN37" s="6"/>
      <c r="IO37" s="6" t="s">
        <v>473</v>
      </c>
      <c r="IP37" s="6">
        <v>1</v>
      </c>
      <c r="IQ37" s="6">
        <v>0</v>
      </c>
      <c r="IR37" s="6">
        <v>0</v>
      </c>
      <c r="IS37" s="6">
        <v>0</v>
      </c>
      <c r="IT37" s="6">
        <v>0</v>
      </c>
      <c r="IU37" s="6">
        <v>0</v>
      </c>
      <c r="IV37" s="6"/>
      <c r="IW37" s="6" t="s">
        <v>453</v>
      </c>
      <c r="IX37" s="6"/>
      <c r="IY37" s="6" t="s">
        <v>510</v>
      </c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 t="s">
        <v>453</v>
      </c>
      <c r="JK37" s="6" t="s">
        <v>453</v>
      </c>
      <c r="JL37" s="6"/>
      <c r="JM37" s="6"/>
      <c r="JN37" s="6"/>
      <c r="JO37" s="6"/>
      <c r="JP37" s="6"/>
      <c r="JQ37" s="6"/>
      <c r="JR37" s="6"/>
      <c r="JS37" s="6"/>
      <c r="JT37" s="6"/>
      <c r="JU37" s="6" t="s">
        <v>477</v>
      </c>
      <c r="JV37" s="15"/>
      <c r="JW37" s="94" t="s">
        <v>1131</v>
      </c>
      <c r="JX37" s="6" t="s">
        <v>1132</v>
      </c>
      <c r="JY37" s="6">
        <v>0.8471483</v>
      </c>
      <c r="JZ37" s="6">
        <v>34.73571</v>
      </c>
      <c r="KA37" s="6">
        <v>1655.8</v>
      </c>
      <c r="KB37" s="15">
        <v>4.65</v>
      </c>
      <c r="KC37" s="15"/>
    </row>
    <row r="38" spans="1:289">
      <c r="A38" s="6" t="s">
        <v>419</v>
      </c>
      <c r="B38" s="6" t="s">
        <v>420</v>
      </c>
      <c r="C38" s="6" t="s">
        <v>421</v>
      </c>
      <c r="D38" s="6" t="s">
        <v>654</v>
      </c>
      <c r="E38" s="6" t="s">
        <v>1133</v>
      </c>
      <c r="F38" s="8" t="s">
        <v>483</v>
      </c>
      <c r="G38" s="6" t="s">
        <v>424</v>
      </c>
      <c r="H38" s="6" t="s">
        <v>425</v>
      </c>
      <c r="I38" s="15"/>
      <c r="J38" s="6" t="s">
        <v>426</v>
      </c>
      <c r="K38" s="6" t="s">
        <v>426</v>
      </c>
      <c r="L38" s="6" t="s">
        <v>426</v>
      </c>
      <c r="M38" s="6" t="s">
        <v>426</v>
      </c>
      <c r="N38" s="6" t="s">
        <v>426</v>
      </c>
      <c r="O38" s="6" t="s">
        <v>426</v>
      </c>
      <c r="P38" s="6" t="s">
        <v>426</v>
      </c>
      <c r="Q38" s="6" t="s">
        <v>426</v>
      </c>
      <c r="R38" s="6" t="s">
        <v>426</v>
      </c>
      <c r="S38" s="6" t="s">
        <v>426</v>
      </c>
      <c r="T38" s="6" t="s">
        <v>426</v>
      </c>
      <c r="U38" s="6" t="s">
        <v>426</v>
      </c>
      <c r="V38" s="6" t="s">
        <v>426</v>
      </c>
      <c r="W38" s="6" t="s">
        <v>426</v>
      </c>
      <c r="X38" s="6" t="s">
        <v>426</v>
      </c>
      <c r="Y38" s="6" t="s">
        <v>426</v>
      </c>
      <c r="Z38" s="6" t="s">
        <v>426</v>
      </c>
      <c r="AA38" s="6" t="s">
        <v>426</v>
      </c>
      <c r="AB38" s="6" t="s">
        <v>426</v>
      </c>
      <c r="AC38" s="15" t="s">
        <v>426</v>
      </c>
      <c r="AD38" s="6" t="s">
        <v>427</v>
      </c>
      <c r="AE38" s="6">
        <v>0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/>
      <c r="AN38" s="15"/>
      <c r="AO38" s="6" t="s">
        <v>426</v>
      </c>
      <c r="AP38" s="6" t="s">
        <v>656</v>
      </c>
      <c r="AQ38" s="6" t="s">
        <v>426</v>
      </c>
      <c r="AR38" s="6" t="s">
        <v>901</v>
      </c>
      <c r="AS38" s="6" t="s">
        <v>426</v>
      </c>
      <c r="AT38" s="6">
        <v>0.2</v>
      </c>
      <c r="AU38" s="6" t="s">
        <v>426</v>
      </c>
      <c r="AV38" s="6">
        <v>0.75</v>
      </c>
      <c r="AW38" s="6" t="s">
        <v>426</v>
      </c>
      <c r="AX38" s="6">
        <v>0.75</v>
      </c>
      <c r="AY38" s="6" t="s">
        <v>426</v>
      </c>
      <c r="AZ38" s="6">
        <v>1</v>
      </c>
      <c r="BA38" s="6" t="s">
        <v>426</v>
      </c>
      <c r="BB38" s="6">
        <v>0.75</v>
      </c>
      <c r="BC38" s="6" t="s">
        <v>426</v>
      </c>
      <c r="BD38" s="6">
        <v>0.75</v>
      </c>
      <c r="BE38" s="6" t="s">
        <v>426</v>
      </c>
      <c r="BF38" s="6">
        <v>1</v>
      </c>
      <c r="BG38" s="6" t="s">
        <v>426</v>
      </c>
      <c r="BH38" s="6">
        <v>0.75</v>
      </c>
      <c r="BI38" s="6" t="s">
        <v>426</v>
      </c>
      <c r="BJ38" s="6">
        <v>0.2</v>
      </c>
      <c r="BK38" s="6" t="s">
        <v>426</v>
      </c>
      <c r="BL38" s="6">
        <v>0.75</v>
      </c>
      <c r="BM38" s="6" t="s">
        <v>426</v>
      </c>
      <c r="BN38" s="6">
        <v>20</v>
      </c>
      <c r="BO38" s="6" t="s">
        <v>426</v>
      </c>
      <c r="BP38" s="6">
        <v>0.2</v>
      </c>
      <c r="BQ38" s="6" t="s">
        <v>426</v>
      </c>
      <c r="BR38" s="6">
        <v>20</v>
      </c>
      <c r="BS38" s="6" t="s">
        <v>426</v>
      </c>
      <c r="BT38" s="6">
        <v>8</v>
      </c>
      <c r="BU38" s="6" t="s">
        <v>426</v>
      </c>
      <c r="BV38" s="15">
        <v>0.2</v>
      </c>
      <c r="BW38" s="15" t="s">
        <v>428</v>
      </c>
      <c r="BX38" s="15" t="s">
        <v>429</v>
      </c>
      <c r="BY38" s="6" t="s">
        <v>430</v>
      </c>
      <c r="BZ38" s="6" t="s">
        <v>430</v>
      </c>
      <c r="CA38" s="6" t="s">
        <v>430</v>
      </c>
      <c r="CB38" s="6" t="s">
        <v>431</v>
      </c>
      <c r="CC38" s="6" t="s">
        <v>430</v>
      </c>
      <c r="CD38" s="6" t="s">
        <v>430</v>
      </c>
      <c r="CE38" s="6" t="s">
        <v>431</v>
      </c>
      <c r="CF38" s="6" t="s">
        <v>430</v>
      </c>
      <c r="CG38" s="6" t="s">
        <v>431</v>
      </c>
      <c r="CH38" s="6" t="s">
        <v>431</v>
      </c>
      <c r="CI38" s="6" t="s">
        <v>430</v>
      </c>
      <c r="CJ38" s="6" t="s">
        <v>430</v>
      </c>
      <c r="CK38" s="6" t="s">
        <v>430</v>
      </c>
      <c r="CL38" s="6" t="s">
        <v>430</v>
      </c>
      <c r="CM38" s="6" t="s">
        <v>430</v>
      </c>
      <c r="CN38" s="6" t="s">
        <v>431</v>
      </c>
      <c r="CO38" s="15" t="s">
        <v>431</v>
      </c>
      <c r="CP38" s="15" t="s">
        <v>432</v>
      </c>
      <c r="CQ38" s="6" t="s">
        <v>686</v>
      </c>
      <c r="CR38" s="15"/>
      <c r="CS38" s="6" t="s">
        <v>426</v>
      </c>
      <c r="CT38" s="6" t="s">
        <v>1134</v>
      </c>
      <c r="CU38" s="6" t="s">
        <v>1135</v>
      </c>
      <c r="CV38" s="6" t="s">
        <v>733</v>
      </c>
      <c r="CW38" s="6" t="s">
        <v>988</v>
      </c>
      <c r="CX38" s="15" t="s">
        <v>426</v>
      </c>
      <c r="CY38" s="6" t="s">
        <v>426</v>
      </c>
      <c r="CZ38" s="6" t="s">
        <v>1136</v>
      </c>
      <c r="DA38" s="6" t="s">
        <v>1137</v>
      </c>
      <c r="DB38" s="6" t="s">
        <v>987</v>
      </c>
      <c r="DC38" s="6" t="s">
        <v>737</v>
      </c>
      <c r="DD38" s="15" t="s">
        <v>1138</v>
      </c>
      <c r="DE38" s="15" t="s">
        <v>521</v>
      </c>
      <c r="DF38" s="6" t="s">
        <v>437</v>
      </c>
      <c r="DG38" s="6">
        <v>1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/>
      <c r="DN38" s="6"/>
      <c r="DO38" s="6"/>
      <c r="DP38" s="6"/>
      <c r="DQ38" s="6"/>
      <c r="DR38" s="6"/>
      <c r="DS38" s="6"/>
      <c r="DT38" s="66"/>
      <c r="DU38" s="6" t="s">
        <v>438</v>
      </c>
      <c r="DV38" s="6" t="s">
        <v>426</v>
      </c>
      <c r="DW38" s="6" t="s">
        <v>439</v>
      </c>
      <c r="DX38" s="6" t="s">
        <v>491</v>
      </c>
      <c r="DY38" s="6"/>
      <c r="DZ38" s="6" t="s">
        <v>940</v>
      </c>
      <c r="EA38" s="6">
        <v>1</v>
      </c>
      <c r="EB38" s="6">
        <v>1</v>
      </c>
      <c r="EC38" s="6">
        <v>1</v>
      </c>
      <c r="ED38" s="6">
        <v>1</v>
      </c>
      <c r="EE38" s="6">
        <v>0</v>
      </c>
      <c r="EF38" s="6">
        <v>0</v>
      </c>
      <c r="EG38" s="6">
        <v>0</v>
      </c>
      <c r="EH38" s="6">
        <v>0</v>
      </c>
      <c r="EI38" s="6"/>
      <c r="EJ38" s="6" t="s">
        <v>697</v>
      </c>
      <c r="EK38" s="6">
        <v>1</v>
      </c>
      <c r="EL38" s="6">
        <v>1</v>
      </c>
      <c r="EM38" s="6">
        <v>1</v>
      </c>
      <c r="EN38" s="6">
        <v>1</v>
      </c>
      <c r="EO38" s="6">
        <v>1</v>
      </c>
      <c r="EP38" s="6">
        <v>1</v>
      </c>
      <c r="EQ38" s="6">
        <v>0</v>
      </c>
      <c r="ER38" s="6">
        <v>0</v>
      </c>
      <c r="ES38" s="6">
        <v>0</v>
      </c>
      <c r="ET38" s="6"/>
      <c r="EU38" s="6" t="s">
        <v>494</v>
      </c>
      <c r="EV38" s="6" t="s">
        <v>495</v>
      </c>
      <c r="EW38" s="6"/>
      <c r="EX38" s="6" t="s">
        <v>1139</v>
      </c>
      <c r="EY38" s="6">
        <v>0</v>
      </c>
      <c r="EZ38" s="6">
        <v>0</v>
      </c>
      <c r="FA38" s="6">
        <v>1</v>
      </c>
      <c r="FB38" s="6">
        <v>1</v>
      </c>
      <c r="FC38" s="6">
        <v>0</v>
      </c>
      <c r="FD38" s="6">
        <v>0</v>
      </c>
      <c r="FE38" s="6">
        <v>0</v>
      </c>
      <c r="FF38" s="6">
        <v>0</v>
      </c>
      <c r="FG38" s="6"/>
      <c r="FH38" s="6" t="s">
        <v>1140</v>
      </c>
      <c r="FI38" s="6">
        <v>1</v>
      </c>
      <c r="FJ38" s="6">
        <v>0</v>
      </c>
      <c r="FK38" s="6">
        <v>0</v>
      </c>
      <c r="FL38" s="6">
        <v>0</v>
      </c>
      <c r="FM38" s="6">
        <v>1</v>
      </c>
      <c r="FN38" s="6">
        <v>0</v>
      </c>
      <c r="FO38" s="6">
        <v>0</v>
      </c>
      <c r="FP38" s="6">
        <v>0</v>
      </c>
      <c r="FQ38" s="6">
        <v>0</v>
      </c>
      <c r="FR38" s="6">
        <v>1</v>
      </c>
      <c r="FS38" s="6" t="s">
        <v>1141</v>
      </c>
      <c r="FT38" s="6" t="s">
        <v>447</v>
      </c>
      <c r="FU38" s="6" t="s">
        <v>448</v>
      </c>
      <c r="FV38" s="6"/>
      <c r="FW38" s="6" t="s">
        <v>449</v>
      </c>
      <c r="FX38" s="15" t="s">
        <v>528</v>
      </c>
      <c r="FY38" s="6" t="s">
        <v>451</v>
      </c>
      <c r="FZ38" s="6"/>
      <c r="GA38" s="6" t="s">
        <v>528</v>
      </c>
      <c r="GB38" s="6" t="s">
        <v>452</v>
      </c>
      <c r="GC38" s="6" t="s">
        <v>453</v>
      </c>
      <c r="GD38" s="6"/>
      <c r="GE38" s="6" t="s">
        <v>454</v>
      </c>
      <c r="GF38" s="6" t="s">
        <v>1142</v>
      </c>
      <c r="GG38" s="6" t="s">
        <v>456</v>
      </c>
      <c r="GH38" s="15" t="s">
        <v>1143</v>
      </c>
      <c r="GI38" s="6" t="s">
        <v>701</v>
      </c>
      <c r="GJ38" s="6" t="s">
        <v>1144</v>
      </c>
      <c r="GK38" s="6" t="s">
        <v>703</v>
      </c>
      <c r="GL38" s="6" t="s">
        <v>461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1</v>
      </c>
      <c r="GS38" s="6">
        <v>0</v>
      </c>
      <c r="GT38" s="6"/>
      <c r="GU38" s="6" t="s">
        <v>462</v>
      </c>
      <c r="GV38" s="6" t="s">
        <v>463</v>
      </c>
      <c r="GW38" s="6" t="s">
        <v>464</v>
      </c>
      <c r="GX38" s="6">
        <v>1</v>
      </c>
      <c r="GY38" s="6">
        <v>0</v>
      </c>
      <c r="GZ38" s="6">
        <v>0</v>
      </c>
      <c r="HA38" s="6">
        <v>0</v>
      </c>
      <c r="HB38" s="6">
        <v>0</v>
      </c>
      <c r="HC38" s="6">
        <v>0</v>
      </c>
      <c r="HD38" s="6"/>
      <c r="HE38" s="6" t="s">
        <v>535</v>
      </c>
      <c r="HF38" s="6">
        <v>1</v>
      </c>
      <c r="HG38" s="6">
        <v>0</v>
      </c>
      <c r="HH38" s="6">
        <v>0</v>
      </c>
      <c r="HI38" s="6">
        <v>0</v>
      </c>
      <c r="HJ38" s="6">
        <v>0</v>
      </c>
      <c r="HK38" s="6">
        <v>0</v>
      </c>
      <c r="HL38" s="15"/>
      <c r="HM38" s="6" t="s">
        <v>466</v>
      </c>
      <c r="HN38" s="6"/>
      <c r="HO38" s="6" t="s">
        <v>1145</v>
      </c>
      <c r="HP38" s="6" t="s">
        <v>468</v>
      </c>
      <c r="HQ38" s="6"/>
      <c r="HR38" s="6" t="s">
        <v>1146</v>
      </c>
      <c r="HS38" s="6" t="s">
        <v>470</v>
      </c>
      <c r="HT38" s="6">
        <v>0</v>
      </c>
      <c r="HU38" s="6">
        <v>0</v>
      </c>
      <c r="HV38" s="6">
        <v>0</v>
      </c>
      <c r="HW38" s="6">
        <v>0</v>
      </c>
      <c r="HX38" s="6">
        <v>1</v>
      </c>
      <c r="HY38" s="6">
        <v>0</v>
      </c>
      <c r="HZ38" s="6"/>
      <c r="IA38" s="6" t="s">
        <v>541</v>
      </c>
      <c r="IB38" s="6">
        <v>0</v>
      </c>
      <c r="IC38" s="6">
        <v>0</v>
      </c>
      <c r="ID38" s="6">
        <v>1</v>
      </c>
      <c r="IE38" s="6">
        <v>0</v>
      </c>
      <c r="IF38" s="6">
        <v>0</v>
      </c>
      <c r="IG38" s="6">
        <v>0</v>
      </c>
      <c r="IH38" s="15" t="s">
        <v>1147</v>
      </c>
      <c r="II38" s="6" t="s">
        <v>426</v>
      </c>
      <c r="IJ38" s="6" t="s">
        <v>472</v>
      </c>
      <c r="IK38" s="6">
        <v>1</v>
      </c>
      <c r="IL38" s="6">
        <v>0</v>
      </c>
      <c r="IM38" s="6">
        <v>0</v>
      </c>
      <c r="IN38" s="6"/>
      <c r="IO38" s="6" t="s">
        <v>473</v>
      </c>
      <c r="IP38" s="6">
        <v>1</v>
      </c>
      <c r="IQ38" s="6">
        <v>0</v>
      </c>
      <c r="IR38" s="6">
        <v>0</v>
      </c>
      <c r="IS38" s="6">
        <v>0</v>
      </c>
      <c r="IT38" s="6">
        <v>0</v>
      </c>
      <c r="IU38" s="6">
        <v>0</v>
      </c>
      <c r="IV38" s="6"/>
      <c r="IW38" s="6" t="s">
        <v>426</v>
      </c>
      <c r="IX38" s="6">
        <v>1</v>
      </c>
      <c r="IY38" s="6" t="s">
        <v>474</v>
      </c>
      <c r="IZ38" s="6" t="s">
        <v>475</v>
      </c>
      <c r="JA38" s="6" t="s">
        <v>426</v>
      </c>
      <c r="JB38" s="6" t="s">
        <v>476</v>
      </c>
      <c r="JC38" s="6"/>
      <c r="JD38" s="6"/>
      <c r="JE38" s="6"/>
      <c r="JF38" s="6"/>
      <c r="JG38" s="6"/>
      <c r="JH38" s="6"/>
      <c r="JI38" s="6"/>
      <c r="JJ38" s="6"/>
      <c r="JK38" s="6" t="s">
        <v>426</v>
      </c>
      <c r="JL38" s="6" t="s">
        <v>426</v>
      </c>
      <c r="JM38" s="6"/>
      <c r="JN38" s="6"/>
      <c r="JO38" s="6"/>
      <c r="JP38" s="6"/>
      <c r="JQ38" s="6"/>
      <c r="JR38" s="6"/>
      <c r="JS38" s="6"/>
      <c r="JT38" s="6"/>
      <c r="JU38" s="6" t="s">
        <v>477</v>
      </c>
      <c r="JV38" s="15"/>
      <c r="JW38" s="94" t="s">
        <v>1148</v>
      </c>
      <c r="JX38" s="6" t="s">
        <v>1149</v>
      </c>
      <c r="JY38" s="6">
        <v>0.8468468</v>
      </c>
      <c r="JZ38" s="6">
        <v>34.7353248</v>
      </c>
      <c r="KA38" s="6">
        <v>1931.2</v>
      </c>
      <c r="KB38" s="15">
        <v>4.85</v>
      </c>
      <c r="KC38" s="15"/>
    </row>
    <row r="39" spans="1:289">
      <c r="A39" s="6" t="s">
        <v>480</v>
      </c>
      <c r="B39" s="6" t="s">
        <v>420</v>
      </c>
      <c r="C39" s="6" t="s">
        <v>421</v>
      </c>
      <c r="D39" s="6" t="s">
        <v>1150</v>
      </c>
      <c r="E39" s="6" t="s">
        <v>1151</v>
      </c>
      <c r="F39" s="8" t="s">
        <v>483</v>
      </c>
      <c r="G39" s="6" t="s">
        <v>567</v>
      </c>
      <c r="H39" s="6" t="s">
        <v>425</v>
      </c>
      <c r="I39" s="15"/>
      <c r="J39" s="6" t="s">
        <v>426</v>
      </c>
      <c r="K39" s="6" t="s">
        <v>426</v>
      </c>
      <c r="L39" s="6" t="s">
        <v>426</v>
      </c>
      <c r="M39" s="6" t="s">
        <v>426</v>
      </c>
      <c r="N39" s="6" t="s">
        <v>426</v>
      </c>
      <c r="O39" s="6" t="s">
        <v>426</v>
      </c>
      <c r="P39" s="6" t="s">
        <v>426</v>
      </c>
      <c r="Q39" s="6" t="s">
        <v>453</v>
      </c>
      <c r="R39" s="6" t="s">
        <v>426</v>
      </c>
      <c r="S39" s="6" t="s">
        <v>426</v>
      </c>
      <c r="T39" s="6" t="s">
        <v>426</v>
      </c>
      <c r="U39" s="6" t="s">
        <v>426</v>
      </c>
      <c r="V39" s="6" t="s">
        <v>426</v>
      </c>
      <c r="W39" s="6" t="s">
        <v>426</v>
      </c>
      <c r="X39" s="6" t="s">
        <v>426</v>
      </c>
      <c r="Y39" s="6" t="s">
        <v>426</v>
      </c>
      <c r="Z39" s="6" t="s">
        <v>426</v>
      </c>
      <c r="AA39" s="6" t="s">
        <v>426</v>
      </c>
      <c r="AB39" s="6" t="s">
        <v>426</v>
      </c>
      <c r="AC39" s="15" t="s">
        <v>426</v>
      </c>
      <c r="AD39" s="6" t="s">
        <v>427</v>
      </c>
      <c r="AE39" s="6">
        <v>0</v>
      </c>
      <c r="AF39" s="6">
        <v>0</v>
      </c>
      <c r="AG39" s="6">
        <v>0</v>
      </c>
      <c r="AH39" s="6">
        <v>1</v>
      </c>
      <c r="AI39" s="6">
        <v>0</v>
      </c>
      <c r="AJ39" s="6">
        <v>0</v>
      </c>
      <c r="AK39" s="6">
        <v>0</v>
      </c>
      <c r="AL39" s="6">
        <v>0</v>
      </c>
      <c r="AM39" s="6"/>
      <c r="AN39" s="15"/>
      <c r="AO39" s="6" t="s">
        <v>426</v>
      </c>
      <c r="AP39" s="6" t="s">
        <v>656</v>
      </c>
      <c r="AQ39" s="6" t="s">
        <v>426</v>
      </c>
      <c r="AR39" s="6" t="s">
        <v>1024</v>
      </c>
      <c r="AS39" s="6" t="s">
        <v>426</v>
      </c>
      <c r="AT39" s="6">
        <v>0.2</v>
      </c>
      <c r="AU39" s="6" t="s">
        <v>426</v>
      </c>
      <c r="AV39" s="6">
        <v>0.2</v>
      </c>
      <c r="AW39" s="6" t="s">
        <v>426</v>
      </c>
      <c r="AX39" s="6">
        <v>0.4</v>
      </c>
      <c r="AY39" s="6" t="s">
        <v>426</v>
      </c>
      <c r="AZ39" s="6">
        <v>1</v>
      </c>
      <c r="BA39" s="6" t="s">
        <v>426</v>
      </c>
      <c r="BB39" s="6">
        <v>0.8</v>
      </c>
      <c r="BC39" s="6" t="s">
        <v>453</v>
      </c>
      <c r="BD39" s="6"/>
      <c r="BE39" s="6" t="s">
        <v>453</v>
      </c>
      <c r="BF39" s="6"/>
      <c r="BG39" s="6" t="s">
        <v>426</v>
      </c>
      <c r="BH39" s="6">
        <v>0.8</v>
      </c>
      <c r="BI39" s="6" t="s">
        <v>426</v>
      </c>
      <c r="BJ39" s="6">
        <v>0.2</v>
      </c>
      <c r="BK39" s="6" t="s">
        <v>426</v>
      </c>
      <c r="BL39" s="6">
        <v>0.8</v>
      </c>
      <c r="BM39" s="6" t="s">
        <v>426</v>
      </c>
      <c r="BN39" s="6">
        <v>40</v>
      </c>
      <c r="BO39" s="6" t="s">
        <v>426</v>
      </c>
      <c r="BP39" s="6">
        <v>0.8</v>
      </c>
      <c r="BQ39" s="6" t="s">
        <v>426</v>
      </c>
      <c r="BR39" s="6">
        <v>200</v>
      </c>
      <c r="BS39" s="6" t="s">
        <v>453</v>
      </c>
      <c r="BT39" s="6"/>
      <c r="BU39" s="6" t="s">
        <v>453</v>
      </c>
      <c r="BV39" s="15"/>
      <c r="BW39" s="15" t="s">
        <v>428</v>
      </c>
      <c r="BX39" s="15" t="s">
        <v>786</v>
      </c>
      <c r="BY39" s="6" t="s">
        <v>1152</v>
      </c>
      <c r="BZ39" s="6" t="s">
        <v>430</v>
      </c>
      <c r="CA39" s="6" t="s">
        <v>430</v>
      </c>
      <c r="CB39" s="6" t="s">
        <v>487</v>
      </c>
      <c r="CC39" s="6" t="s">
        <v>431</v>
      </c>
      <c r="CD39" s="6" t="s">
        <v>430</v>
      </c>
      <c r="CE39" s="6" t="s">
        <v>431</v>
      </c>
      <c r="CF39" s="6" t="s">
        <v>609</v>
      </c>
      <c r="CG39" s="6" t="s">
        <v>487</v>
      </c>
      <c r="CH39" s="6" t="s">
        <v>431</v>
      </c>
      <c r="CI39" s="6" t="s">
        <v>430</v>
      </c>
      <c r="CJ39" s="6" t="s">
        <v>431</v>
      </c>
      <c r="CK39" s="6" t="s">
        <v>430</v>
      </c>
      <c r="CL39" s="6" t="s">
        <v>430</v>
      </c>
      <c r="CM39" s="6" t="s">
        <v>430</v>
      </c>
      <c r="CN39" s="6" t="s">
        <v>487</v>
      </c>
      <c r="CO39" s="15" t="s">
        <v>487</v>
      </c>
      <c r="CP39" s="15" t="s">
        <v>432</v>
      </c>
      <c r="CQ39" s="6" t="s">
        <v>433</v>
      </c>
      <c r="CR39" s="15"/>
      <c r="CS39" s="6" t="s">
        <v>453</v>
      </c>
      <c r="CT39" s="6"/>
      <c r="CU39" s="6"/>
      <c r="CV39" s="6"/>
      <c r="CW39" s="6"/>
      <c r="CX39" s="15" t="s">
        <v>453</v>
      </c>
      <c r="CY39" s="6"/>
      <c r="CZ39" s="6"/>
      <c r="DA39" s="6"/>
      <c r="DB39" s="6"/>
      <c r="DC39" s="6"/>
      <c r="DD39" s="15"/>
      <c r="DE39" s="15" t="s">
        <v>436</v>
      </c>
      <c r="DF39" s="6" t="s">
        <v>713</v>
      </c>
      <c r="DG39" s="6">
        <v>1</v>
      </c>
      <c r="DH39" s="6">
        <v>1</v>
      </c>
      <c r="DI39" s="6">
        <v>1</v>
      </c>
      <c r="DJ39" s="6">
        <v>0</v>
      </c>
      <c r="DK39" s="6">
        <v>1</v>
      </c>
      <c r="DL39" s="6">
        <v>0</v>
      </c>
      <c r="DM39" s="6"/>
      <c r="DN39" s="6"/>
      <c r="DO39" s="6"/>
      <c r="DP39" s="6"/>
      <c r="DQ39" s="6"/>
      <c r="DR39" s="6"/>
      <c r="DS39" s="6"/>
      <c r="DT39" s="66"/>
      <c r="DU39" s="6" t="s">
        <v>438</v>
      </c>
      <c r="DV39" s="6" t="s">
        <v>426</v>
      </c>
      <c r="DW39" s="6" t="s">
        <v>490</v>
      </c>
      <c r="DX39" s="6" t="s">
        <v>440</v>
      </c>
      <c r="DY39" s="6"/>
      <c r="DZ39" s="6" t="s">
        <v>1153</v>
      </c>
      <c r="EA39" s="6">
        <v>1</v>
      </c>
      <c r="EB39" s="6">
        <v>1</v>
      </c>
      <c r="EC39" s="6">
        <v>0</v>
      </c>
      <c r="ED39" s="6">
        <v>0</v>
      </c>
      <c r="EE39" s="6">
        <v>1</v>
      </c>
      <c r="EF39" s="6">
        <v>1</v>
      </c>
      <c r="EG39" s="6">
        <v>1</v>
      </c>
      <c r="EH39" s="6">
        <v>0</v>
      </c>
      <c r="EI39" s="6"/>
      <c r="EJ39" s="6" t="s">
        <v>1154</v>
      </c>
      <c r="EK39" s="6">
        <v>1</v>
      </c>
      <c r="EL39" s="6">
        <v>1</v>
      </c>
      <c r="EM39" s="6">
        <v>1</v>
      </c>
      <c r="EN39" s="6">
        <v>0</v>
      </c>
      <c r="EO39" s="6">
        <v>0</v>
      </c>
      <c r="EP39" s="6">
        <v>1</v>
      </c>
      <c r="EQ39" s="6">
        <v>0</v>
      </c>
      <c r="ER39" s="6">
        <v>0</v>
      </c>
      <c r="ES39" s="6">
        <v>0</v>
      </c>
      <c r="ET39" s="6"/>
      <c r="EU39" s="6" t="s">
        <v>443</v>
      </c>
      <c r="EV39" s="6" t="s">
        <v>495</v>
      </c>
      <c r="EW39" s="6"/>
      <c r="EX39" s="6" t="s">
        <v>1155</v>
      </c>
      <c r="EY39" s="6">
        <v>1</v>
      </c>
      <c r="EZ39" s="6">
        <v>0</v>
      </c>
      <c r="FA39" s="6">
        <v>0</v>
      </c>
      <c r="FB39" s="6">
        <v>1</v>
      </c>
      <c r="FC39" s="6">
        <v>1</v>
      </c>
      <c r="FD39" s="6">
        <v>1</v>
      </c>
      <c r="FE39" s="6">
        <v>0</v>
      </c>
      <c r="FF39" s="6">
        <v>0</v>
      </c>
      <c r="FG39" s="6"/>
      <c r="FH39" s="6" t="s">
        <v>1156</v>
      </c>
      <c r="FI39" s="6">
        <v>0</v>
      </c>
      <c r="FJ39" s="6">
        <v>0</v>
      </c>
      <c r="FK39" s="6">
        <v>1</v>
      </c>
      <c r="FL39" s="6">
        <v>0</v>
      </c>
      <c r="FM39" s="6">
        <v>0</v>
      </c>
      <c r="FN39" s="6">
        <v>1</v>
      </c>
      <c r="FO39" s="6">
        <v>0</v>
      </c>
      <c r="FP39" s="6">
        <v>0</v>
      </c>
      <c r="FQ39" s="6">
        <v>1</v>
      </c>
      <c r="FR39" s="6">
        <v>0</v>
      </c>
      <c r="FS39" s="6"/>
      <c r="FT39" s="6" t="s">
        <v>556</v>
      </c>
      <c r="FU39" s="6" t="s">
        <v>499</v>
      </c>
      <c r="FV39" s="6"/>
      <c r="FW39" s="6" t="s">
        <v>449</v>
      </c>
      <c r="FX39" s="15" t="s">
        <v>450</v>
      </c>
      <c r="FY39" s="6" t="s">
        <v>500</v>
      </c>
      <c r="FZ39" s="6"/>
      <c r="GA39" s="6" t="s">
        <v>450</v>
      </c>
      <c r="GB39" s="6" t="s">
        <v>501</v>
      </c>
      <c r="GC39" s="6" t="s">
        <v>453</v>
      </c>
      <c r="GD39" s="6"/>
      <c r="GE39" s="6" t="s">
        <v>454</v>
      </c>
      <c r="GF39" s="6" t="s">
        <v>1157</v>
      </c>
      <c r="GG39" s="6" t="s">
        <v>456</v>
      </c>
      <c r="GH39" s="15" t="s">
        <v>1158</v>
      </c>
      <c r="GI39" s="6" t="s">
        <v>458</v>
      </c>
      <c r="GJ39" s="6" t="s">
        <v>1159</v>
      </c>
      <c r="GK39" s="6" t="s">
        <v>460</v>
      </c>
      <c r="GL39" s="6" t="s">
        <v>461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1</v>
      </c>
      <c r="GS39" s="6">
        <v>0</v>
      </c>
      <c r="GT39" s="6"/>
      <c r="GU39" s="6" t="s">
        <v>534</v>
      </c>
      <c r="GV39" s="6" t="s">
        <v>595</v>
      </c>
      <c r="GW39" s="6" t="s">
        <v>721</v>
      </c>
      <c r="GX39" s="6">
        <v>1</v>
      </c>
      <c r="GY39" s="6">
        <v>0</v>
      </c>
      <c r="GZ39" s="6">
        <v>0</v>
      </c>
      <c r="HA39" s="6">
        <v>1</v>
      </c>
      <c r="HB39" s="6">
        <v>0</v>
      </c>
      <c r="HC39" s="6">
        <v>0</v>
      </c>
      <c r="HD39" s="6"/>
      <c r="HE39" s="6" t="s">
        <v>1160</v>
      </c>
      <c r="HF39" s="6">
        <v>1</v>
      </c>
      <c r="HG39" s="6">
        <v>1</v>
      </c>
      <c r="HH39" s="6">
        <v>1</v>
      </c>
      <c r="HI39" s="6">
        <v>1</v>
      </c>
      <c r="HJ39" s="6">
        <v>1</v>
      </c>
      <c r="HK39" s="6">
        <v>0</v>
      </c>
      <c r="HL39" s="15"/>
      <c r="HM39" s="6" t="s">
        <v>1016</v>
      </c>
      <c r="HN39" s="6"/>
      <c r="HO39" s="6" t="s">
        <v>1161</v>
      </c>
      <c r="HP39" s="6" t="s">
        <v>468</v>
      </c>
      <c r="HQ39" s="6"/>
      <c r="HR39" s="6" t="s">
        <v>1162</v>
      </c>
      <c r="HS39" s="6" t="s">
        <v>1163</v>
      </c>
      <c r="HT39" s="6">
        <v>0</v>
      </c>
      <c r="HU39" s="6">
        <v>0</v>
      </c>
      <c r="HV39" s="6">
        <v>1</v>
      </c>
      <c r="HW39" s="6">
        <v>0</v>
      </c>
      <c r="HX39" s="6">
        <v>0</v>
      </c>
      <c r="HY39" s="6">
        <v>1</v>
      </c>
      <c r="HZ39" s="6"/>
      <c r="IA39" s="6" t="s">
        <v>1164</v>
      </c>
      <c r="IB39" s="6">
        <v>1</v>
      </c>
      <c r="IC39" s="6">
        <v>0</v>
      </c>
      <c r="ID39" s="6">
        <v>1</v>
      </c>
      <c r="IE39" s="6">
        <v>1</v>
      </c>
      <c r="IF39" s="6">
        <v>1</v>
      </c>
      <c r="IG39" s="6">
        <v>0</v>
      </c>
      <c r="IH39" s="15" t="s">
        <v>1165</v>
      </c>
      <c r="II39" s="6" t="s">
        <v>426</v>
      </c>
      <c r="IJ39" s="6" t="s">
        <v>602</v>
      </c>
      <c r="IK39" s="6">
        <v>1</v>
      </c>
      <c r="IL39" s="6">
        <v>1</v>
      </c>
      <c r="IM39" s="6">
        <v>0</v>
      </c>
      <c r="IN39" s="6"/>
      <c r="IO39" s="6" t="s">
        <v>473</v>
      </c>
      <c r="IP39" s="6">
        <v>1</v>
      </c>
      <c r="IQ39" s="6">
        <v>0</v>
      </c>
      <c r="IR39" s="6">
        <v>0</v>
      </c>
      <c r="IS39" s="6">
        <v>0</v>
      </c>
      <c r="IT39" s="6">
        <v>0</v>
      </c>
      <c r="IU39" s="6">
        <v>0</v>
      </c>
      <c r="IV39" s="6"/>
      <c r="IW39" s="6" t="s">
        <v>426</v>
      </c>
      <c r="IX39" s="6">
        <v>1</v>
      </c>
      <c r="IY39" s="6" t="s">
        <v>474</v>
      </c>
      <c r="IZ39" s="6" t="s">
        <v>475</v>
      </c>
      <c r="JA39" s="6" t="s">
        <v>426</v>
      </c>
      <c r="JB39" s="6" t="s">
        <v>476</v>
      </c>
      <c r="JC39" s="6"/>
      <c r="JD39" s="6"/>
      <c r="JE39" s="6"/>
      <c r="JF39" s="6"/>
      <c r="JG39" s="6"/>
      <c r="JH39" s="6"/>
      <c r="JI39" s="6"/>
      <c r="JJ39" s="6"/>
      <c r="JK39" s="6" t="s">
        <v>453</v>
      </c>
      <c r="JL39" s="6"/>
      <c r="JM39" s="6"/>
      <c r="JN39" s="6"/>
      <c r="JO39" s="6"/>
      <c r="JP39" s="6"/>
      <c r="JQ39" s="6"/>
      <c r="JR39" s="6"/>
      <c r="JS39" s="6"/>
      <c r="JT39" s="6"/>
      <c r="JU39" s="6" t="s">
        <v>477</v>
      </c>
      <c r="JV39" s="15"/>
      <c r="JW39" s="94" t="s">
        <v>1166</v>
      </c>
      <c r="JX39" s="6" t="s">
        <v>1167</v>
      </c>
      <c r="JY39" s="6">
        <v>0.8471824</v>
      </c>
      <c r="JZ39" s="6">
        <v>34.7358367</v>
      </c>
      <c r="KA39" s="6">
        <v>1872.28173828125</v>
      </c>
      <c r="KB39" s="15">
        <v>4.846</v>
      </c>
      <c r="KC39" s="15"/>
    </row>
    <row r="40" spans="1:289">
      <c r="A40" s="6" t="s">
        <v>581</v>
      </c>
      <c r="B40" s="6" t="s">
        <v>420</v>
      </c>
      <c r="C40" s="6" t="s">
        <v>421</v>
      </c>
      <c r="D40" s="6" t="s">
        <v>899</v>
      </c>
      <c r="E40" s="6" t="s">
        <v>1168</v>
      </c>
      <c r="F40" s="8" t="s">
        <v>423</v>
      </c>
      <c r="G40" s="6" t="s">
        <v>567</v>
      </c>
      <c r="H40" s="6" t="s">
        <v>425</v>
      </c>
      <c r="I40" s="15"/>
      <c r="J40" s="6" t="s">
        <v>426</v>
      </c>
      <c r="K40" s="6" t="s">
        <v>426</v>
      </c>
      <c r="L40" s="6" t="s">
        <v>426</v>
      </c>
      <c r="M40" s="6" t="s">
        <v>426</v>
      </c>
      <c r="N40" s="6" t="s">
        <v>426</v>
      </c>
      <c r="O40" s="6" t="s">
        <v>426</v>
      </c>
      <c r="P40" s="6" t="s">
        <v>426</v>
      </c>
      <c r="Q40" s="6" t="s">
        <v>426</v>
      </c>
      <c r="R40" s="6" t="s">
        <v>426</v>
      </c>
      <c r="S40" s="6" t="s">
        <v>426</v>
      </c>
      <c r="T40" s="6" t="s">
        <v>426</v>
      </c>
      <c r="U40" s="6" t="s">
        <v>426</v>
      </c>
      <c r="V40" s="6" t="s">
        <v>426</v>
      </c>
      <c r="W40" s="6" t="s">
        <v>426</v>
      </c>
      <c r="X40" s="6" t="s">
        <v>426</v>
      </c>
      <c r="Y40" s="6" t="s">
        <v>426</v>
      </c>
      <c r="Z40" s="6" t="s">
        <v>426</v>
      </c>
      <c r="AA40" s="6" t="s">
        <v>426</v>
      </c>
      <c r="AB40" s="6" t="s">
        <v>426</v>
      </c>
      <c r="AC40" s="15" t="s">
        <v>426</v>
      </c>
      <c r="AD40" s="6" t="s">
        <v>427</v>
      </c>
      <c r="AE40" s="6">
        <v>0</v>
      </c>
      <c r="AF40" s="6">
        <v>0</v>
      </c>
      <c r="AG40" s="6">
        <v>0</v>
      </c>
      <c r="AH40" s="6">
        <v>1</v>
      </c>
      <c r="AI40" s="6">
        <v>0</v>
      </c>
      <c r="AJ40" s="6">
        <v>0</v>
      </c>
      <c r="AK40" s="6">
        <v>0</v>
      </c>
      <c r="AL40" s="6">
        <v>0</v>
      </c>
      <c r="AM40" s="6"/>
      <c r="AN40" s="15"/>
      <c r="AO40" s="6" t="s">
        <v>426</v>
      </c>
      <c r="AP40" s="6" t="s">
        <v>683</v>
      </c>
      <c r="AQ40" s="6" t="s">
        <v>426</v>
      </c>
      <c r="AR40" s="6" t="s">
        <v>920</v>
      </c>
      <c r="AS40" s="6" t="s">
        <v>426</v>
      </c>
      <c r="AT40" s="6">
        <v>1</v>
      </c>
      <c r="AU40" s="6" t="s">
        <v>426</v>
      </c>
      <c r="AV40" s="6">
        <v>1</v>
      </c>
      <c r="AW40" s="6" t="s">
        <v>426</v>
      </c>
      <c r="AX40" s="6">
        <v>1</v>
      </c>
      <c r="AY40" s="6" t="s">
        <v>426</v>
      </c>
      <c r="AZ40" s="6">
        <v>1</v>
      </c>
      <c r="BA40" s="6" t="s">
        <v>426</v>
      </c>
      <c r="BB40" s="6">
        <v>1</v>
      </c>
      <c r="BC40" s="6" t="s">
        <v>426</v>
      </c>
      <c r="BD40" s="6">
        <v>0.3</v>
      </c>
      <c r="BE40" s="6" t="s">
        <v>426</v>
      </c>
      <c r="BF40" s="6">
        <v>3</v>
      </c>
      <c r="BG40" s="6" t="s">
        <v>426</v>
      </c>
      <c r="BH40" s="6">
        <v>0.3</v>
      </c>
      <c r="BI40" s="6" t="s">
        <v>426</v>
      </c>
      <c r="BJ40" s="6">
        <v>0.3</v>
      </c>
      <c r="BK40" s="6" t="s">
        <v>426</v>
      </c>
      <c r="BL40" s="6">
        <v>1</v>
      </c>
      <c r="BM40" s="6" t="s">
        <v>426</v>
      </c>
      <c r="BN40" s="6">
        <v>30</v>
      </c>
      <c r="BO40" s="6" t="s">
        <v>426</v>
      </c>
      <c r="BP40" s="6">
        <v>1</v>
      </c>
      <c r="BQ40" s="6" t="s">
        <v>426</v>
      </c>
      <c r="BR40" s="6">
        <v>100</v>
      </c>
      <c r="BS40" s="6" t="s">
        <v>426</v>
      </c>
      <c r="BT40" s="6">
        <v>30</v>
      </c>
      <c r="BU40" s="6" t="s">
        <v>426</v>
      </c>
      <c r="BV40" s="15">
        <v>1</v>
      </c>
      <c r="BW40" s="15" t="s">
        <v>518</v>
      </c>
      <c r="BX40" s="15" t="s">
        <v>429</v>
      </c>
      <c r="BY40" s="6" t="s">
        <v>430</v>
      </c>
      <c r="BZ40" s="6" t="s">
        <v>430</v>
      </c>
      <c r="CA40" s="6" t="s">
        <v>430</v>
      </c>
      <c r="CB40" s="6" t="s">
        <v>430</v>
      </c>
      <c r="CC40" s="6" t="s">
        <v>430</v>
      </c>
      <c r="CD40" s="6" t="s">
        <v>430</v>
      </c>
      <c r="CE40" s="6" t="s">
        <v>430</v>
      </c>
      <c r="CF40" s="6" t="s">
        <v>430</v>
      </c>
      <c r="CG40" s="6" t="s">
        <v>430</v>
      </c>
      <c r="CH40" s="6" t="s">
        <v>430</v>
      </c>
      <c r="CI40" s="6" t="s">
        <v>430</v>
      </c>
      <c r="CJ40" s="6" t="s">
        <v>430</v>
      </c>
      <c r="CK40" s="6" t="s">
        <v>430</v>
      </c>
      <c r="CL40" s="6" t="s">
        <v>430</v>
      </c>
      <c r="CM40" s="6" t="s">
        <v>430</v>
      </c>
      <c r="CN40" s="6" t="s">
        <v>430</v>
      </c>
      <c r="CO40" s="15" t="s">
        <v>430</v>
      </c>
      <c r="CP40" s="15" t="s">
        <v>432</v>
      </c>
      <c r="CQ40" s="6" t="s">
        <v>433</v>
      </c>
      <c r="CR40" s="15"/>
      <c r="CS40" s="6" t="s">
        <v>426</v>
      </c>
      <c r="CT40" s="6" t="s">
        <v>1169</v>
      </c>
      <c r="CU40" s="6" t="s">
        <v>734</v>
      </c>
      <c r="CV40" s="6" t="s">
        <v>1091</v>
      </c>
      <c r="CW40" s="6" t="s">
        <v>1170</v>
      </c>
      <c r="CX40" s="15" t="s">
        <v>426</v>
      </c>
      <c r="CY40" s="6" t="s">
        <v>453</v>
      </c>
      <c r="CZ40" s="6"/>
      <c r="DA40" s="6"/>
      <c r="DB40" s="6"/>
      <c r="DC40" s="6"/>
      <c r="DD40" s="15"/>
      <c r="DE40" s="15" t="s">
        <v>436</v>
      </c>
      <c r="DF40" s="6" t="s">
        <v>1171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1</v>
      </c>
      <c r="DM40" s="6" t="s">
        <v>1172</v>
      </c>
      <c r="DN40" s="6"/>
      <c r="DO40" s="6"/>
      <c r="DP40" s="6"/>
      <c r="DQ40" s="6"/>
      <c r="DR40" s="6"/>
      <c r="DS40" s="6"/>
      <c r="DT40" s="66"/>
      <c r="DU40" s="6" t="s">
        <v>438</v>
      </c>
      <c r="DV40" s="6" t="s">
        <v>426</v>
      </c>
      <c r="DW40" s="6" t="s">
        <v>439</v>
      </c>
      <c r="DX40" s="6" t="s">
        <v>440</v>
      </c>
      <c r="DY40" s="6"/>
      <c r="DZ40" s="6" t="s">
        <v>586</v>
      </c>
      <c r="EA40" s="6">
        <v>1</v>
      </c>
      <c r="EB40" s="6">
        <v>1</v>
      </c>
      <c r="EC40" s="6">
        <v>1</v>
      </c>
      <c r="ED40" s="6">
        <v>1</v>
      </c>
      <c r="EE40" s="6">
        <v>1</v>
      </c>
      <c r="EF40" s="6">
        <v>1</v>
      </c>
      <c r="EG40" s="6">
        <v>0</v>
      </c>
      <c r="EH40" s="6">
        <v>0</v>
      </c>
      <c r="EI40" s="6"/>
      <c r="EJ40" s="6" t="s">
        <v>697</v>
      </c>
      <c r="EK40" s="6">
        <v>1</v>
      </c>
      <c r="EL40" s="6">
        <v>1</v>
      </c>
      <c r="EM40" s="6">
        <v>1</v>
      </c>
      <c r="EN40" s="6">
        <v>1</v>
      </c>
      <c r="EO40" s="6">
        <v>1</v>
      </c>
      <c r="EP40" s="6">
        <v>1</v>
      </c>
      <c r="EQ40" s="6">
        <v>0</v>
      </c>
      <c r="ER40" s="6">
        <v>0</v>
      </c>
      <c r="ES40" s="6">
        <v>0</v>
      </c>
      <c r="ET40" s="6"/>
      <c r="EU40" s="6" t="s">
        <v>443</v>
      </c>
      <c r="EV40" s="6" t="s">
        <v>588</v>
      </c>
      <c r="EW40" s="6"/>
      <c r="EX40" s="6" t="s">
        <v>1173</v>
      </c>
      <c r="EY40" s="6">
        <v>1</v>
      </c>
      <c r="EZ40" s="6">
        <v>1</v>
      </c>
      <c r="FA40" s="6">
        <v>1</v>
      </c>
      <c r="FB40" s="6">
        <v>1</v>
      </c>
      <c r="FC40" s="6">
        <v>1</v>
      </c>
      <c r="FD40" s="6">
        <v>1</v>
      </c>
      <c r="FE40" s="6">
        <v>0</v>
      </c>
      <c r="FF40" s="6">
        <v>0</v>
      </c>
      <c r="FG40" s="6"/>
      <c r="FH40" s="6" t="s">
        <v>1174</v>
      </c>
      <c r="FI40" s="6">
        <v>1</v>
      </c>
      <c r="FJ40" s="6">
        <v>0</v>
      </c>
      <c r="FK40" s="6">
        <v>1</v>
      </c>
      <c r="FL40" s="6">
        <v>1</v>
      </c>
      <c r="FM40" s="6">
        <v>0</v>
      </c>
      <c r="FN40" s="6">
        <v>1</v>
      </c>
      <c r="FO40" s="6">
        <v>0</v>
      </c>
      <c r="FP40" s="6">
        <v>0</v>
      </c>
      <c r="FQ40" s="6">
        <v>0</v>
      </c>
      <c r="FR40" s="6">
        <v>0</v>
      </c>
      <c r="FS40" s="6"/>
      <c r="FT40" s="6" t="s">
        <v>556</v>
      </c>
      <c r="FU40" s="6" t="s">
        <v>448</v>
      </c>
      <c r="FV40" s="6"/>
      <c r="FW40" s="6" t="s">
        <v>449</v>
      </c>
      <c r="FX40" s="15" t="s">
        <v>450</v>
      </c>
      <c r="FY40" s="6" t="s">
        <v>619</v>
      </c>
      <c r="FZ40" s="6"/>
      <c r="GA40" s="6" t="s">
        <v>450</v>
      </c>
      <c r="GB40" s="6" t="s">
        <v>501</v>
      </c>
      <c r="GC40" s="6" t="s">
        <v>453</v>
      </c>
      <c r="GD40" s="6"/>
      <c r="GE40" s="6" t="s">
        <v>454</v>
      </c>
      <c r="GF40" s="6" t="s">
        <v>1175</v>
      </c>
      <c r="GG40" s="6" t="s">
        <v>456</v>
      </c>
      <c r="GH40" s="15" t="s">
        <v>1176</v>
      </c>
      <c r="GI40" s="6" t="s">
        <v>458</v>
      </c>
      <c r="GJ40" s="6" t="s">
        <v>1177</v>
      </c>
      <c r="GK40" s="6" t="s">
        <v>460</v>
      </c>
      <c r="GL40" s="6" t="s">
        <v>461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1</v>
      </c>
      <c r="GS40" s="6">
        <v>0</v>
      </c>
      <c r="GT40" s="6"/>
      <c r="GU40" s="6" t="s">
        <v>534</v>
      </c>
      <c r="GV40" s="6" t="s">
        <v>595</v>
      </c>
      <c r="GW40" s="6" t="s">
        <v>464</v>
      </c>
      <c r="GX40" s="6">
        <v>1</v>
      </c>
      <c r="GY40" s="6">
        <v>0</v>
      </c>
      <c r="GZ40" s="6">
        <v>0</v>
      </c>
      <c r="HA40" s="6">
        <v>0</v>
      </c>
      <c r="HB40" s="6">
        <v>0</v>
      </c>
      <c r="HC40" s="6">
        <v>0</v>
      </c>
      <c r="HD40" s="6"/>
      <c r="HE40" s="6" t="s">
        <v>1178</v>
      </c>
      <c r="HF40" s="6">
        <v>1</v>
      </c>
      <c r="HG40" s="6">
        <v>1</v>
      </c>
      <c r="HH40" s="6">
        <v>1</v>
      </c>
      <c r="HI40" s="6">
        <v>1</v>
      </c>
      <c r="HJ40" s="6">
        <v>0</v>
      </c>
      <c r="HK40" s="6">
        <v>0</v>
      </c>
      <c r="HL40" s="15"/>
      <c r="HM40" s="6" t="s">
        <v>505</v>
      </c>
      <c r="HN40" s="6"/>
      <c r="HO40" s="6" t="s">
        <v>1179</v>
      </c>
      <c r="HP40" s="6" t="s">
        <v>537</v>
      </c>
      <c r="HQ40" s="6" t="s">
        <v>1180</v>
      </c>
      <c r="HR40" s="6" t="s">
        <v>1181</v>
      </c>
      <c r="HS40" s="6" t="s">
        <v>1182</v>
      </c>
      <c r="HT40" s="6">
        <v>1</v>
      </c>
      <c r="HU40" s="6">
        <v>0</v>
      </c>
      <c r="HV40" s="6">
        <v>1</v>
      </c>
      <c r="HW40" s="6">
        <v>0</v>
      </c>
      <c r="HX40" s="6">
        <v>1</v>
      </c>
      <c r="HY40" s="6">
        <v>0</v>
      </c>
      <c r="HZ40" s="6"/>
      <c r="IA40" s="6" t="s">
        <v>600</v>
      </c>
      <c r="IB40" s="6">
        <v>1</v>
      </c>
      <c r="IC40" s="6">
        <v>1</v>
      </c>
      <c r="ID40" s="6">
        <v>1</v>
      </c>
      <c r="IE40" s="6">
        <v>1</v>
      </c>
      <c r="IF40" s="6">
        <v>0</v>
      </c>
      <c r="IG40" s="6">
        <v>0</v>
      </c>
      <c r="IH40" s="15" t="s">
        <v>1183</v>
      </c>
      <c r="II40" s="6" t="s">
        <v>426</v>
      </c>
      <c r="IJ40" s="6" t="s">
        <v>602</v>
      </c>
      <c r="IK40" s="6">
        <v>1</v>
      </c>
      <c r="IL40" s="6">
        <v>1</v>
      </c>
      <c r="IM40" s="6">
        <v>0</v>
      </c>
      <c r="IN40" s="6"/>
      <c r="IO40" s="6" t="s">
        <v>473</v>
      </c>
      <c r="IP40" s="6">
        <v>1</v>
      </c>
      <c r="IQ40" s="6">
        <v>0</v>
      </c>
      <c r="IR40" s="6">
        <v>0</v>
      </c>
      <c r="IS40" s="6">
        <v>0</v>
      </c>
      <c r="IT40" s="6">
        <v>0</v>
      </c>
      <c r="IU40" s="6">
        <v>0</v>
      </c>
      <c r="IV40" s="6"/>
      <c r="IW40" s="6" t="s">
        <v>426</v>
      </c>
      <c r="IX40" s="6">
        <v>1</v>
      </c>
      <c r="IY40" s="6" t="s">
        <v>474</v>
      </c>
      <c r="IZ40" s="6" t="s">
        <v>475</v>
      </c>
      <c r="JA40" s="6" t="s">
        <v>426</v>
      </c>
      <c r="JB40" s="6" t="s">
        <v>476</v>
      </c>
      <c r="JC40" s="6"/>
      <c r="JD40" s="6"/>
      <c r="JE40" s="6"/>
      <c r="JF40" s="6"/>
      <c r="JG40" s="6"/>
      <c r="JH40" s="6"/>
      <c r="JI40" s="6"/>
      <c r="JJ40" s="6"/>
      <c r="JK40" s="6" t="s">
        <v>426</v>
      </c>
      <c r="JL40" s="6" t="s">
        <v>426</v>
      </c>
      <c r="JM40" s="6"/>
      <c r="JN40" s="6"/>
      <c r="JO40" s="6"/>
      <c r="JP40" s="6"/>
      <c r="JQ40" s="6"/>
      <c r="JR40" s="6"/>
      <c r="JS40" s="6"/>
      <c r="JT40" s="6"/>
      <c r="JU40" s="6" t="s">
        <v>895</v>
      </c>
      <c r="JV40" s="15" t="s">
        <v>1184</v>
      </c>
      <c r="JW40" s="94" t="s">
        <v>1185</v>
      </c>
      <c r="JX40" s="6" t="s">
        <v>1186</v>
      </c>
      <c r="JY40" s="6">
        <v>0.8469557</v>
      </c>
      <c r="JZ40" s="6">
        <v>34.7354487</v>
      </c>
      <c r="KA40" s="6">
        <v>1901.3</v>
      </c>
      <c r="KB40" s="15">
        <v>4</v>
      </c>
      <c r="KC40" s="15"/>
    </row>
    <row r="41" spans="1:289">
      <c r="A41" s="6" t="s">
        <v>864</v>
      </c>
      <c r="B41" s="6" t="s">
        <v>420</v>
      </c>
      <c r="C41" s="6" t="s">
        <v>421</v>
      </c>
      <c r="D41" s="6" t="s">
        <v>1006</v>
      </c>
      <c r="E41" s="6" t="s">
        <v>1187</v>
      </c>
      <c r="F41" s="8" t="s">
        <v>483</v>
      </c>
      <c r="G41" s="6" t="s">
        <v>484</v>
      </c>
      <c r="H41" s="6" t="s">
        <v>425</v>
      </c>
      <c r="I41" s="15"/>
      <c r="J41" s="6" t="s">
        <v>426</v>
      </c>
      <c r="K41" s="6" t="s">
        <v>426</v>
      </c>
      <c r="L41" s="6" t="s">
        <v>426</v>
      </c>
      <c r="M41" s="6" t="s">
        <v>426</v>
      </c>
      <c r="N41" s="6" t="s">
        <v>426</v>
      </c>
      <c r="O41" s="6" t="s">
        <v>426</v>
      </c>
      <c r="P41" s="6" t="s">
        <v>426</v>
      </c>
      <c r="Q41" s="6" t="s">
        <v>426</v>
      </c>
      <c r="R41" s="6" t="s">
        <v>426</v>
      </c>
      <c r="S41" s="6" t="s">
        <v>426</v>
      </c>
      <c r="T41" s="6" t="s">
        <v>426</v>
      </c>
      <c r="U41" s="6" t="s">
        <v>426</v>
      </c>
      <c r="V41" s="6" t="s">
        <v>426</v>
      </c>
      <c r="W41" s="6" t="s">
        <v>426</v>
      </c>
      <c r="X41" s="6" t="s">
        <v>426</v>
      </c>
      <c r="Y41" s="6" t="s">
        <v>426</v>
      </c>
      <c r="Z41" s="6" t="s">
        <v>426</v>
      </c>
      <c r="AA41" s="6" t="s">
        <v>426</v>
      </c>
      <c r="AB41" s="6" t="s">
        <v>426</v>
      </c>
      <c r="AC41" s="15" t="s">
        <v>426</v>
      </c>
      <c r="AD41" s="6" t="s">
        <v>427</v>
      </c>
      <c r="AE41" s="6">
        <v>0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6">
        <v>0</v>
      </c>
      <c r="AL41" s="6">
        <v>0</v>
      </c>
      <c r="AM41" s="6"/>
      <c r="AN41" s="15"/>
      <c r="AO41" s="6" t="s">
        <v>426</v>
      </c>
      <c r="AP41" s="6" t="s">
        <v>1188</v>
      </c>
      <c r="AQ41" s="6" t="s">
        <v>426</v>
      </c>
      <c r="AR41" s="6" t="s">
        <v>901</v>
      </c>
      <c r="AS41" s="6" t="s">
        <v>426</v>
      </c>
      <c r="AT41" s="6">
        <v>0.1</v>
      </c>
      <c r="AU41" s="6" t="s">
        <v>426</v>
      </c>
      <c r="AV41" s="6">
        <v>0.1</v>
      </c>
      <c r="AW41" s="6" t="s">
        <v>426</v>
      </c>
      <c r="AX41" s="6">
        <v>0.1</v>
      </c>
      <c r="AY41" s="6" t="s">
        <v>426</v>
      </c>
      <c r="AZ41" s="6">
        <v>1</v>
      </c>
      <c r="BA41" s="6" t="s">
        <v>426</v>
      </c>
      <c r="BB41" s="6">
        <v>0.1</v>
      </c>
      <c r="BC41" s="6" t="s">
        <v>426</v>
      </c>
      <c r="BD41" s="6">
        <v>0.1</v>
      </c>
      <c r="BE41" s="6" t="s">
        <v>426</v>
      </c>
      <c r="BF41" s="6">
        <v>2</v>
      </c>
      <c r="BG41" s="6" t="s">
        <v>426</v>
      </c>
      <c r="BH41" s="6">
        <v>0.1</v>
      </c>
      <c r="BI41" s="6" t="s">
        <v>426</v>
      </c>
      <c r="BJ41" s="6">
        <v>0.2</v>
      </c>
      <c r="BK41" s="6" t="s">
        <v>453</v>
      </c>
      <c r="BL41" s="6"/>
      <c r="BM41" s="6" t="s">
        <v>426</v>
      </c>
      <c r="BN41" s="6">
        <v>6</v>
      </c>
      <c r="BO41" s="6" t="s">
        <v>426</v>
      </c>
      <c r="BP41" s="6">
        <v>0.1</v>
      </c>
      <c r="BQ41" s="6" t="s">
        <v>426</v>
      </c>
      <c r="BR41" s="6">
        <v>9</v>
      </c>
      <c r="BS41" s="6" t="s">
        <v>453</v>
      </c>
      <c r="BT41" s="6"/>
      <c r="BU41" s="6" t="s">
        <v>426</v>
      </c>
      <c r="BV41" s="15">
        <v>0.1</v>
      </c>
      <c r="BW41" s="15" t="s">
        <v>518</v>
      </c>
      <c r="BX41" s="15" t="s">
        <v>786</v>
      </c>
      <c r="BY41" s="6" t="s">
        <v>430</v>
      </c>
      <c r="BZ41" s="6" t="s">
        <v>430</v>
      </c>
      <c r="CA41" s="6" t="s">
        <v>486</v>
      </c>
      <c r="CB41" s="6" t="s">
        <v>431</v>
      </c>
      <c r="CC41" s="6" t="s">
        <v>430</v>
      </c>
      <c r="CD41" s="6" t="s">
        <v>430</v>
      </c>
      <c r="CE41" s="6" t="s">
        <v>486</v>
      </c>
      <c r="CF41" s="6" t="s">
        <v>431</v>
      </c>
      <c r="CG41" s="6" t="s">
        <v>430</v>
      </c>
      <c r="CH41" s="6" t="s">
        <v>431</v>
      </c>
      <c r="CI41" s="6" t="s">
        <v>430</v>
      </c>
      <c r="CJ41" s="6" t="s">
        <v>1189</v>
      </c>
      <c r="CK41" s="6" t="s">
        <v>430</v>
      </c>
      <c r="CL41" s="6" t="s">
        <v>430</v>
      </c>
      <c r="CM41" s="6" t="s">
        <v>486</v>
      </c>
      <c r="CN41" s="6" t="s">
        <v>487</v>
      </c>
      <c r="CO41" s="15" t="s">
        <v>430</v>
      </c>
      <c r="CP41" s="15" t="s">
        <v>1190</v>
      </c>
      <c r="CQ41" s="6" t="s">
        <v>686</v>
      </c>
      <c r="CR41" s="15"/>
      <c r="CS41" s="6" t="s">
        <v>426</v>
      </c>
      <c r="CT41" s="6" t="s">
        <v>1191</v>
      </c>
      <c r="CU41" s="6" t="s">
        <v>1192</v>
      </c>
      <c r="CV41" s="6" t="s">
        <v>1193</v>
      </c>
      <c r="CW41" s="6" t="s">
        <v>1194</v>
      </c>
      <c r="CX41" s="15" t="s">
        <v>453</v>
      </c>
      <c r="CY41" s="6"/>
      <c r="CZ41" s="6"/>
      <c r="DA41" s="6"/>
      <c r="DB41" s="6"/>
      <c r="DC41" s="6"/>
      <c r="DD41" s="15"/>
      <c r="DE41" s="15" t="s">
        <v>436</v>
      </c>
      <c r="DF41" s="6" t="s">
        <v>522</v>
      </c>
      <c r="DG41" s="6">
        <v>0</v>
      </c>
      <c r="DH41" s="6">
        <v>1</v>
      </c>
      <c r="DI41" s="6">
        <v>0</v>
      </c>
      <c r="DJ41" s="6">
        <v>0</v>
      </c>
      <c r="DK41" s="6">
        <v>0</v>
      </c>
      <c r="DL41" s="6">
        <v>0</v>
      </c>
      <c r="DM41" s="6"/>
      <c r="DN41" s="6"/>
      <c r="DO41" s="6"/>
      <c r="DP41" s="6"/>
      <c r="DQ41" s="6"/>
      <c r="DR41" s="6"/>
      <c r="DS41" s="6"/>
      <c r="DT41" s="66"/>
      <c r="DU41" s="6" t="s">
        <v>438</v>
      </c>
      <c r="DV41" s="6" t="s">
        <v>426</v>
      </c>
      <c r="DW41" s="6" t="s">
        <v>1195</v>
      </c>
      <c r="DX41" s="6" t="s">
        <v>491</v>
      </c>
      <c r="DY41" s="6"/>
      <c r="DZ41" s="6" t="s">
        <v>1196</v>
      </c>
      <c r="EA41" s="6">
        <v>1</v>
      </c>
      <c r="EB41" s="6">
        <v>0</v>
      </c>
      <c r="EC41" s="6">
        <v>1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/>
      <c r="EJ41" s="6" t="s">
        <v>811</v>
      </c>
      <c r="EK41" s="6">
        <v>1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/>
      <c r="EU41" s="6" t="s">
        <v>955</v>
      </c>
      <c r="EV41" s="6" t="s">
        <v>495</v>
      </c>
      <c r="EW41" s="6"/>
      <c r="EX41" s="6" t="s">
        <v>1123</v>
      </c>
      <c r="EY41" s="6">
        <v>1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/>
      <c r="FH41" s="6" t="s">
        <v>670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1</v>
      </c>
      <c r="FO41" s="6">
        <v>0</v>
      </c>
      <c r="FP41" s="6">
        <v>0</v>
      </c>
      <c r="FQ41" s="6">
        <v>0</v>
      </c>
      <c r="FR41" s="6">
        <v>0</v>
      </c>
      <c r="FS41" s="6"/>
      <c r="FT41" s="6" t="s">
        <v>556</v>
      </c>
      <c r="FU41" s="6" t="s">
        <v>448</v>
      </c>
      <c r="FV41" s="6"/>
      <c r="FW41" s="6" t="s">
        <v>449</v>
      </c>
      <c r="FX41" s="15" t="s">
        <v>450</v>
      </c>
      <c r="FY41" s="6" t="s">
        <v>529</v>
      </c>
      <c r="FZ41" s="6"/>
      <c r="GA41" s="6" t="s">
        <v>450</v>
      </c>
      <c r="GB41" s="6" t="s">
        <v>501</v>
      </c>
      <c r="GC41" s="6" t="s">
        <v>453</v>
      </c>
      <c r="GD41" s="6"/>
      <c r="GE41" s="6" t="s">
        <v>454</v>
      </c>
      <c r="GF41" s="6" t="s">
        <v>1197</v>
      </c>
      <c r="GG41" s="6" t="s">
        <v>456</v>
      </c>
      <c r="GH41" s="15" t="s">
        <v>1198</v>
      </c>
      <c r="GI41" s="6" t="s">
        <v>458</v>
      </c>
      <c r="GJ41" s="6" t="s">
        <v>1199</v>
      </c>
      <c r="GK41" s="6" t="s">
        <v>460</v>
      </c>
      <c r="GL41" s="6" t="s">
        <v>461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1</v>
      </c>
      <c r="GS41" s="6">
        <v>0</v>
      </c>
      <c r="GT41" s="6"/>
      <c r="GU41" s="6" t="s">
        <v>534</v>
      </c>
      <c r="GV41" s="6" t="s">
        <v>595</v>
      </c>
      <c r="GW41" s="6" t="s">
        <v>464</v>
      </c>
      <c r="GX41" s="6">
        <v>1</v>
      </c>
      <c r="GY41" s="6">
        <v>0</v>
      </c>
      <c r="GZ41" s="6">
        <v>0</v>
      </c>
      <c r="HA41" s="6">
        <v>0</v>
      </c>
      <c r="HB41" s="6">
        <v>0</v>
      </c>
      <c r="HC41" s="6">
        <v>0</v>
      </c>
      <c r="HD41" s="6"/>
      <c r="HE41" s="6" t="s">
        <v>1055</v>
      </c>
      <c r="HF41" s="6">
        <v>1</v>
      </c>
      <c r="HG41" s="6">
        <v>0</v>
      </c>
      <c r="HH41" s="6">
        <v>1</v>
      </c>
      <c r="HI41" s="6">
        <v>0</v>
      </c>
      <c r="HJ41" s="6">
        <v>0</v>
      </c>
      <c r="HK41" s="6">
        <v>0</v>
      </c>
      <c r="HL41" s="15"/>
      <c r="HM41" s="6" t="s">
        <v>676</v>
      </c>
      <c r="HN41" s="6"/>
      <c r="HO41" s="6" t="s">
        <v>1200</v>
      </c>
      <c r="HP41" s="6" t="s">
        <v>537</v>
      </c>
      <c r="HQ41" s="6" t="s">
        <v>1201</v>
      </c>
      <c r="HR41" s="6" t="s">
        <v>1202</v>
      </c>
      <c r="HS41" s="6" t="s">
        <v>540</v>
      </c>
      <c r="HT41" s="6">
        <v>1</v>
      </c>
      <c r="HU41" s="6">
        <v>0</v>
      </c>
      <c r="HV41" s="6">
        <v>0</v>
      </c>
      <c r="HW41" s="6">
        <v>0</v>
      </c>
      <c r="HX41" s="6">
        <v>0</v>
      </c>
      <c r="HY41" s="6">
        <v>0</v>
      </c>
      <c r="HZ41" s="6"/>
      <c r="IA41" s="6" t="s">
        <v>112</v>
      </c>
      <c r="IB41" s="6">
        <v>0</v>
      </c>
      <c r="IC41" s="6">
        <v>1</v>
      </c>
      <c r="ID41" s="6">
        <v>0</v>
      </c>
      <c r="IE41" s="6">
        <v>0</v>
      </c>
      <c r="IF41" s="6">
        <v>0</v>
      </c>
      <c r="IG41" s="6">
        <v>0</v>
      </c>
      <c r="IH41" s="15" t="s">
        <v>1203</v>
      </c>
      <c r="II41" s="6" t="s">
        <v>426</v>
      </c>
      <c r="IJ41" s="6" t="s">
        <v>602</v>
      </c>
      <c r="IK41" s="6">
        <v>1</v>
      </c>
      <c r="IL41" s="6">
        <v>1</v>
      </c>
      <c r="IM41" s="6">
        <v>0</v>
      </c>
      <c r="IN41" s="6"/>
      <c r="IO41" s="6" t="s">
        <v>1204</v>
      </c>
      <c r="IP41" s="6">
        <v>1</v>
      </c>
      <c r="IQ41" s="6">
        <v>0</v>
      </c>
      <c r="IR41" s="6">
        <v>0</v>
      </c>
      <c r="IS41" s="6">
        <v>0</v>
      </c>
      <c r="IT41" s="6">
        <v>1</v>
      </c>
      <c r="IU41" s="6">
        <v>0</v>
      </c>
      <c r="IV41" s="6"/>
      <c r="IW41" s="6" t="s">
        <v>426</v>
      </c>
      <c r="IX41" s="6">
        <v>1</v>
      </c>
      <c r="IY41" s="6" t="s">
        <v>474</v>
      </c>
      <c r="IZ41" s="6" t="s">
        <v>475</v>
      </c>
      <c r="JA41" s="6" t="s">
        <v>426</v>
      </c>
      <c r="JB41" s="6" t="s">
        <v>476</v>
      </c>
      <c r="JC41" s="6"/>
      <c r="JD41" s="6"/>
      <c r="JE41" s="6"/>
      <c r="JF41" s="6"/>
      <c r="JG41" s="6"/>
      <c r="JH41" s="6"/>
      <c r="JI41" s="6"/>
      <c r="JJ41" s="6"/>
      <c r="JK41" s="6" t="s">
        <v>426</v>
      </c>
      <c r="JL41" s="6" t="s">
        <v>453</v>
      </c>
      <c r="JM41" s="6" t="s">
        <v>913</v>
      </c>
      <c r="JN41" s="6">
        <v>1</v>
      </c>
      <c r="JO41" s="6">
        <v>0</v>
      </c>
      <c r="JP41" s="6">
        <v>0</v>
      </c>
      <c r="JQ41" s="6">
        <v>0</v>
      </c>
      <c r="JR41" s="6">
        <v>0</v>
      </c>
      <c r="JS41" s="6">
        <v>0</v>
      </c>
      <c r="JT41" s="6"/>
      <c r="JU41" s="6" t="s">
        <v>895</v>
      </c>
      <c r="JV41" s="15" t="s">
        <v>1205</v>
      </c>
      <c r="JW41" s="94" t="s">
        <v>1206</v>
      </c>
      <c r="JX41" s="6" t="s">
        <v>1207</v>
      </c>
      <c r="JY41" s="6">
        <v>0.8347043</v>
      </c>
      <c r="JZ41" s="6">
        <v>34.7483026</v>
      </c>
      <c r="KA41" s="6">
        <v>1718.969</v>
      </c>
      <c r="KB41" s="15">
        <v>3.534</v>
      </c>
      <c r="KC41" s="15"/>
    </row>
    <row r="42" spans="1:289">
      <c r="A42" s="6" t="s">
        <v>864</v>
      </c>
      <c r="B42" s="6" t="s">
        <v>420</v>
      </c>
      <c r="C42" s="6" t="s">
        <v>421</v>
      </c>
      <c r="D42" s="6" t="s">
        <v>918</v>
      </c>
      <c r="E42" s="6" t="s">
        <v>1208</v>
      </c>
      <c r="F42" s="8" t="s">
        <v>483</v>
      </c>
      <c r="G42" s="6" t="s">
        <v>424</v>
      </c>
      <c r="H42" s="6" t="s">
        <v>517</v>
      </c>
      <c r="I42" s="15"/>
      <c r="J42" s="6" t="s">
        <v>426</v>
      </c>
      <c r="K42" s="6" t="s">
        <v>426</v>
      </c>
      <c r="L42" s="6" t="s">
        <v>426</v>
      </c>
      <c r="M42" s="6" t="s">
        <v>426</v>
      </c>
      <c r="N42" s="6" t="s">
        <v>426</v>
      </c>
      <c r="O42" s="6" t="s">
        <v>426</v>
      </c>
      <c r="P42" s="6" t="s">
        <v>426</v>
      </c>
      <c r="Q42" s="6" t="s">
        <v>426</v>
      </c>
      <c r="R42" s="6" t="s">
        <v>426</v>
      </c>
      <c r="S42" s="6" t="s">
        <v>426</v>
      </c>
      <c r="T42" s="6" t="s">
        <v>426</v>
      </c>
      <c r="U42" s="6" t="s">
        <v>426</v>
      </c>
      <c r="V42" s="6" t="s">
        <v>426</v>
      </c>
      <c r="W42" s="6" t="s">
        <v>426</v>
      </c>
      <c r="X42" s="6" t="s">
        <v>426</v>
      </c>
      <c r="Y42" s="6" t="s">
        <v>426</v>
      </c>
      <c r="Z42" s="6" t="s">
        <v>426</v>
      </c>
      <c r="AA42" s="6" t="s">
        <v>426</v>
      </c>
      <c r="AB42" s="6" t="s">
        <v>426</v>
      </c>
      <c r="AC42" s="15" t="s">
        <v>426</v>
      </c>
      <c r="AD42" s="6" t="s">
        <v>1063</v>
      </c>
      <c r="AE42" s="6">
        <v>1</v>
      </c>
      <c r="AF42" s="6">
        <v>0</v>
      </c>
      <c r="AG42" s="6">
        <v>0</v>
      </c>
      <c r="AH42" s="6">
        <v>1</v>
      </c>
      <c r="AI42" s="6">
        <v>0</v>
      </c>
      <c r="AJ42" s="6">
        <v>0</v>
      </c>
      <c r="AK42" s="6">
        <v>0</v>
      </c>
      <c r="AL42" s="6">
        <v>0</v>
      </c>
      <c r="AM42" s="6"/>
      <c r="AN42" s="15"/>
      <c r="AO42" s="6" t="s">
        <v>426</v>
      </c>
      <c r="AP42" s="6" t="s">
        <v>683</v>
      </c>
      <c r="AQ42" s="6" t="s">
        <v>426</v>
      </c>
      <c r="AR42" s="6" t="s">
        <v>823</v>
      </c>
      <c r="AS42" s="6" t="s">
        <v>426</v>
      </c>
      <c r="AT42" s="6">
        <v>0.1</v>
      </c>
      <c r="AU42" s="6" t="s">
        <v>426</v>
      </c>
      <c r="AV42" s="6">
        <v>0.2</v>
      </c>
      <c r="AW42" s="6" t="s">
        <v>426</v>
      </c>
      <c r="AX42" s="6">
        <v>0.4</v>
      </c>
      <c r="AY42" s="6" t="s">
        <v>426</v>
      </c>
      <c r="AZ42" s="6">
        <v>1</v>
      </c>
      <c r="BA42" s="6" t="s">
        <v>426</v>
      </c>
      <c r="BB42" s="6">
        <v>0.1</v>
      </c>
      <c r="BC42" s="6" t="s">
        <v>426</v>
      </c>
      <c r="BD42" s="6">
        <v>0.2</v>
      </c>
      <c r="BE42" s="6" t="s">
        <v>453</v>
      </c>
      <c r="BF42" s="6"/>
      <c r="BG42" s="6" t="s">
        <v>453</v>
      </c>
      <c r="BH42" s="6"/>
      <c r="BI42" s="6" t="s">
        <v>426</v>
      </c>
      <c r="BJ42" s="6">
        <v>0.6</v>
      </c>
      <c r="BK42" s="6" t="s">
        <v>426</v>
      </c>
      <c r="BL42" s="6">
        <v>0.2</v>
      </c>
      <c r="BM42" s="6" t="s">
        <v>426</v>
      </c>
      <c r="BN42" s="6">
        <v>15</v>
      </c>
      <c r="BO42" s="6" t="s">
        <v>426</v>
      </c>
      <c r="BP42" s="6">
        <v>0.1</v>
      </c>
      <c r="BQ42" s="6" t="s">
        <v>426</v>
      </c>
      <c r="BR42" s="6">
        <v>20</v>
      </c>
      <c r="BS42" s="6" t="s">
        <v>453</v>
      </c>
      <c r="BT42" s="6"/>
      <c r="BU42" s="6" t="s">
        <v>426</v>
      </c>
      <c r="BV42" s="15">
        <v>0.2</v>
      </c>
      <c r="BW42" s="15" t="s">
        <v>518</v>
      </c>
      <c r="BX42" s="15" t="s">
        <v>429</v>
      </c>
      <c r="BY42" s="6" t="s">
        <v>430</v>
      </c>
      <c r="BZ42" s="6" t="s">
        <v>430</v>
      </c>
      <c r="CA42" s="6" t="s">
        <v>430</v>
      </c>
      <c r="CB42" s="6" t="s">
        <v>487</v>
      </c>
      <c r="CC42" s="6" t="s">
        <v>430</v>
      </c>
      <c r="CD42" s="6" t="s">
        <v>430</v>
      </c>
      <c r="CE42" s="6" t="s">
        <v>431</v>
      </c>
      <c r="CF42" s="6" t="s">
        <v>430</v>
      </c>
      <c r="CG42" s="6" t="s">
        <v>487</v>
      </c>
      <c r="CH42" s="6" t="s">
        <v>486</v>
      </c>
      <c r="CI42" s="6" t="s">
        <v>430</v>
      </c>
      <c r="CJ42" s="6" t="s">
        <v>759</v>
      </c>
      <c r="CK42" s="6" t="s">
        <v>430</v>
      </c>
      <c r="CL42" s="6" t="s">
        <v>431</v>
      </c>
      <c r="CM42" s="6" t="s">
        <v>430</v>
      </c>
      <c r="CN42" s="6" t="s">
        <v>487</v>
      </c>
      <c r="CO42" s="15" t="s">
        <v>430</v>
      </c>
      <c r="CP42" s="15" t="s">
        <v>1190</v>
      </c>
      <c r="CQ42" s="6" t="s">
        <v>686</v>
      </c>
      <c r="CR42" s="15"/>
      <c r="CS42" s="6" t="s">
        <v>426</v>
      </c>
      <c r="CT42" s="6" t="s">
        <v>844</v>
      </c>
      <c r="CU42" s="6" t="s">
        <v>1209</v>
      </c>
      <c r="CV42" s="6" t="s">
        <v>1210</v>
      </c>
      <c r="CW42" s="6" t="s">
        <v>1211</v>
      </c>
      <c r="CX42" s="15" t="s">
        <v>453</v>
      </c>
      <c r="CY42" s="6"/>
      <c r="CZ42" s="6"/>
      <c r="DA42" s="6"/>
      <c r="DB42" s="6"/>
      <c r="DC42" s="6"/>
      <c r="DD42" s="15"/>
      <c r="DE42" s="15" t="s">
        <v>521</v>
      </c>
      <c r="DF42" s="6" t="s">
        <v>437</v>
      </c>
      <c r="DG42" s="6">
        <v>1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/>
      <c r="DN42" s="6"/>
      <c r="DO42" s="6"/>
      <c r="DP42" s="6"/>
      <c r="DQ42" s="6"/>
      <c r="DR42" s="6"/>
      <c r="DS42" s="6"/>
      <c r="DT42" s="66"/>
      <c r="DU42" s="6" t="s">
        <v>438</v>
      </c>
      <c r="DV42" s="6" t="s">
        <v>426</v>
      </c>
      <c r="DW42" s="6" t="s">
        <v>1212</v>
      </c>
      <c r="DX42" s="6" t="s">
        <v>1069</v>
      </c>
      <c r="DY42" s="6"/>
      <c r="DZ42" s="6" t="s">
        <v>768</v>
      </c>
      <c r="EA42" s="6">
        <v>1</v>
      </c>
      <c r="EB42" s="6">
        <v>1</v>
      </c>
      <c r="EC42" s="6">
        <v>1</v>
      </c>
      <c r="ED42" s="6">
        <v>1</v>
      </c>
      <c r="EE42" s="6">
        <v>1</v>
      </c>
      <c r="EF42" s="6">
        <v>0</v>
      </c>
      <c r="EG42" s="6">
        <v>0</v>
      </c>
      <c r="EH42" s="6">
        <v>0</v>
      </c>
      <c r="EI42" s="6"/>
      <c r="EJ42" s="6" t="s">
        <v>1213</v>
      </c>
      <c r="EK42" s="6">
        <v>1</v>
      </c>
      <c r="EL42" s="6">
        <v>0</v>
      </c>
      <c r="EM42" s="6">
        <v>1</v>
      </c>
      <c r="EN42" s="6">
        <v>0</v>
      </c>
      <c r="EO42" s="6">
        <v>1</v>
      </c>
      <c r="EP42" s="6">
        <v>1</v>
      </c>
      <c r="EQ42" s="6">
        <v>1</v>
      </c>
      <c r="ER42" s="6">
        <v>0</v>
      </c>
      <c r="ES42" s="6">
        <v>0</v>
      </c>
      <c r="ET42" s="6"/>
      <c r="EU42" s="6" t="s">
        <v>443</v>
      </c>
      <c r="EV42" s="6" t="s">
        <v>554</v>
      </c>
      <c r="EW42" s="6"/>
      <c r="EX42" s="6" t="s">
        <v>885</v>
      </c>
      <c r="EY42" s="6">
        <v>0</v>
      </c>
      <c r="EZ42" s="6">
        <v>0</v>
      </c>
      <c r="FA42" s="6">
        <v>0</v>
      </c>
      <c r="FB42" s="6">
        <v>0</v>
      </c>
      <c r="FC42" s="6">
        <v>1</v>
      </c>
      <c r="FD42" s="6">
        <v>0</v>
      </c>
      <c r="FE42" s="6">
        <v>0</v>
      </c>
      <c r="FF42" s="6">
        <v>0</v>
      </c>
      <c r="FG42" s="6"/>
      <c r="FH42" s="6" t="s">
        <v>670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1</v>
      </c>
      <c r="FO42" s="6">
        <v>0</v>
      </c>
      <c r="FP42" s="6">
        <v>0</v>
      </c>
      <c r="FQ42" s="6">
        <v>0</v>
      </c>
      <c r="FR42" s="6">
        <v>0</v>
      </c>
      <c r="FS42" s="6"/>
      <c r="FT42" s="6" t="s">
        <v>556</v>
      </c>
      <c r="FU42" s="6" t="s">
        <v>448</v>
      </c>
      <c r="FV42" s="6"/>
      <c r="FW42" s="6" t="s">
        <v>449</v>
      </c>
      <c r="FX42" s="15" t="s">
        <v>528</v>
      </c>
      <c r="FY42" s="6" t="s">
        <v>451</v>
      </c>
      <c r="FZ42" s="6"/>
      <c r="GA42" s="6" t="s">
        <v>450</v>
      </c>
      <c r="GB42" s="6" t="s">
        <v>501</v>
      </c>
      <c r="GC42" s="6" t="s">
        <v>453</v>
      </c>
      <c r="GD42" s="6"/>
      <c r="GE42" s="6" t="s">
        <v>454</v>
      </c>
      <c r="GF42" s="6" t="s">
        <v>1214</v>
      </c>
      <c r="GG42" s="6" t="s">
        <v>592</v>
      </c>
      <c r="GH42" s="15" t="s">
        <v>1215</v>
      </c>
      <c r="GI42" s="6" t="s">
        <v>458</v>
      </c>
      <c r="GJ42" s="6" t="s">
        <v>1216</v>
      </c>
      <c r="GK42" s="6" t="s">
        <v>460</v>
      </c>
      <c r="GL42" s="6" t="s">
        <v>857</v>
      </c>
      <c r="GM42" s="6">
        <v>0</v>
      </c>
      <c r="GN42" s="6">
        <v>1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/>
      <c r="GU42" s="6" t="s">
        <v>534</v>
      </c>
      <c r="GV42" s="6" t="s">
        <v>595</v>
      </c>
      <c r="GW42" s="6" t="s">
        <v>464</v>
      </c>
      <c r="GX42" s="6">
        <v>1</v>
      </c>
      <c r="GY42" s="6">
        <v>0</v>
      </c>
      <c r="GZ42" s="6">
        <v>0</v>
      </c>
      <c r="HA42" s="6">
        <v>0</v>
      </c>
      <c r="HB42" s="6">
        <v>0</v>
      </c>
      <c r="HC42" s="6">
        <v>0</v>
      </c>
      <c r="HD42" s="6"/>
      <c r="HE42" s="6" t="s">
        <v>535</v>
      </c>
      <c r="HF42" s="6">
        <v>1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15"/>
      <c r="HM42" s="6" t="s">
        <v>505</v>
      </c>
      <c r="HN42" s="6"/>
      <c r="HO42" s="6" t="s">
        <v>1217</v>
      </c>
      <c r="HP42" s="6" t="s">
        <v>537</v>
      </c>
      <c r="HQ42" s="6" t="s">
        <v>1201</v>
      </c>
      <c r="HR42" s="6" t="s">
        <v>1218</v>
      </c>
      <c r="HS42" s="6" t="s">
        <v>540</v>
      </c>
      <c r="HT42" s="6">
        <v>1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/>
      <c r="IA42" s="6" t="s">
        <v>1219</v>
      </c>
      <c r="IB42" s="6">
        <v>1</v>
      </c>
      <c r="IC42" s="6">
        <v>1</v>
      </c>
      <c r="ID42" s="6">
        <v>0</v>
      </c>
      <c r="IE42" s="6">
        <v>0</v>
      </c>
      <c r="IF42" s="6">
        <v>0</v>
      </c>
      <c r="IG42" s="6">
        <v>0</v>
      </c>
      <c r="IH42" s="15" t="s">
        <v>1220</v>
      </c>
      <c r="II42" s="6" t="s">
        <v>426</v>
      </c>
      <c r="IJ42" s="6" t="s">
        <v>602</v>
      </c>
      <c r="IK42" s="6">
        <v>1</v>
      </c>
      <c r="IL42" s="6">
        <v>1</v>
      </c>
      <c r="IM42" s="6">
        <v>0</v>
      </c>
      <c r="IN42" s="6"/>
      <c r="IO42" s="6" t="s">
        <v>473</v>
      </c>
      <c r="IP42" s="6">
        <v>1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/>
      <c r="IW42" s="6" t="s">
        <v>426</v>
      </c>
      <c r="IX42" s="6">
        <v>1</v>
      </c>
      <c r="IY42" s="6" t="s">
        <v>510</v>
      </c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 t="s">
        <v>453</v>
      </c>
      <c r="JL42" s="6"/>
      <c r="JM42" s="6"/>
      <c r="JN42" s="6"/>
      <c r="JO42" s="6"/>
      <c r="JP42" s="6"/>
      <c r="JQ42" s="6"/>
      <c r="JR42" s="6"/>
      <c r="JS42" s="6"/>
      <c r="JT42" s="6"/>
      <c r="JU42" s="6" t="s">
        <v>477</v>
      </c>
      <c r="JV42" s="15"/>
      <c r="JW42" s="94" t="s">
        <v>1221</v>
      </c>
      <c r="JX42" s="6" t="s">
        <v>1222</v>
      </c>
      <c r="JY42" s="6">
        <v>0.8346016</v>
      </c>
      <c r="JZ42" s="6">
        <v>34.7483503</v>
      </c>
      <c r="KA42" s="6">
        <v>1751.412</v>
      </c>
      <c r="KB42" s="15">
        <v>6.042</v>
      </c>
      <c r="KC42" s="15"/>
    </row>
    <row r="43" spans="1:289">
      <c r="A43" s="6" t="s">
        <v>633</v>
      </c>
      <c r="B43" s="6" t="s">
        <v>420</v>
      </c>
      <c r="C43" s="6" t="s">
        <v>421</v>
      </c>
      <c r="D43" s="6" t="s">
        <v>1006</v>
      </c>
      <c r="E43" s="6" t="s">
        <v>1223</v>
      </c>
      <c r="F43" s="8" t="s">
        <v>423</v>
      </c>
      <c r="G43" s="6" t="s">
        <v>731</v>
      </c>
      <c r="H43" s="6" t="s">
        <v>517</v>
      </c>
      <c r="I43" s="15"/>
      <c r="J43" s="6" t="s">
        <v>426</v>
      </c>
      <c r="K43" s="6" t="s">
        <v>426</v>
      </c>
      <c r="L43" s="6" t="s">
        <v>426</v>
      </c>
      <c r="M43" s="6" t="s">
        <v>426</v>
      </c>
      <c r="N43" s="6" t="s">
        <v>426</v>
      </c>
      <c r="O43" s="6" t="s">
        <v>426</v>
      </c>
      <c r="P43" s="6" t="s">
        <v>426</v>
      </c>
      <c r="Q43" s="6" t="s">
        <v>426</v>
      </c>
      <c r="R43" s="6" t="s">
        <v>426</v>
      </c>
      <c r="S43" s="6" t="s">
        <v>426</v>
      </c>
      <c r="T43" s="6" t="s">
        <v>426</v>
      </c>
      <c r="U43" s="6" t="s">
        <v>426</v>
      </c>
      <c r="V43" s="6" t="s">
        <v>426</v>
      </c>
      <c r="W43" s="6" t="s">
        <v>426</v>
      </c>
      <c r="X43" s="6" t="s">
        <v>426</v>
      </c>
      <c r="Y43" s="6" t="s">
        <v>426</v>
      </c>
      <c r="Z43" s="6" t="s">
        <v>426</v>
      </c>
      <c r="AA43" s="6" t="s">
        <v>426</v>
      </c>
      <c r="AB43" s="6" t="s">
        <v>426</v>
      </c>
      <c r="AC43" s="15" t="s">
        <v>426</v>
      </c>
      <c r="AD43" s="6" t="s">
        <v>427</v>
      </c>
      <c r="AE43" s="6">
        <v>0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0</v>
      </c>
      <c r="AL43" s="6">
        <v>0</v>
      </c>
      <c r="AM43" s="6"/>
      <c r="AN43" s="15"/>
      <c r="AO43" s="6" t="s">
        <v>426</v>
      </c>
      <c r="AP43" s="6" t="s">
        <v>1024</v>
      </c>
      <c r="AQ43" s="6" t="s">
        <v>426</v>
      </c>
      <c r="AR43" s="6" t="s">
        <v>683</v>
      </c>
      <c r="AS43" s="6" t="s">
        <v>426</v>
      </c>
      <c r="AT43" s="6">
        <v>0.1</v>
      </c>
      <c r="AU43" s="6" t="s">
        <v>426</v>
      </c>
      <c r="AV43" s="6">
        <v>0.1</v>
      </c>
      <c r="AW43" s="6" t="s">
        <v>426</v>
      </c>
      <c r="AX43" s="6">
        <v>0.1</v>
      </c>
      <c r="AY43" s="6" t="s">
        <v>426</v>
      </c>
      <c r="AZ43" s="6">
        <v>0</v>
      </c>
      <c r="BA43" s="6" t="s">
        <v>426</v>
      </c>
      <c r="BB43" s="6">
        <v>0.1</v>
      </c>
      <c r="BC43" s="6" t="s">
        <v>426</v>
      </c>
      <c r="BD43" s="6">
        <v>0.08</v>
      </c>
      <c r="BE43" s="6" t="s">
        <v>426</v>
      </c>
      <c r="BF43" s="6">
        <v>3</v>
      </c>
      <c r="BG43" s="6" t="s">
        <v>426</v>
      </c>
      <c r="BH43" s="6">
        <v>0.1</v>
      </c>
      <c r="BI43" s="6" t="s">
        <v>426</v>
      </c>
      <c r="BJ43" s="6">
        <v>0.1</v>
      </c>
      <c r="BK43" s="6" t="s">
        <v>426</v>
      </c>
      <c r="BL43" s="6">
        <v>0.1</v>
      </c>
      <c r="BM43" s="6" t="s">
        <v>426</v>
      </c>
      <c r="BN43" s="6">
        <v>20</v>
      </c>
      <c r="BO43" s="6" t="s">
        <v>426</v>
      </c>
      <c r="BP43" s="6">
        <v>0.08</v>
      </c>
      <c r="BQ43" s="6" t="s">
        <v>426</v>
      </c>
      <c r="BR43" s="6">
        <v>60</v>
      </c>
      <c r="BS43" s="6" t="s">
        <v>453</v>
      </c>
      <c r="BT43" s="6"/>
      <c r="BU43" s="6" t="s">
        <v>426</v>
      </c>
      <c r="BV43" s="15">
        <v>0.1</v>
      </c>
      <c r="BW43" s="15" t="s">
        <v>518</v>
      </c>
      <c r="BX43" s="15" t="s">
        <v>429</v>
      </c>
      <c r="BY43" s="6" t="s">
        <v>430</v>
      </c>
      <c r="BZ43" s="6" t="s">
        <v>430</v>
      </c>
      <c r="CA43" s="6" t="s">
        <v>430</v>
      </c>
      <c r="CB43" s="6" t="s">
        <v>430</v>
      </c>
      <c r="CC43" s="6" t="s">
        <v>430</v>
      </c>
      <c r="CD43" s="6" t="s">
        <v>430</v>
      </c>
      <c r="CE43" s="6" t="s">
        <v>430</v>
      </c>
      <c r="CF43" s="6" t="s">
        <v>430</v>
      </c>
      <c r="CG43" s="6" t="s">
        <v>430</v>
      </c>
      <c r="CH43" s="6" t="s">
        <v>430</v>
      </c>
      <c r="CI43" s="6" t="s">
        <v>430</v>
      </c>
      <c r="CJ43" s="6" t="s">
        <v>430</v>
      </c>
      <c r="CK43" s="6" t="s">
        <v>430</v>
      </c>
      <c r="CL43" s="6" t="s">
        <v>430</v>
      </c>
      <c r="CM43" s="6" t="s">
        <v>430</v>
      </c>
      <c r="CN43" s="6" t="s">
        <v>486</v>
      </c>
      <c r="CO43" s="15" t="s">
        <v>430</v>
      </c>
      <c r="CP43" s="15" t="s">
        <v>432</v>
      </c>
      <c r="CQ43" s="6" t="s">
        <v>433</v>
      </c>
      <c r="CR43" s="15"/>
      <c r="CS43" s="6" t="s">
        <v>453</v>
      </c>
      <c r="CT43" s="6"/>
      <c r="CU43" s="6"/>
      <c r="CV43" s="6"/>
      <c r="CW43" s="6"/>
      <c r="CX43" s="15" t="s">
        <v>426</v>
      </c>
      <c r="CY43" s="6" t="s">
        <v>426</v>
      </c>
      <c r="CZ43" s="6" t="s">
        <v>1224</v>
      </c>
      <c r="DA43" s="6" t="s">
        <v>1111</v>
      </c>
      <c r="DB43" s="6" t="s">
        <v>1225</v>
      </c>
      <c r="DC43" s="6" t="s">
        <v>1226</v>
      </c>
      <c r="DD43" s="15" t="s">
        <v>689</v>
      </c>
      <c r="DE43" s="15" t="s">
        <v>436</v>
      </c>
      <c r="DF43" s="6" t="s">
        <v>611</v>
      </c>
      <c r="DG43" s="6">
        <v>1</v>
      </c>
      <c r="DH43" s="6">
        <v>1</v>
      </c>
      <c r="DI43" s="6">
        <v>0</v>
      </c>
      <c r="DJ43" s="6">
        <v>0</v>
      </c>
      <c r="DK43" s="6">
        <v>0</v>
      </c>
      <c r="DL43" s="6">
        <v>0</v>
      </c>
      <c r="DM43" s="6"/>
      <c r="DN43" s="6"/>
      <c r="DO43" s="6"/>
      <c r="DP43" s="6"/>
      <c r="DQ43" s="6"/>
      <c r="DR43" s="6"/>
      <c r="DS43" s="6"/>
      <c r="DT43" s="66"/>
      <c r="DU43" s="6" t="s">
        <v>523</v>
      </c>
      <c r="DV43" s="6" t="s">
        <v>426</v>
      </c>
      <c r="DW43" s="6" t="s">
        <v>439</v>
      </c>
      <c r="DX43" s="6" t="s">
        <v>440</v>
      </c>
      <c r="DY43" s="6"/>
      <c r="DZ43" s="6" t="s">
        <v>940</v>
      </c>
      <c r="EA43" s="6">
        <v>1</v>
      </c>
      <c r="EB43" s="6">
        <v>1</v>
      </c>
      <c r="EC43" s="6">
        <v>1</v>
      </c>
      <c r="ED43" s="6">
        <v>1</v>
      </c>
      <c r="EE43" s="6">
        <v>0</v>
      </c>
      <c r="EF43" s="6">
        <v>0</v>
      </c>
      <c r="EG43" s="6">
        <v>0</v>
      </c>
      <c r="EH43" s="6">
        <v>0</v>
      </c>
      <c r="EI43" s="6"/>
      <c r="EJ43" s="6" t="s">
        <v>1227</v>
      </c>
      <c r="EK43" s="6">
        <v>1</v>
      </c>
      <c r="EL43" s="6">
        <v>0</v>
      </c>
      <c r="EM43" s="6">
        <v>1</v>
      </c>
      <c r="EN43" s="6">
        <v>1</v>
      </c>
      <c r="EO43" s="6">
        <v>1</v>
      </c>
      <c r="EP43" s="6">
        <v>1</v>
      </c>
      <c r="EQ43" s="6">
        <v>0</v>
      </c>
      <c r="ER43" s="6">
        <v>0</v>
      </c>
      <c r="ES43" s="6">
        <v>0</v>
      </c>
      <c r="ET43" s="6"/>
      <c r="EU43" s="6" t="s">
        <v>443</v>
      </c>
      <c r="EV43" s="6" t="s">
        <v>444</v>
      </c>
      <c r="EW43" s="6"/>
      <c r="EX43" s="6" t="s">
        <v>770</v>
      </c>
      <c r="EY43" s="6">
        <v>1</v>
      </c>
      <c r="EZ43" s="6">
        <v>1</v>
      </c>
      <c r="FA43" s="6">
        <v>1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/>
      <c r="FH43" s="6" t="s">
        <v>1096</v>
      </c>
      <c r="FI43" s="6">
        <v>1</v>
      </c>
      <c r="FJ43" s="6">
        <v>0</v>
      </c>
      <c r="FK43" s="6">
        <v>0</v>
      </c>
      <c r="FL43" s="6">
        <v>1</v>
      </c>
      <c r="FM43" s="6">
        <v>1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/>
      <c r="FT43" s="6" t="s">
        <v>447</v>
      </c>
      <c r="FU43" s="6" t="s">
        <v>448</v>
      </c>
      <c r="FV43" s="6"/>
      <c r="FW43" s="6" t="s">
        <v>449</v>
      </c>
      <c r="FX43" s="15" t="s">
        <v>450</v>
      </c>
      <c r="FY43" s="6" t="s">
        <v>529</v>
      </c>
      <c r="FZ43" s="6"/>
      <c r="GA43" s="6" t="s">
        <v>450</v>
      </c>
      <c r="GB43" s="6" t="s">
        <v>501</v>
      </c>
      <c r="GC43" s="6" t="s">
        <v>453</v>
      </c>
      <c r="GD43" s="6"/>
      <c r="GE43" s="6" t="s">
        <v>454</v>
      </c>
      <c r="GF43" s="6" t="s">
        <v>1228</v>
      </c>
      <c r="GG43" s="6" t="s">
        <v>456</v>
      </c>
      <c r="GH43" s="15" t="s">
        <v>1229</v>
      </c>
      <c r="GI43" s="6" t="s">
        <v>458</v>
      </c>
      <c r="GJ43" s="6" t="s">
        <v>1230</v>
      </c>
      <c r="GK43" s="6" t="s">
        <v>460</v>
      </c>
      <c r="GL43" s="6" t="s">
        <v>1231</v>
      </c>
      <c r="GM43" s="6">
        <v>1</v>
      </c>
      <c r="GN43" s="6">
        <v>1</v>
      </c>
      <c r="GO43" s="6">
        <v>0</v>
      </c>
      <c r="GP43" s="6">
        <v>0</v>
      </c>
      <c r="GQ43" s="6">
        <v>0</v>
      </c>
      <c r="GR43" s="6">
        <v>1</v>
      </c>
      <c r="GS43" s="6">
        <v>0</v>
      </c>
      <c r="GT43" s="6"/>
      <c r="GU43" s="6" t="s">
        <v>534</v>
      </c>
      <c r="GV43" s="6" t="s">
        <v>595</v>
      </c>
      <c r="GW43" s="6" t="s">
        <v>1101</v>
      </c>
      <c r="GX43" s="6">
        <v>1</v>
      </c>
      <c r="GY43" s="6">
        <v>0</v>
      </c>
      <c r="GZ43" s="6">
        <v>0</v>
      </c>
      <c r="HA43" s="6">
        <v>0</v>
      </c>
      <c r="HB43" s="6">
        <v>0</v>
      </c>
      <c r="HC43" s="6">
        <v>1</v>
      </c>
      <c r="HD43" s="6" t="s">
        <v>1115</v>
      </c>
      <c r="HE43" s="6" t="s">
        <v>1076</v>
      </c>
      <c r="HF43" s="6">
        <v>1</v>
      </c>
      <c r="HG43" s="6">
        <v>1</v>
      </c>
      <c r="HH43" s="6">
        <v>1</v>
      </c>
      <c r="HI43" s="6">
        <v>0</v>
      </c>
      <c r="HJ43" s="6">
        <v>0</v>
      </c>
      <c r="HK43" s="6">
        <v>0</v>
      </c>
      <c r="HL43" s="15"/>
      <c r="HM43" s="6" t="s">
        <v>466</v>
      </c>
      <c r="HN43" s="6"/>
      <c r="HO43" s="6" t="s">
        <v>1232</v>
      </c>
      <c r="HP43" s="6" t="s">
        <v>468</v>
      </c>
      <c r="HQ43" s="6"/>
      <c r="HR43" s="6" t="s">
        <v>1233</v>
      </c>
      <c r="HS43" s="6" t="s">
        <v>778</v>
      </c>
      <c r="HT43" s="6">
        <v>0</v>
      </c>
      <c r="HU43" s="6">
        <v>0</v>
      </c>
      <c r="HV43" s="6">
        <v>1</v>
      </c>
      <c r="HW43" s="6">
        <v>0</v>
      </c>
      <c r="HX43" s="6">
        <v>1</v>
      </c>
      <c r="HY43" s="6">
        <v>0</v>
      </c>
      <c r="HZ43" s="6"/>
      <c r="IA43" s="6" t="s">
        <v>726</v>
      </c>
      <c r="IB43" s="6">
        <v>1</v>
      </c>
      <c r="IC43" s="6">
        <v>1</v>
      </c>
      <c r="ID43" s="6">
        <v>1</v>
      </c>
      <c r="IE43" s="6">
        <v>0</v>
      </c>
      <c r="IF43" s="6">
        <v>0</v>
      </c>
      <c r="IG43" s="6">
        <v>0</v>
      </c>
      <c r="IH43" s="15" t="s">
        <v>1234</v>
      </c>
      <c r="II43" s="6" t="s">
        <v>426</v>
      </c>
      <c r="IJ43" s="6" t="s">
        <v>472</v>
      </c>
      <c r="IK43" s="6">
        <v>1</v>
      </c>
      <c r="IL43" s="6">
        <v>0</v>
      </c>
      <c r="IM43" s="6">
        <v>0</v>
      </c>
      <c r="IN43" s="6"/>
      <c r="IO43" s="6" t="s">
        <v>473</v>
      </c>
      <c r="IP43" s="6">
        <v>1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/>
      <c r="IW43" s="6" t="s">
        <v>426</v>
      </c>
      <c r="IX43" s="6">
        <v>1</v>
      </c>
      <c r="IY43" s="6" t="s">
        <v>474</v>
      </c>
      <c r="IZ43" s="6" t="s">
        <v>475</v>
      </c>
      <c r="JA43" s="6" t="s">
        <v>426</v>
      </c>
      <c r="JB43" s="6" t="s">
        <v>651</v>
      </c>
      <c r="JC43" s="6"/>
      <c r="JD43" s="6"/>
      <c r="JE43" s="6"/>
      <c r="JF43" s="6"/>
      <c r="JG43" s="6"/>
      <c r="JH43" s="6"/>
      <c r="JI43" s="6"/>
      <c r="JJ43" s="6"/>
      <c r="JK43" s="6" t="s">
        <v>453</v>
      </c>
      <c r="JL43" s="6"/>
      <c r="JM43" s="6"/>
      <c r="JN43" s="6"/>
      <c r="JO43" s="6"/>
      <c r="JP43" s="6"/>
      <c r="JQ43" s="6"/>
      <c r="JR43" s="6"/>
      <c r="JS43" s="6"/>
      <c r="JT43" s="6"/>
      <c r="JU43" s="6" t="s">
        <v>511</v>
      </c>
      <c r="JV43" s="15"/>
      <c r="JW43" s="94" t="s">
        <v>1235</v>
      </c>
      <c r="JX43" s="6" t="s">
        <v>1236</v>
      </c>
      <c r="JY43" s="6">
        <v>0.8345198</v>
      </c>
      <c r="JZ43" s="6">
        <v>34.7482697</v>
      </c>
      <c r="KA43" s="6">
        <v>1715</v>
      </c>
      <c r="KB43" s="15">
        <v>4.916</v>
      </c>
      <c r="KC43" s="15"/>
    </row>
    <row r="44" spans="1:289">
      <c r="A44" s="6" t="s">
        <v>547</v>
      </c>
      <c r="B44" s="6" t="s">
        <v>420</v>
      </c>
      <c r="C44" s="6" t="s">
        <v>421</v>
      </c>
      <c r="D44" s="6" t="s">
        <v>1237</v>
      </c>
      <c r="E44" s="6" t="s">
        <v>1238</v>
      </c>
      <c r="F44" s="8" t="s">
        <v>483</v>
      </c>
      <c r="G44" s="6" t="s">
        <v>731</v>
      </c>
      <c r="H44" s="6" t="s">
        <v>517</v>
      </c>
      <c r="I44" s="15"/>
      <c r="J44" s="6" t="s">
        <v>426</v>
      </c>
      <c r="K44" s="6" t="s">
        <v>426</v>
      </c>
      <c r="L44" s="6" t="s">
        <v>426</v>
      </c>
      <c r="M44" s="6" t="s">
        <v>426</v>
      </c>
      <c r="N44" s="6" t="s">
        <v>426</v>
      </c>
      <c r="O44" s="6" t="s">
        <v>426</v>
      </c>
      <c r="P44" s="6" t="s">
        <v>426</v>
      </c>
      <c r="Q44" s="6" t="s">
        <v>426</v>
      </c>
      <c r="R44" s="6" t="s">
        <v>426</v>
      </c>
      <c r="S44" s="6" t="s">
        <v>426</v>
      </c>
      <c r="T44" s="6" t="s">
        <v>426</v>
      </c>
      <c r="U44" s="6" t="s">
        <v>426</v>
      </c>
      <c r="V44" s="6" t="s">
        <v>426</v>
      </c>
      <c r="W44" s="6" t="s">
        <v>426</v>
      </c>
      <c r="X44" s="6" t="s">
        <v>426</v>
      </c>
      <c r="Y44" s="6" t="s">
        <v>426</v>
      </c>
      <c r="Z44" s="6" t="s">
        <v>426</v>
      </c>
      <c r="AA44" s="6" t="s">
        <v>426</v>
      </c>
      <c r="AB44" s="6" t="s">
        <v>426</v>
      </c>
      <c r="AC44" s="15" t="s">
        <v>426</v>
      </c>
      <c r="AD44" s="6" t="s">
        <v>427</v>
      </c>
      <c r="AE44" s="6">
        <v>0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0</v>
      </c>
      <c r="AL44" s="6">
        <v>0</v>
      </c>
      <c r="AM44" s="6"/>
      <c r="AN44" s="15"/>
      <c r="AO44" s="6" t="s">
        <v>426</v>
      </c>
      <c r="AP44" s="6" t="s">
        <v>920</v>
      </c>
      <c r="AQ44" s="6" t="s">
        <v>426</v>
      </c>
      <c r="AR44" s="6" t="s">
        <v>823</v>
      </c>
      <c r="AS44" s="6" t="s">
        <v>426</v>
      </c>
      <c r="AT44" s="6">
        <v>0.4</v>
      </c>
      <c r="AU44" s="6" t="s">
        <v>426</v>
      </c>
      <c r="AV44" s="6">
        <v>0.2</v>
      </c>
      <c r="AW44" s="6" t="s">
        <v>426</v>
      </c>
      <c r="AX44" s="6">
        <v>0.4</v>
      </c>
      <c r="AY44" s="6" t="s">
        <v>426</v>
      </c>
      <c r="AZ44" s="6">
        <v>1</v>
      </c>
      <c r="BA44" s="6" t="s">
        <v>426</v>
      </c>
      <c r="BB44" s="6">
        <v>0.4</v>
      </c>
      <c r="BC44" s="6" t="s">
        <v>426</v>
      </c>
      <c r="BD44" s="6">
        <v>0.2</v>
      </c>
      <c r="BE44" s="6" t="s">
        <v>426</v>
      </c>
      <c r="BF44" s="6">
        <v>6</v>
      </c>
      <c r="BG44" s="6" t="s">
        <v>426</v>
      </c>
      <c r="BH44" s="6">
        <v>0.2</v>
      </c>
      <c r="BI44" s="6" t="s">
        <v>426</v>
      </c>
      <c r="BJ44" s="6">
        <v>0.2</v>
      </c>
      <c r="BK44" s="6" t="s">
        <v>426</v>
      </c>
      <c r="BL44" s="6">
        <v>0.8</v>
      </c>
      <c r="BM44" s="6" t="s">
        <v>426</v>
      </c>
      <c r="BN44" s="6">
        <v>15</v>
      </c>
      <c r="BO44" s="6" t="s">
        <v>426</v>
      </c>
      <c r="BP44" s="6">
        <v>0.4</v>
      </c>
      <c r="BQ44" s="6" t="s">
        <v>426</v>
      </c>
      <c r="BR44" s="6">
        <v>35</v>
      </c>
      <c r="BS44" s="6" t="s">
        <v>426</v>
      </c>
      <c r="BT44" s="6">
        <v>20</v>
      </c>
      <c r="BU44" s="6" t="s">
        <v>426</v>
      </c>
      <c r="BV44" s="15">
        <v>0.8</v>
      </c>
      <c r="BW44" s="15" t="s">
        <v>518</v>
      </c>
      <c r="BX44" s="15" t="s">
        <v>429</v>
      </c>
      <c r="BY44" s="6" t="s">
        <v>430</v>
      </c>
      <c r="BZ44" s="6" t="s">
        <v>430</v>
      </c>
      <c r="CA44" s="6" t="s">
        <v>430</v>
      </c>
      <c r="CB44" s="6" t="s">
        <v>430</v>
      </c>
      <c r="CC44" s="6" t="s">
        <v>430</v>
      </c>
      <c r="CD44" s="6" t="s">
        <v>430</v>
      </c>
      <c r="CE44" s="6" t="s">
        <v>430</v>
      </c>
      <c r="CF44" s="6" t="s">
        <v>430</v>
      </c>
      <c r="CG44" s="6" t="s">
        <v>430</v>
      </c>
      <c r="CH44" s="6" t="s">
        <v>430</v>
      </c>
      <c r="CI44" s="6" t="s">
        <v>430</v>
      </c>
      <c r="CJ44" s="6" t="s">
        <v>430</v>
      </c>
      <c r="CK44" s="6" t="s">
        <v>430</v>
      </c>
      <c r="CL44" s="6" t="s">
        <v>430</v>
      </c>
      <c r="CM44" s="6" t="s">
        <v>430</v>
      </c>
      <c r="CN44" s="6" t="s">
        <v>430</v>
      </c>
      <c r="CO44" s="15" t="s">
        <v>430</v>
      </c>
      <c r="CP44" s="15" t="s">
        <v>432</v>
      </c>
      <c r="CQ44" s="6" t="s">
        <v>433</v>
      </c>
      <c r="CR44" s="15"/>
      <c r="CS44" s="6" t="s">
        <v>426</v>
      </c>
      <c r="CT44" s="6" t="s">
        <v>1239</v>
      </c>
      <c r="CU44" s="6" t="s">
        <v>809</v>
      </c>
      <c r="CV44" s="6" t="s">
        <v>688</v>
      </c>
      <c r="CW44" s="6" t="s">
        <v>935</v>
      </c>
      <c r="CX44" s="15" t="s">
        <v>426</v>
      </c>
      <c r="CY44" s="6" t="s">
        <v>426</v>
      </c>
      <c r="CZ44" s="6" t="s">
        <v>1240</v>
      </c>
      <c r="DA44" s="6" t="s">
        <v>1241</v>
      </c>
      <c r="DB44" s="6" t="s">
        <v>1087</v>
      </c>
      <c r="DC44" s="6" t="s">
        <v>809</v>
      </c>
      <c r="DD44" s="15" t="s">
        <v>1241</v>
      </c>
      <c r="DE44" s="15" t="s">
        <v>436</v>
      </c>
      <c r="DF44" s="6" t="s">
        <v>522</v>
      </c>
      <c r="DG44" s="6">
        <v>0</v>
      </c>
      <c r="DH44" s="6">
        <v>1</v>
      </c>
      <c r="DI44" s="6">
        <v>0</v>
      </c>
      <c r="DJ44" s="6">
        <v>0</v>
      </c>
      <c r="DK44" s="6">
        <v>0</v>
      </c>
      <c r="DL44" s="6">
        <v>0</v>
      </c>
      <c r="DM44" s="6"/>
      <c r="DN44" s="6"/>
      <c r="DO44" s="6"/>
      <c r="DP44" s="6"/>
      <c r="DQ44" s="6"/>
      <c r="DR44" s="6"/>
      <c r="DS44" s="6"/>
      <c r="DT44" s="66"/>
      <c r="DU44" s="6" t="s">
        <v>438</v>
      </c>
      <c r="DV44" s="6" t="s">
        <v>426</v>
      </c>
      <c r="DW44" s="6" t="s">
        <v>439</v>
      </c>
      <c r="DX44" s="6" t="s">
        <v>440</v>
      </c>
      <c r="DY44" s="6"/>
      <c r="DZ44" s="6" t="s">
        <v>524</v>
      </c>
      <c r="EA44" s="6">
        <v>0</v>
      </c>
      <c r="EB44" s="6">
        <v>0</v>
      </c>
      <c r="EC44" s="6">
        <v>0</v>
      </c>
      <c r="ED44" s="6">
        <v>1</v>
      </c>
      <c r="EE44" s="6">
        <v>0</v>
      </c>
      <c r="EF44" s="6">
        <v>0</v>
      </c>
      <c r="EG44" s="6">
        <v>0</v>
      </c>
      <c r="EH44" s="6">
        <v>0</v>
      </c>
      <c r="EI44" s="6"/>
      <c r="EJ44" s="6" t="s">
        <v>1242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1</v>
      </c>
      <c r="EQ44" s="6">
        <v>0</v>
      </c>
      <c r="ER44" s="6">
        <v>0</v>
      </c>
      <c r="ES44" s="6">
        <v>0</v>
      </c>
      <c r="ET44" s="6"/>
      <c r="EU44" s="6" t="s">
        <v>443</v>
      </c>
      <c r="EV44" s="6" t="s">
        <v>537</v>
      </c>
      <c r="EW44" s="6" t="s">
        <v>817</v>
      </c>
      <c r="EX44" s="6" t="s">
        <v>1123</v>
      </c>
      <c r="EY44" s="6">
        <v>1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/>
      <c r="FH44" s="6" t="s">
        <v>1243</v>
      </c>
      <c r="FI44" s="6">
        <v>0</v>
      </c>
      <c r="FJ44" s="6">
        <v>0</v>
      </c>
      <c r="FK44" s="6">
        <v>1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/>
      <c r="FT44" s="6" t="s">
        <v>556</v>
      </c>
      <c r="FU44" s="6" t="s">
        <v>499</v>
      </c>
      <c r="FV44" s="6"/>
      <c r="FW44" s="6" t="s">
        <v>449</v>
      </c>
      <c r="FX44" s="15" t="s">
        <v>450</v>
      </c>
      <c r="FY44" s="6" t="s">
        <v>451</v>
      </c>
      <c r="FZ44" s="6"/>
      <c r="GA44" s="6" t="s">
        <v>450</v>
      </c>
      <c r="GB44" s="6" t="s">
        <v>501</v>
      </c>
      <c r="GC44" s="6" t="s">
        <v>453</v>
      </c>
      <c r="GD44" s="6"/>
      <c r="GE44" s="6" t="s">
        <v>453</v>
      </c>
      <c r="GF44" s="6"/>
      <c r="GG44" s="6" t="s">
        <v>502</v>
      </c>
      <c r="GH44" s="15"/>
      <c r="GI44" s="6" t="s">
        <v>458</v>
      </c>
      <c r="GJ44" s="6" t="s">
        <v>815</v>
      </c>
      <c r="GK44" s="6" t="s">
        <v>460</v>
      </c>
      <c r="GL44" s="6" t="s">
        <v>461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1</v>
      </c>
      <c r="GS44" s="6">
        <v>0</v>
      </c>
      <c r="GT44" s="6"/>
      <c r="GU44" s="6" t="s">
        <v>534</v>
      </c>
      <c r="GV44" s="6" t="s">
        <v>595</v>
      </c>
      <c r="GW44" s="6" t="s">
        <v>464</v>
      </c>
      <c r="GX44" s="6">
        <v>1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/>
      <c r="HE44" s="6" t="s">
        <v>535</v>
      </c>
      <c r="HF44" s="6">
        <v>1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15"/>
      <c r="HM44" s="6" t="s">
        <v>505</v>
      </c>
      <c r="HN44" s="6"/>
      <c r="HO44" s="6" t="s">
        <v>1244</v>
      </c>
      <c r="HP44" s="6" t="s">
        <v>537</v>
      </c>
      <c r="HQ44" s="6" t="s">
        <v>539</v>
      </c>
      <c r="HR44" s="6" t="s">
        <v>1245</v>
      </c>
      <c r="HS44" s="6" t="s">
        <v>537</v>
      </c>
      <c r="HT44" s="6">
        <v>0</v>
      </c>
      <c r="HU44" s="6">
        <v>1</v>
      </c>
      <c r="HV44" s="6">
        <v>0</v>
      </c>
      <c r="HW44" s="6">
        <v>0</v>
      </c>
      <c r="HX44" s="6">
        <v>0</v>
      </c>
      <c r="HY44" s="6">
        <v>0</v>
      </c>
      <c r="HZ44" s="6" t="s">
        <v>818</v>
      </c>
      <c r="IA44" s="6" t="s">
        <v>541</v>
      </c>
      <c r="IB44" s="6">
        <v>0</v>
      </c>
      <c r="IC44" s="6">
        <v>0</v>
      </c>
      <c r="ID44" s="6">
        <v>1</v>
      </c>
      <c r="IE44" s="6">
        <v>0</v>
      </c>
      <c r="IF44" s="6">
        <v>0</v>
      </c>
      <c r="IG44" s="6">
        <v>0</v>
      </c>
      <c r="IH44" s="15" t="s">
        <v>1246</v>
      </c>
      <c r="II44" s="6" t="s">
        <v>426</v>
      </c>
      <c r="IJ44" s="6" t="s">
        <v>472</v>
      </c>
      <c r="IK44" s="6">
        <v>1</v>
      </c>
      <c r="IL44" s="6">
        <v>0</v>
      </c>
      <c r="IM44" s="6">
        <v>0</v>
      </c>
      <c r="IN44" s="6"/>
      <c r="IO44" s="6" t="s">
        <v>473</v>
      </c>
      <c r="IP44" s="6">
        <v>1</v>
      </c>
      <c r="IQ44" s="6">
        <v>0</v>
      </c>
      <c r="IR44" s="6">
        <v>0</v>
      </c>
      <c r="IS44" s="6">
        <v>0</v>
      </c>
      <c r="IT44" s="6">
        <v>0</v>
      </c>
      <c r="IU44" s="6">
        <v>0</v>
      </c>
      <c r="IV44" s="6"/>
      <c r="IW44" s="6" t="s">
        <v>426</v>
      </c>
      <c r="IX44" s="6">
        <v>1</v>
      </c>
      <c r="IY44" s="6" t="s">
        <v>474</v>
      </c>
      <c r="IZ44" s="6" t="s">
        <v>475</v>
      </c>
      <c r="JA44" s="6" t="s">
        <v>426</v>
      </c>
      <c r="JB44" s="6" t="s">
        <v>476</v>
      </c>
      <c r="JC44" s="6"/>
      <c r="JD44" s="6"/>
      <c r="JE44" s="6"/>
      <c r="JF44" s="6"/>
      <c r="JG44" s="6"/>
      <c r="JH44" s="6"/>
      <c r="JI44" s="6"/>
      <c r="JJ44" s="6"/>
      <c r="JK44" s="6" t="s">
        <v>426</v>
      </c>
      <c r="JL44" s="6" t="s">
        <v>426</v>
      </c>
      <c r="JM44" s="6"/>
      <c r="JN44" s="6"/>
      <c r="JO44" s="6"/>
      <c r="JP44" s="6"/>
      <c r="JQ44" s="6"/>
      <c r="JR44" s="6"/>
      <c r="JS44" s="6"/>
      <c r="JT44" s="6"/>
      <c r="JU44" s="6" t="s">
        <v>895</v>
      </c>
      <c r="JV44" s="15" t="s">
        <v>1247</v>
      </c>
      <c r="JW44" s="94" t="s">
        <v>1248</v>
      </c>
      <c r="JX44" s="6" t="s">
        <v>1249</v>
      </c>
      <c r="JY44" s="6">
        <v>0.847025</v>
      </c>
      <c r="JZ44" s="6">
        <v>34.7358183</v>
      </c>
      <c r="KA44" s="6">
        <v>1925.9</v>
      </c>
      <c r="KB44" s="15">
        <v>4.9</v>
      </c>
      <c r="KC44" s="15"/>
    </row>
    <row r="45" spans="1:289">
      <c r="A45" s="6" t="s">
        <v>480</v>
      </c>
      <c r="B45" s="6" t="s">
        <v>420</v>
      </c>
      <c r="C45" s="6" t="s">
        <v>421</v>
      </c>
      <c r="D45" s="6" t="s">
        <v>1250</v>
      </c>
      <c r="E45" s="6" t="s">
        <v>1251</v>
      </c>
      <c r="F45" s="8" t="s">
        <v>423</v>
      </c>
      <c r="G45" s="6" t="s">
        <v>424</v>
      </c>
      <c r="H45" s="6" t="s">
        <v>425</v>
      </c>
      <c r="I45" s="15"/>
      <c r="J45" s="6" t="s">
        <v>426</v>
      </c>
      <c r="K45" s="6" t="s">
        <v>426</v>
      </c>
      <c r="L45" s="6" t="s">
        <v>426</v>
      </c>
      <c r="M45" s="6" t="s">
        <v>426</v>
      </c>
      <c r="N45" s="6" t="s">
        <v>426</v>
      </c>
      <c r="O45" s="6" t="s">
        <v>453</v>
      </c>
      <c r="P45" s="6" t="s">
        <v>426</v>
      </c>
      <c r="Q45" s="6" t="s">
        <v>426</v>
      </c>
      <c r="R45" s="6" t="s">
        <v>426</v>
      </c>
      <c r="S45" s="6" t="s">
        <v>426</v>
      </c>
      <c r="T45" s="6" t="s">
        <v>426</v>
      </c>
      <c r="U45" s="6" t="s">
        <v>426</v>
      </c>
      <c r="V45" s="6" t="s">
        <v>426</v>
      </c>
      <c r="W45" s="6" t="s">
        <v>426</v>
      </c>
      <c r="X45" s="6" t="s">
        <v>426</v>
      </c>
      <c r="Y45" s="6" t="s">
        <v>426</v>
      </c>
      <c r="Z45" s="6" t="s">
        <v>426</v>
      </c>
      <c r="AA45" s="6" t="s">
        <v>426</v>
      </c>
      <c r="AB45" s="6" t="s">
        <v>426</v>
      </c>
      <c r="AC45" s="15" t="s">
        <v>426</v>
      </c>
      <c r="AD45" s="6" t="s">
        <v>427</v>
      </c>
      <c r="AE45" s="6">
        <v>0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0</v>
      </c>
      <c r="AL45" s="6">
        <v>0</v>
      </c>
      <c r="AM45" s="6"/>
      <c r="AN45" s="15"/>
      <c r="AO45" s="6" t="s">
        <v>426</v>
      </c>
      <c r="AP45" s="6" t="s">
        <v>901</v>
      </c>
      <c r="AQ45" s="6" t="s">
        <v>426</v>
      </c>
      <c r="AR45" s="6" t="s">
        <v>656</v>
      </c>
      <c r="AS45" s="6" t="s">
        <v>426</v>
      </c>
      <c r="AT45" s="6">
        <v>0.4</v>
      </c>
      <c r="AU45" s="6" t="s">
        <v>426</v>
      </c>
      <c r="AV45" s="6">
        <v>0.4</v>
      </c>
      <c r="AW45" s="6" t="s">
        <v>426</v>
      </c>
      <c r="AX45" s="6">
        <v>0.4</v>
      </c>
      <c r="AY45" s="6" t="s">
        <v>426</v>
      </c>
      <c r="AZ45" s="6">
        <v>1</v>
      </c>
      <c r="BA45" s="6" t="s">
        <v>426</v>
      </c>
      <c r="BB45" s="6">
        <v>0.8</v>
      </c>
      <c r="BC45" s="6" t="s">
        <v>426</v>
      </c>
      <c r="BD45" s="6">
        <v>0.4</v>
      </c>
      <c r="BE45" s="6" t="s">
        <v>453</v>
      </c>
      <c r="BF45" s="6"/>
      <c r="BG45" s="6" t="s">
        <v>426</v>
      </c>
      <c r="BH45" s="6">
        <v>0.4</v>
      </c>
      <c r="BI45" s="6" t="s">
        <v>426</v>
      </c>
      <c r="BJ45" s="6">
        <v>0.2</v>
      </c>
      <c r="BK45" s="6" t="s">
        <v>453</v>
      </c>
      <c r="BL45" s="6"/>
      <c r="BM45" s="6" t="s">
        <v>426</v>
      </c>
      <c r="BN45" s="6">
        <v>20</v>
      </c>
      <c r="BO45" s="6" t="s">
        <v>426</v>
      </c>
      <c r="BP45" s="6">
        <v>0.4</v>
      </c>
      <c r="BQ45" s="6" t="s">
        <v>426</v>
      </c>
      <c r="BR45" s="6">
        <v>30</v>
      </c>
      <c r="BS45" s="6" t="s">
        <v>453</v>
      </c>
      <c r="BT45" s="6"/>
      <c r="BU45" s="6" t="s">
        <v>426</v>
      </c>
      <c r="BV45" s="15">
        <v>0.2</v>
      </c>
      <c r="BW45" s="15" t="s">
        <v>518</v>
      </c>
      <c r="BX45" s="15" t="s">
        <v>429</v>
      </c>
      <c r="BY45" s="6" t="s">
        <v>1252</v>
      </c>
      <c r="BZ45" s="6" t="s">
        <v>430</v>
      </c>
      <c r="CA45" s="6" t="s">
        <v>430</v>
      </c>
      <c r="CB45" s="6" t="s">
        <v>431</v>
      </c>
      <c r="CC45" s="6" t="s">
        <v>431</v>
      </c>
      <c r="CD45" s="6" t="s">
        <v>430</v>
      </c>
      <c r="CE45" s="6" t="s">
        <v>430</v>
      </c>
      <c r="CF45" s="6" t="s">
        <v>431</v>
      </c>
      <c r="CG45" s="6" t="s">
        <v>487</v>
      </c>
      <c r="CH45" s="6" t="s">
        <v>430</v>
      </c>
      <c r="CI45" s="6" t="s">
        <v>430</v>
      </c>
      <c r="CJ45" s="6" t="s">
        <v>487</v>
      </c>
      <c r="CK45" s="6" t="s">
        <v>430</v>
      </c>
      <c r="CL45" s="6" t="s">
        <v>430</v>
      </c>
      <c r="CM45" s="6" t="s">
        <v>430</v>
      </c>
      <c r="CN45" s="6" t="s">
        <v>487</v>
      </c>
      <c r="CO45" s="15" t="s">
        <v>431</v>
      </c>
      <c r="CP45" s="15" t="s">
        <v>432</v>
      </c>
      <c r="CQ45" s="6" t="s">
        <v>433</v>
      </c>
      <c r="CR45" s="15"/>
      <c r="CS45" s="6" t="s">
        <v>453</v>
      </c>
      <c r="CT45" s="6"/>
      <c r="CU45" s="6"/>
      <c r="CV45" s="6"/>
      <c r="CW45" s="6"/>
      <c r="CX45" s="15" t="s">
        <v>453</v>
      </c>
      <c r="CY45" s="6"/>
      <c r="CZ45" s="6"/>
      <c r="DA45" s="6"/>
      <c r="DB45" s="6"/>
      <c r="DC45" s="6"/>
      <c r="DD45" s="15"/>
      <c r="DE45" s="15" t="s">
        <v>436</v>
      </c>
      <c r="DF45" s="6" t="s">
        <v>713</v>
      </c>
      <c r="DG45" s="6">
        <v>1</v>
      </c>
      <c r="DH45" s="6">
        <v>1</v>
      </c>
      <c r="DI45" s="6">
        <v>1</v>
      </c>
      <c r="DJ45" s="6">
        <v>0</v>
      </c>
      <c r="DK45" s="6">
        <v>1</v>
      </c>
      <c r="DL45" s="6">
        <v>0</v>
      </c>
      <c r="DM45" s="6"/>
      <c r="DN45" s="6"/>
      <c r="DO45" s="6"/>
      <c r="DP45" s="6"/>
      <c r="DQ45" s="6"/>
      <c r="DR45" s="6"/>
      <c r="DS45" s="6"/>
      <c r="DT45" s="66"/>
      <c r="DU45" s="6" t="s">
        <v>438</v>
      </c>
      <c r="DV45" s="6" t="s">
        <v>426</v>
      </c>
      <c r="DW45" s="6" t="s">
        <v>1212</v>
      </c>
      <c r="DX45" s="6" t="s">
        <v>440</v>
      </c>
      <c r="DY45" s="6"/>
      <c r="DZ45" s="6" t="s">
        <v>1253</v>
      </c>
      <c r="EA45" s="6">
        <v>1</v>
      </c>
      <c r="EB45" s="6">
        <v>1</v>
      </c>
      <c r="EC45" s="6">
        <v>1</v>
      </c>
      <c r="ED45" s="6">
        <v>0</v>
      </c>
      <c r="EE45" s="6">
        <v>0</v>
      </c>
      <c r="EF45" s="6">
        <v>1</v>
      </c>
      <c r="EG45" s="6">
        <v>0</v>
      </c>
      <c r="EH45" s="6">
        <v>0</v>
      </c>
      <c r="EI45" s="6"/>
      <c r="EJ45" s="6" t="s">
        <v>1254</v>
      </c>
      <c r="EK45" s="6">
        <v>1</v>
      </c>
      <c r="EL45" s="6">
        <v>1</v>
      </c>
      <c r="EM45" s="6">
        <v>1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/>
      <c r="EU45" s="6" t="s">
        <v>443</v>
      </c>
      <c r="EV45" s="6" t="s">
        <v>616</v>
      </c>
      <c r="EW45" s="6"/>
      <c r="EX45" s="6" t="s">
        <v>1255</v>
      </c>
      <c r="EY45" s="6">
        <v>1</v>
      </c>
      <c r="EZ45" s="6">
        <v>0</v>
      </c>
      <c r="FA45" s="6">
        <v>1</v>
      </c>
      <c r="FB45" s="6">
        <v>1</v>
      </c>
      <c r="FC45" s="6">
        <v>0</v>
      </c>
      <c r="FD45" s="6">
        <v>0</v>
      </c>
      <c r="FE45" s="6">
        <v>0</v>
      </c>
      <c r="FF45" s="6">
        <v>0</v>
      </c>
      <c r="FG45" s="6"/>
      <c r="FH45" s="6" t="s">
        <v>572</v>
      </c>
      <c r="FI45" s="6">
        <v>1</v>
      </c>
      <c r="FJ45" s="6">
        <v>0</v>
      </c>
      <c r="FK45" s="6">
        <v>0</v>
      </c>
      <c r="FL45" s="6">
        <v>1</v>
      </c>
      <c r="FM45" s="6">
        <v>1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/>
      <c r="FT45" s="6" t="s">
        <v>556</v>
      </c>
      <c r="FU45" s="6" t="s">
        <v>448</v>
      </c>
      <c r="FV45" s="6"/>
      <c r="FW45" s="6" t="s">
        <v>449</v>
      </c>
      <c r="FX45" s="15" t="s">
        <v>450</v>
      </c>
      <c r="FY45" s="6" t="s">
        <v>619</v>
      </c>
      <c r="FZ45" s="6"/>
      <c r="GA45" s="6" t="s">
        <v>450</v>
      </c>
      <c r="GB45" s="6" t="s">
        <v>501</v>
      </c>
      <c r="GC45" s="6" t="s">
        <v>453</v>
      </c>
      <c r="GD45" s="6"/>
      <c r="GE45" s="6" t="s">
        <v>454</v>
      </c>
      <c r="GF45" s="6" t="s">
        <v>1256</v>
      </c>
      <c r="GG45" s="6" t="s">
        <v>456</v>
      </c>
      <c r="GH45" s="15" t="s">
        <v>1257</v>
      </c>
      <c r="GI45" s="6" t="s">
        <v>458</v>
      </c>
      <c r="GJ45" s="6" t="s">
        <v>1258</v>
      </c>
      <c r="GK45" s="6" t="s">
        <v>460</v>
      </c>
      <c r="GL45" s="6" t="s">
        <v>461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1</v>
      </c>
      <c r="GS45" s="6">
        <v>0</v>
      </c>
      <c r="GT45" s="6"/>
      <c r="GU45" s="6" t="s">
        <v>534</v>
      </c>
      <c r="GV45" s="6" t="s">
        <v>595</v>
      </c>
      <c r="GW45" s="6" t="s">
        <v>1259</v>
      </c>
      <c r="GX45" s="6">
        <v>1</v>
      </c>
      <c r="GY45" s="6">
        <v>1</v>
      </c>
      <c r="GZ45" s="6">
        <v>1</v>
      </c>
      <c r="HA45" s="6">
        <v>1</v>
      </c>
      <c r="HB45" s="6">
        <v>0</v>
      </c>
      <c r="HC45" s="6">
        <v>0</v>
      </c>
      <c r="HD45" s="6"/>
      <c r="HE45" s="6" t="s">
        <v>1260</v>
      </c>
      <c r="HF45" s="6">
        <v>1</v>
      </c>
      <c r="HG45" s="6">
        <v>1</v>
      </c>
      <c r="HH45" s="6">
        <v>1</v>
      </c>
      <c r="HI45" s="6">
        <v>0</v>
      </c>
      <c r="HJ45" s="6">
        <v>1</v>
      </c>
      <c r="HK45" s="6">
        <v>0</v>
      </c>
      <c r="HL45" s="15"/>
      <c r="HM45" s="6" t="s">
        <v>466</v>
      </c>
      <c r="HN45" s="6"/>
      <c r="HO45" s="6" t="s">
        <v>1261</v>
      </c>
      <c r="HP45" s="6" t="s">
        <v>648</v>
      </c>
      <c r="HQ45" s="6"/>
      <c r="HR45" s="6" t="s">
        <v>1262</v>
      </c>
      <c r="HS45" s="6" t="s">
        <v>1263</v>
      </c>
      <c r="HT45" s="6">
        <v>1</v>
      </c>
      <c r="HU45" s="6">
        <v>0</v>
      </c>
      <c r="HV45" s="6">
        <v>0</v>
      </c>
      <c r="HW45" s="6">
        <v>0</v>
      </c>
      <c r="HX45" s="6">
        <v>1</v>
      </c>
      <c r="HY45" s="6">
        <v>1</v>
      </c>
      <c r="HZ45" s="6"/>
      <c r="IA45" s="6" t="s">
        <v>1264</v>
      </c>
      <c r="IB45" s="6">
        <v>1</v>
      </c>
      <c r="IC45" s="6">
        <v>1</v>
      </c>
      <c r="ID45" s="6">
        <v>1</v>
      </c>
      <c r="IE45" s="6">
        <v>1</v>
      </c>
      <c r="IF45" s="6">
        <v>0</v>
      </c>
      <c r="IG45" s="6">
        <v>0</v>
      </c>
      <c r="IH45" s="15" t="s">
        <v>1265</v>
      </c>
      <c r="II45" s="6" t="s">
        <v>426</v>
      </c>
      <c r="IJ45" s="6" t="s">
        <v>1266</v>
      </c>
      <c r="IK45" s="6">
        <v>1</v>
      </c>
      <c r="IL45" s="6">
        <v>1</v>
      </c>
      <c r="IM45" s="6">
        <v>0</v>
      </c>
      <c r="IN45" s="6"/>
      <c r="IO45" s="6" t="s">
        <v>473</v>
      </c>
      <c r="IP45" s="6">
        <v>1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/>
      <c r="IW45" s="6" t="s">
        <v>426</v>
      </c>
      <c r="IX45" s="6">
        <v>1</v>
      </c>
      <c r="IY45" s="6" t="s">
        <v>474</v>
      </c>
      <c r="IZ45" s="6" t="s">
        <v>475</v>
      </c>
      <c r="JA45" s="6" t="s">
        <v>426</v>
      </c>
      <c r="JB45" s="6" t="s">
        <v>476</v>
      </c>
      <c r="JC45" s="6"/>
      <c r="JD45" s="6"/>
      <c r="JE45" s="6"/>
      <c r="JF45" s="6"/>
      <c r="JG45" s="6"/>
      <c r="JH45" s="6"/>
      <c r="JI45" s="6"/>
      <c r="JJ45" s="6"/>
      <c r="JK45" s="6" t="s">
        <v>453</v>
      </c>
      <c r="JL45" s="6"/>
      <c r="JM45" s="6"/>
      <c r="JN45" s="6"/>
      <c r="JO45" s="6"/>
      <c r="JP45" s="6"/>
      <c r="JQ45" s="6"/>
      <c r="JR45" s="6"/>
      <c r="JS45" s="6"/>
      <c r="JT45" s="6"/>
      <c r="JU45" s="6" t="s">
        <v>477</v>
      </c>
      <c r="JV45" s="15"/>
      <c r="JW45" s="94" t="s">
        <v>1267</v>
      </c>
      <c r="JX45" s="6" t="s">
        <v>1268</v>
      </c>
      <c r="JY45" s="6">
        <v>0.8471402</v>
      </c>
      <c r="JZ45" s="6">
        <v>34.7358516</v>
      </c>
      <c r="KA45" s="6">
        <v>1880.17138671875</v>
      </c>
      <c r="KB45" s="15">
        <v>4.11</v>
      </c>
      <c r="KC45" s="15"/>
    </row>
    <row r="46" spans="1:289">
      <c r="A46" s="6" t="s">
        <v>581</v>
      </c>
      <c r="B46" s="6" t="s">
        <v>420</v>
      </c>
      <c r="C46" s="6" t="s">
        <v>421</v>
      </c>
      <c r="D46" s="6" t="s">
        <v>899</v>
      </c>
      <c r="E46" s="6" t="s">
        <v>1269</v>
      </c>
      <c r="F46" s="8" t="s">
        <v>483</v>
      </c>
      <c r="G46" s="6" t="s">
        <v>424</v>
      </c>
      <c r="H46" s="6" t="s">
        <v>425</v>
      </c>
      <c r="I46" s="15"/>
      <c r="J46" s="6" t="s">
        <v>426</v>
      </c>
      <c r="K46" s="6" t="s">
        <v>426</v>
      </c>
      <c r="L46" s="6" t="s">
        <v>426</v>
      </c>
      <c r="M46" s="6" t="s">
        <v>426</v>
      </c>
      <c r="N46" s="6" t="s">
        <v>426</v>
      </c>
      <c r="O46" s="6" t="s">
        <v>426</v>
      </c>
      <c r="P46" s="6" t="s">
        <v>426</v>
      </c>
      <c r="Q46" s="6" t="s">
        <v>426</v>
      </c>
      <c r="R46" s="6" t="s">
        <v>426</v>
      </c>
      <c r="S46" s="6" t="s">
        <v>426</v>
      </c>
      <c r="T46" s="6" t="s">
        <v>426</v>
      </c>
      <c r="U46" s="6" t="s">
        <v>426</v>
      </c>
      <c r="V46" s="6" t="s">
        <v>426</v>
      </c>
      <c r="W46" s="6" t="s">
        <v>426</v>
      </c>
      <c r="X46" s="6" t="s">
        <v>426</v>
      </c>
      <c r="Y46" s="6" t="s">
        <v>426</v>
      </c>
      <c r="Z46" s="6" t="s">
        <v>426</v>
      </c>
      <c r="AA46" s="6" t="s">
        <v>426</v>
      </c>
      <c r="AB46" s="6" t="s">
        <v>426</v>
      </c>
      <c r="AC46" s="15" t="s">
        <v>426</v>
      </c>
      <c r="AD46" s="6" t="s">
        <v>427</v>
      </c>
      <c r="AE46" s="6">
        <v>0</v>
      </c>
      <c r="AF46" s="6">
        <v>0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/>
      <c r="AN46" s="15"/>
      <c r="AO46" s="6" t="s">
        <v>426</v>
      </c>
      <c r="AP46" s="6" t="s">
        <v>1270</v>
      </c>
      <c r="AQ46" s="6" t="s">
        <v>426</v>
      </c>
      <c r="AR46" s="6" t="s">
        <v>805</v>
      </c>
      <c r="AS46" s="6" t="s">
        <v>426</v>
      </c>
      <c r="AT46" s="6">
        <v>1</v>
      </c>
      <c r="AU46" s="6" t="s">
        <v>426</v>
      </c>
      <c r="AV46" s="6">
        <v>0.4</v>
      </c>
      <c r="AW46" s="6" t="s">
        <v>426</v>
      </c>
      <c r="AX46" s="6">
        <v>1</v>
      </c>
      <c r="AY46" s="6" t="s">
        <v>426</v>
      </c>
      <c r="AZ46" s="6">
        <v>1</v>
      </c>
      <c r="BA46" s="6" t="s">
        <v>426</v>
      </c>
      <c r="BB46" s="6">
        <v>0.2</v>
      </c>
      <c r="BC46" s="6" t="s">
        <v>426</v>
      </c>
      <c r="BD46" s="6">
        <v>0.3</v>
      </c>
      <c r="BE46" s="6" t="s">
        <v>426</v>
      </c>
      <c r="BF46" s="6">
        <v>4</v>
      </c>
      <c r="BG46" s="6" t="s">
        <v>426</v>
      </c>
      <c r="BH46" s="6">
        <v>0.3</v>
      </c>
      <c r="BI46" s="6" t="s">
        <v>426</v>
      </c>
      <c r="BJ46" s="6">
        <v>1</v>
      </c>
      <c r="BK46" s="6" t="s">
        <v>426</v>
      </c>
      <c r="BL46" s="6">
        <v>1</v>
      </c>
      <c r="BM46" s="6" t="s">
        <v>426</v>
      </c>
      <c r="BN46" s="6">
        <v>40</v>
      </c>
      <c r="BO46" s="6" t="s">
        <v>426</v>
      </c>
      <c r="BP46" s="6">
        <v>0.4</v>
      </c>
      <c r="BQ46" s="6" t="s">
        <v>426</v>
      </c>
      <c r="BR46" s="6">
        <v>180</v>
      </c>
      <c r="BS46" s="6" t="s">
        <v>426</v>
      </c>
      <c r="BT46" s="6">
        <v>20</v>
      </c>
      <c r="BU46" s="6" t="s">
        <v>426</v>
      </c>
      <c r="BV46" s="15">
        <v>1</v>
      </c>
      <c r="BW46" s="15" t="s">
        <v>518</v>
      </c>
      <c r="BX46" s="15" t="s">
        <v>429</v>
      </c>
      <c r="BY46" s="6" t="s">
        <v>430</v>
      </c>
      <c r="BZ46" s="6" t="s">
        <v>430</v>
      </c>
      <c r="CA46" s="6" t="s">
        <v>430</v>
      </c>
      <c r="CB46" s="6" t="s">
        <v>430</v>
      </c>
      <c r="CC46" s="6" t="s">
        <v>430</v>
      </c>
      <c r="CD46" s="6" t="s">
        <v>430</v>
      </c>
      <c r="CE46" s="6" t="s">
        <v>430</v>
      </c>
      <c r="CF46" s="6" t="s">
        <v>430</v>
      </c>
      <c r="CG46" s="6" t="s">
        <v>430</v>
      </c>
      <c r="CH46" s="6" t="s">
        <v>430</v>
      </c>
      <c r="CI46" s="6" t="s">
        <v>430</v>
      </c>
      <c r="CJ46" s="6" t="s">
        <v>430</v>
      </c>
      <c r="CK46" s="6" t="s">
        <v>430</v>
      </c>
      <c r="CL46" s="6" t="s">
        <v>430</v>
      </c>
      <c r="CM46" s="6" t="s">
        <v>430</v>
      </c>
      <c r="CN46" s="6" t="s">
        <v>430</v>
      </c>
      <c r="CO46" s="15" t="s">
        <v>430</v>
      </c>
      <c r="CP46" s="15" t="s">
        <v>432</v>
      </c>
      <c r="CQ46" s="6" t="s">
        <v>433</v>
      </c>
      <c r="CR46" s="15"/>
      <c r="CS46" s="6" t="s">
        <v>426</v>
      </c>
      <c r="CT46" s="6" t="s">
        <v>1271</v>
      </c>
      <c r="CU46" s="6" t="s">
        <v>1272</v>
      </c>
      <c r="CV46" s="6" t="s">
        <v>1273</v>
      </c>
      <c r="CW46" s="6" t="s">
        <v>1274</v>
      </c>
      <c r="CX46" s="15" t="s">
        <v>426</v>
      </c>
      <c r="CY46" s="6" t="s">
        <v>453</v>
      </c>
      <c r="CZ46" s="6"/>
      <c r="DA46" s="6"/>
      <c r="DB46" s="6"/>
      <c r="DC46" s="6"/>
      <c r="DD46" s="15"/>
      <c r="DE46" s="15" t="s">
        <v>436</v>
      </c>
      <c r="DF46" s="6" t="s">
        <v>1171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1</v>
      </c>
      <c r="DM46" s="6" t="s">
        <v>1275</v>
      </c>
      <c r="DN46" s="6"/>
      <c r="DO46" s="6"/>
      <c r="DP46" s="6"/>
      <c r="DQ46" s="6"/>
      <c r="DR46" s="6"/>
      <c r="DS46" s="6"/>
      <c r="DT46" s="66"/>
      <c r="DU46" s="6" t="s">
        <v>438</v>
      </c>
      <c r="DV46" s="6" t="s">
        <v>426</v>
      </c>
      <c r="DW46" s="6" t="s">
        <v>439</v>
      </c>
      <c r="DX46" s="6" t="s">
        <v>440</v>
      </c>
      <c r="DY46" s="6"/>
      <c r="DZ46" s="6" t="s">
        <v>768</v>
      </c>
      <c r="EA46" s="6">
        <v>1</v>
      </c>
      <c r="EB46" s="6">
        <v>1</v>
      </c>
      <c r="EC46" s="6">
        <v>1</v>
      </c>
      <c r="ED46" s="6">
        <v>1</v>
      </c>
      <c r="EE46" s="6">
        <v>1</v>
      </c>
      <c r="EF46" s="6">
        <v>0</v>
      </c>
      <c r="EG46" s="6">
        <v>0</v>
      </c>
      <c r="EH46" s="6">
        <v>0</v>
      </c>
      <c r="EI46" s="6"/>
      <c r="EJ46" s="6" t="s">
        <v>1276</v>
      </c>
      <c r="EK46" s="6">
        <v>1</v>
      </c>
      <c r="EL46" s="6">
        <v>1</v>
      </c>
      <c r="EM46" s="6">
        <v>1</v>
      </c>
      <c r="EN46" s="6">
        <v>1</v>
      </c>
      <c r="EO46" s="6">
        <v>1</v>
      </c>
      <c r="EP46" s="6">
        <v>1</v>
      </c>
      <c r="EQ46" s="6">
        <v>1</v>
      </c>
      <c r="ER46" s="6">
        <v>0</v>
      </c>
      <c r="ES46" s="6">
        <v>0</v>
      </c>
      <c r="ET46" s="6"/>
      <c r="EU46" s="6" t="s">
        <v>443</v>
      </c>
      <c r="EV46" s="6" t="s">
        <v>588</v>
      </c>
      <c r="EW46" s="6"/>
      <c r="EX46" s="6" t="s">
        <v>589</v>
      </c>
      <c r="EY46" s="6">
        <v>1</v>
      </c>
      <c r="EZ46" s="6">
        <v>1</v>
      </c>
      <c r="FA46" s="6">
        <v>1</v>
      </c>
      <c r="FB46" s="6">
        <v>1</v>
      </c>
      <c r="FC46" s="6">
        <v>1</v>
      </c>
      <c r="FD46" s="6">
        <v>1</v>
      </c>
      <c r="FE46" s="6">
        <v>0</v>
      </c>
      <c r="FF46" s="6">
        <v>0</v>
      </c>
      <c r="FG46" s="6"/>
      <c r="FH46" s="6" t="s">
        <v>1277</v>
      </c>
      <c r="FI46" s="6">
        <v>1</v>
      </c>
      <c r="FJ46" s="6">
        <v>0</v>
      </c>
      <c r="FK46" s="6">
        <v>1</v>
      </c>
      <c r="FL46" s="6">
        <v>0</v>
      </c>
      <c r="FM46" s="6">
        <v>0</v>
      </c>
      <c r="FN46" s="6">
        <v>1</v>
      </c>
      <c r="FO46" s="6">
        <v>0</v>
      </c>
      <c r="FP46" s="6">
        <v>0</v>
      </c>
      <c r="FQ46" s="6">
        <v>1</v>
      </c>
      <c r="FR46" s="6">
        <v>0</v>
      </c>
      <c r="FS46" s="6"/>
      <c r="FT46" s="6" t="s">
        <v>556</v>
      </c>
      <c r="FU46" s="6" t="s">
        <v>448</v>
      </c>
      <c r="FV46" s="6"/>
      <c r="FW46" s="6" t="s">
        <v>449</v>
      </c>
      <c r="FX46" s="15" t="s">
        <v>450</v>
      </c>
      <c r="FY46" s="6" t="s">
        <v>451</v>
      </c>
      <c r="FZ46" s="6"/>
      <c r="GA46" s="6" t="s">
        <v>450</v>
      </c>
      <c r="GB46" s="6" t="s">
        <v>501</v>
      </c>
      <c r="GC46" s="6" t="s">
        <v>453</v>
      </c>
      <c r="GD46" s="6"/>
      <c r="GE46" s="6" t="s">
        <v>454</v>
      </c>
      <c r="GF46" s="6" t="s">
        <v>1278</v>
      </c>
      <c r="GG46" s="6" t="s">
        <v>456</v>
      </c>
      <c r="GH46" s="15" t="s">
        <v>1279</v>
      </c>
      <c r="GI46" s="6" t="s">
        <v>458</v>
      </c>
      <c r="GJ46" s="6" t="s">
        <v>1280</v>
      </c>
      <c r="GK46" s="6" t="s">
        <v>460</v>
      </c>
      <c r="GL46" s="6" t="s">
        <v>461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1</v>
      </c>
      <c r="GS46" s="6">
        <v>0</v>
      </c>
      <c r="GT46" s="6"/>
      <c r="GU46" s="6" t="s">
        <v>534</v>
      </c>
      <c r="GV46" s="6" t="s">
        <v>595</v>
      </c>
      <c r="GW46" s="6" t="s">
        <v>464</v>
      </c>
      <c r="GX46" s="6">
        <v>1</v>
      </c>
      <c r="GY46" s="6">
        <v>0</v>
      </c>
      <c r="GZ46" s="6">
        <v>0</v>
      </c>
      <c r="HA46" s="6">
        <v>0</v>
      </c>
      <c r="HB46" s="6">
        <v>0</v>
      </c>
      <c r="HC46" s="6">
        <v>0</v>
      </c>
      <c r="HD46" s="6"/>
      <c r="HE46" s="6" t="s">
        <v>1281</v>
      </c>
      <c r="HF46" s="6">
        <v>1</v>
      </c>
      <c r="HG46" s="6">
        <v>0</v>
      </c>
      <c r="HH46" s="6">
        <v>1</v>
      </c>
      <c r="HI46" s="6">
        <v>1</v>
      </c>
      <c r="HJ46" s="6">
        <v>0</v>
      </c>
      <c r="HK46" s="6">
        <v>0</v>
      </c>
      <c r="HL46" s="15"/>
      <c r="HM46" s="6" t="s">
        <v>505</v>
      </c>
      <c r="HN46" s="6"/>
      <c r="HO46" s="6" t="s">
        <v>1282</v>
      </c>
      <c r="HP46" s="6" t="s">
        <v>537</v>
      </c>
      <c r="HQ46" s="6" t="s">
        <v>1283</v>
      </c>
      <c r="HR46" s="6" t="s">
        <v>1201</v>
      </c>
      <c r="HS46" s="6" t="s">
        <v>599</v>
      </c>
      <c r="HT46" s="6">
        <v>1</v>
      </c>
      <c r="HU46" s="6">
        <v>0</v>
      </c>
      <c r="HV46" s="6">
        <v>1</v>
      </c>
      <c r="HW46" s="6">
        <v>0</v>
      </c>
      <c r="HX46" s="6">
        <v>1</v>
      </c>
      <c r="HY46" s="6">
        <v>0</v>
      </c>
      <c r="HZ46" s="6"/>
      <c r="IA46" s="6" t="s">
        <v>1284</v>
      </c>
      <c r="IB46" s="6">
        <v>1</v>
      </c>
      <c r="IC46" s="6">
        <v>1</v>
      </c>
      <c r="ID46" s="6">
        <v>1</v>
      </c>
      <c r="IE46" s="6">
        <v>1</v>
      </c>
      <c r="IF46" s="6">
        <v>0</v>
      </c>
      <c r="IG46" s="6">
        <v>0</v>
      </c>
      <c r="IH46" s="15" t="s">
        <v>1285</v>
      </c>
      <c r="II46" s="6" t="s">
        <v>426</v>
      </c>
      <c r="IJ46" s="6" t="s">
        <v>602</v>
      </c>
      <c r="IK46" s="6">
        <v>1</v>
      </c>
      <c r="IL46" s="6">
        <v>1</v>
      </c>
      <c r="IM46" s="6">
        <v>0</v>
      </c>
      <c r="IN46" s="6"/>
      <c r="IO46" s="6" t="s">
        <v>473</v>
      </c>
      <c r="IP46" s="6">
        <v>1</v>
      </c>
      <c r="IQ46" s="6">
        <v>0</v>
      </c>
      <c r="IR46" s="6">
        <v>0</v>
      </c>
      <c r="IS46" s="6">
        <v>0</v>
      </c>
      <c r="IT46" s="6">
        <v>0</v>
      </c>
      <c r="IU46" s="6">
        <v>0</v>
      </c>
      <c r="IV46" s="6"/>
      <c r="IW46" s="6" t="s">
        <v>426</v>
      </c>
      <c r="IX46" s="6">
        <v>1</v>
      </c>
      <c r="IY46" s="6" t="s">
        <v>474</v>
      </c>
      <c r="IZ46" s="6" t="s">
        <v>475</v>
      </c>
      <c r="JA46" s="6" t="s">
        <v>426</v>
      </c>
      <c r="JB46" s="6" t="s">
        <v>476</v>
      </c>
      <c r="JC46" s="6"/>
      <c r="JD46" s="6"/>
      <c r="JE46" s="6"/>
      <c r="JF46" s="6"/>
      <c r="JG46" s="6"/>
      <c r="JH46" s="6"/>
      <c r="JI46" s="6"/>
      <c r="JJ46" s="6"/>
      <c r="JK46" s="6" t="s">
        <v>426</v>
      </c>
      <c r="JL46" s="6" t="s">
        <v>426</v>
      </c>
      <c r="JM46" s="6"/>
      <c r="JN46" s="6"/>
      <c r="JO46" s="6"/>
      <c r="JP46" s="6"/>
      <c r="JQ46" s="6"/>
      <c r="JR46" s="6"/>
      <c r="JS46" s="6"/>
      <c r="JT46" s="6"/>
      <c r="JU46" s="6" t="s">
        <v>895</v>
      </c>
      <c r="JV46" s="15" t="s">
        <v>1184</v>
      </c>
      <c r="JW46" s="94" t="s">
        <v>1286</v>
      </c>
      <c r="JX46" s="6" t="s">
        <v>1287</v>
      </c>
      <c r="JY46" s="6">
        <v>0.8469124</v>
      </c>
      <c r="JZ46" s="6">
        <v>34.7355485</v>
      </c>
      <c r="KA46" s="6">
        <v>1881.8</v>
      </c>
      <c r="KB46" s="15">
        <v>4.02</v>
      </c>
      <c r="KC46" s="15"/>
    </row>
    <row r="47" spans="1:289">
      <c r="A47" s="6" t="s">
        <v>419</v>
      </c>
      <c r="B47" s="6" t="s">
        <v>420</v>
      </c>
      <c r="C47" s="6" t="s">
        <v>421</v>
      </c>
      <c r="D47" s="6" t="s">
        <v>654</v>
      </c>
      <c r="E47" s="6" t="s">
        <v>1288</v>
      </c>
      <c r="F47" s="8" t="s">
        <v>423</v>
      </c>
      <c r="G47" s="6" t="s">
        <v>484</v>
      </c>
      <c r="H47" s="6" t="s">
        <v>425</v>
      </c>
      <c r="I47" s="15"/>
      <c r="J47" s="6" t="s">
        <v>426</v>
      </c>
      <c r="K47" s="6" t="s">
        <v>426</v>
      </c>
      <c r="L47" s="6" t="s">
        <v>426</v>
      </c>
      <c r="M47" s="6" t="s">
        <v>426</v>
      </c>
      <c r="N47" s="6" t="s">
        <v>426</v>
      </c>
      <c r="O47" s="6" t="s">
        <v>426</v>
      </c>
      <c r="P47" s="6" t="s">
        <v>426</v>
      </c>
      <c r="Q47" s="6" t="s">
        <v>426</v>
      </c>
      <c r="R47" s="6" t="s">
        <v>426</v>
      </c>
      <c r="S47" s="6" t="s">
        <v>426</v>
      </c>
      <c r="T47" s="6" t="s">
        <v>426</v>
      </c>
      <c r="U47" s="6" t="s">
        <v>426</v>
      </c>
      <c r="V47" s="6" t="s">
        <v>426</v>
      </c>
      <c r="W47" s="6" t="s">
        <v>426</v>
      </c>
      <c r="X47" s="6" t="s">
        <v>426</v>
      </c>
      <c r="Y47" s="6" t="s">
        <v>426</v>
      </c>
      <c r="Z47" s="6" t="s">
        <v>426</v>
      </c>
      <c r="AA47" s="6" t="s">
        <v>426</v>
      </c>
      <c r="AB47" s="6" t="s">
        <v>426</v>
      </c>
      <c r="AC47" s="15" t="s">
        <v>426</v>
      </c>
      <c r="AD47" s="6" t="s">
        <v>427</v>
      </c>
      <c r="AE47" s="6">
        <v>0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0</v>
      </c>
      <c r="AL47" s="6">
        <v>0</v>
      </c>
      <c r="AM47" s="6"/>
      <c r="AN47" s="15"/>
      <c r="AO47" s="6" t="s">
        <v>426</v>
      </c>
      <c r="AP47" s="6" t="s">
        <v>656</v>
      </c>
      <c r="AQ47" s="6" t="s">
        <v>426</v>
      </c>
      <c r="AR47" s="6" t="s">
        <v>656</v>
      </c>
      <c r="AS47" s="6" t="s">
        <v>426</v>
      </c>
      <c r="AT47" s="6">
        <v>1</v>
      </c>
      <c r="AU47" s="6" t="s">
        <v>426</v>
      </c>
      <c r="AV47" s="6">
        <v>0.2</v>
      </c>
      <c r="AW47" s="6" t="s">
        <v>426</v>
      </c>
      <c r="AX47" s="6">
        <v>1</v>
      </c>
      <c r="AY47" s="6" t="s">
        <v>426</v>
      </c>
      <c r="AZ47" s="6">
        <v>1</v>
      </c>
      <c r="BA47" s="6" t="s">
        <v>426</v>
      </c>
      <c r="BB47" s="6">
        <v>0.2</v>
      </c>
      <c r="BC47" s="6" t="s">
        <v>426</v>
      </c>
      <c r="BD47" s="6">
        <v>0.75</v>
      </c>
      <c r="BE47" s="6" t="s">
        <v>426</v>
      </c>
      <c r="BF47" s="6">
        <v>1</v>
      </c>
      <c r="BG47" s="6" t="s">
        <v>426</v>
      </c>
      <c r="BH47" s="6">
        <v>0.2</v>
      </c>
      <c r="BI47" s="6" t="s">
        <v>426</v>
      </c>
      <c r="BJ47" s="6">
        <v>0.75</v>
      </c>
      <c r="BK47" s="6" t="s">
        <v>426</v>
      </c>
      <c r="BL47" s="6">
        <v>0.2</v>
      </c>
      <c r="BM47" s="6" t="s">
        <v>426</v>
      </c>
      <c r="BN47" s="6">
        <v>30</v>
      </c>
      <c r="BO47" s="6" t="s">
        <v>426</v>
      </c>
      <c r="BP47" s="6">
        <v>0.75</v>
      </c>
      <c r="BQ47" s="6" t="s">
        <v>426</v>
      </c>
      <c r="BR47" s="6">
        <v>102</v>
      </c>
      <c r="BS47" s="6" t="s">
        <v>426</v>
      </c>
      <c r="BT47" s="6">
        <v>9</v>
      </c>
      <c r="BU47" s="6" t="s">
        <v>426</v>
      </c>
      <c r="BV47" s="15">
        <v>1</v>
      </c>
      <c r="BW47" s="15" t="s">
        <v>428</v>
      </c>
      <c r="BX47" s="15" t="s">
        <v>429</v>
      </c>
      <c r="BY47" s="6" t="s">
        <v>430</v>
      </c>
      <c r="BZ47" s="6" t="s">
        <v>430</v>
      </c>
      <c r="CA47" s="6" t="s">
        <v>431</v>
      </c>
      <c r="CB47" s="6" t="s">
        <v>431</v>
      </c>
      <c r="CC47" s="6" t="s">
        <v>430</v>
      </c>
      <c r="CD47" s="6" t="s">
        <v>430</v>
      </c>
      <c r="CE47" s="6" t="s">
        <v>431</v>
      </c>
      <c r="CF47" s="6" t="s">
        <v>430</v>
      </c>
      <c r="CG47" s="6" t="s">
        <v>431</v>
      </c>
      <c r="CH47" s="6" t="s">
        <v>431</v>
      </c>
      <c r="CI47" s="6" t="s">
        <v>430</v>
      </c>
      <c r="CJ47" s="6" t="s">
        <v>430</v>
      </c>
      <c r="CK47" s="6" t="s">
        <v>430</v>
      </c>
      <c r="CL47" s="6" t="s">
        <v>430</v>
      </c>
      <c r="CM47" s="6" t="s">
        <v>430</v>
      </c>
      <c r="CN47" s="6" t="s">
        <v>431</v>
      </c>
      <c r="CO47" s="15" t="s">
        <v>430</v>
      </c>
      <c r="CP47" s="15" t="s">
        <v>432</v>
      </c>
      <c r="CQ47" s="6" t="s">
        <v>433</v>
      </c>
      <c r="CR47" s="15"/>
      <c r="CS47" s="6" t="s">
        <v>426</v>
      </c>
      <c r="CT47" s="6" t="s">
        <v>1289</v>
      </c>
      <c r="CU47" s="6" t="s">
        <v>868</v>
      </c>
      <c r="CV47" s="6" t="s">
        <v>733</v>
      </c>
      <c r="CW47" s="6" t="s">
        <v>1092</v>
      </c>
      <c r="CX47" s="15" t="s">
        <v>426</v>
      </c>
      <c r="CY47" s="6" t="s">
        <v>426</v>
      </c>
      <c r="CZ47" s="6" t="s">
        <v>1290</v>
      </c>
      <c r="DA47" s="6" t="s">
        <v>1291</v>
      </c>
      <c r="DB47" s="6" t="s">
        <v>1292</v>
      </c>
      <c r="DC47" s="6" t="s">
        <v>1225</v>
      </c>
      <c r="DD47" s="15" t="s">
        <v>1293</v>
      </c>
      <c r="DE47" s="15" t="s">
        <v>521</v>
      </c>
      <c r="DF47" s="6" t="s">
        <v>437</v>
      </c>
      <c r="DG47" s="6">
        <v>1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/>
      <c r="DN47" s="6"/>
      <c r="DO47" s="6"/>
      <c r="DP47" s="6"/>
      <c r="DQ47" s="6"/>
      <c r="DR47" s="6"/>
      <c r="DS47" s="6"/>
      <c r="DT47" s="66"/>
      <c r="DU47" s="6" t="s">
        <v>438</v>
      </c>
      <c r="DV47" s="6" t="s">
        <v>426</v>
      </c>
      <c r="DW47" s="6" t="s">
        <v>439</v>
      </c>
      <c r="DX47" s="6" t="s">
        <v>491</v>
      </c>
      <c r="DY47" s="6"/>
      <c r="DZ47" s="6" t="s">
        <v>940</v>
      </c>
      <c r="EA47" s="6">
        <v>1</v>
      </c>
      <c r="EB47" s="6">
        <v>1</v>
      </c>
      <c r="EC47" s="6">
        <v>1</v>
      </c>
      <c r="ED47" s="6">
        <v>1</v>
      </c>
      <c r="EE47" s="6">
        <v>0</v>
      </c>
      <c r="EF47" s="6">
        <v>0</v>
      </c>
      <c r="EG47" s="6">
        <v>0</v>
      </c>
      <c r="EH47" s="6">
        <v>0</v>
      </c>
      <c r="EI47" s="6"/>
      <c r="EJ47" s="6" t="s">
        <v>697</v>
      </c>
      <c r="EK47" s="6">
        <v>1</v>
      </c>
      <c r="EL47" s="6">
        <v>1</v>
      </c>
      <c r="EM47" s="6">
        <v>1</v>
      </c>
      <c r="EN47" s="6">
        <v>1</v>
      </c>
      <c r="EO47" s="6">
        <v>1</v>
      </c>
      <c r="EP47" s="6">
        <v>1</v>
      </c>
      <c r="EQ47" s="6">
        <v>0</v>
      </c>
      <c r="ER47" s="6">
        <v>0</v>
      </c>
      <c r="ES47" s="6">
        <v>0</v>
      </c>
      <c r="ET47" s="6"/>
      <c r="EU47" s="6" t="s">
        <v>443</v>
      </c>
      <c r="EV47" s="6" t="s">
        <v>495</v>
      </c>
      <c r="EW47" s="6"/>
      <c r="EX47" s="6" t="s">
        <v>445</v>
      </c>
      <c r="EY47" s="6">
        <v>0</v>
      </c>
      <c r="EZ47" s="6">
        <v>0</v>
      </c>
      <c r="FA47" s="6">
        <v>1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/>
      <c r="FH47" s="6" t="s">
        <v>812</v>
      </c>
      <c r="FI47" s="6">
        <v>1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/>
      <c r="FT47" s="6" t="s">
        <v>447</v>
      </c>
      <c r="FU47" s="6" t="s">
        <v>448</v>
      </c>
      <c r="FV47" s="6"/>
      <c r="FW47" s="6" t="s">
        <v>449</v>
      </c>
      <c r="FX47" s="15" t="s">
        <v>450</v>
      </c>
      <c r="FY47" s="6" t="s">
        <v>451</v>
      </c>
      <c r="FZ47" s="6"/>
      <c r="GA47" s="6" t="s">
        <v>528</v>
      </c>
      <c r="GB47" s="6" t="s">
        <v>452</v>
      </c>
      <c r="GC47" s="6" t="s">
        <v>453</v>
      </c>
      <c r="GD47" s="6"/>
      <c r="GE47" s="6" t="s">
        <v>454</v>
      </c>
      <c r="GF47" s="6" t="s">
        <v>1294</v>
      </c>
      <c r="GG47" s="6" t="s">
        <v>456</v>
      </c>
      <c r="GH47" s="15" t="s">
        <v>1295</v>
      </c>
      <c r="GI47" s="6" t="s">
        <v>458</v>
      </c>
      <c r="GJ47" s="6" t="s">
        <v>1144</v>
      </c>
      <c r="GK47" s="6" t="s">
        <v>460</v>
      </c>
      <c r="GL47" s="6" t="s">
        <v>704</v>
      </c>
      <c r="GM47" s="6">
        <v>0</v>
      </c>
      <c r="GN47" s="6">
        <v>0</v>
      </c>
      <c r="GO47" s="6">
        <v>0</v>
      </c>
      <c r="GP47" s="6">
        <v>1</v>
      </c>
      <c r="GQ47" s="6">
        <v>0</v>
      </c>
      <c r="GR47" s="6">
        <v>0</v>
      </c>
      <c r="GS47" s="6">
        <v>0</v>
      </c>
      <c r="GT47" s="6"/>
      <c r="GU47" s="6" t="s">
        <v>462</v>
      </c>
      <c r="GV47" s="6" t="s">
        <v>463</v>
      </c>
      <c r="GW47" s="6" t="s">
        <v>464</v>
      </c>
      <c r="GX47" s="6">
        <v>1</v>
      </c>
      <c r="GY47" s="6">
        <v>0</v>
      </c>
      <c r="GZ47" s="6">
        <v>0</v>
      </c>
      <c r="HA47" s="6">
        <v>0</v>
      </c>
      <c r="HB47" s="6">
        <v>0</v>
      </c>
      <c r="HC47" s="6">
        <v>0</v>
      </c>
      <c r="HD47" s="6"/>
      <c r="HE47" s="6" t="s">
        <v>535</v>
      </c>
      <c r="HF47" s="6">
        <v>1</v>
      </c>
      <c r="HG47" s="6">
        <v>0</v>
      </c>
      <c r="HH47" s="6">
        <v>0</v>
      </c>
      <c r="HI47" s="6">
        <v>0</v>
      </c>
      <c r="HJ47" s="6">
        <v>0</v>
      </c>
      <c r="HK47" s="6">
        <v>0</v>
      </c>
      <c r="HL47" s="15"/>
      <c r="HM47" s="6" t="s">
        <v>466</v>
      </c>
      <c r="HN47" s="6"/>
      <c r="HO47" s="6" t="s">
        <v>1296</v>
      </c>
      <c r="HP47" s="6" t="s">
        <v>468</v>
      </c>
      <c r="HQ47" s="6"/>
      <c r="HR47" s="6" t="s">
        <v>1297</v>
      </c>
      <c r="HS47" s="6" t="s">
        <v>470</v>
      </c>
      <c r="HT47" s="6">
        <v>0</v>
      </c>
      <c r="HU47" s="6">
        <v>0</v>
      </c>
      <c r="HV47" s="6">
        <v>0</v>
      </c>
      <c r="HW47" s="6">
        <v>0</v>
      </c>
      <c r="HX47" s="6">
        <v>1</v>
      </c>
      <c r="HY47" s="6">
        <v>0</v>
      </c>
      <c r="HZ47" s="6"/>
      <c r="IA47" s="6" t="s">
        <v>541</v>
      </c>
      <c r="IB47" s="6">
        <v>0</v>
      </c>
      <c r="IC47" s="6">
        <v>0</v>
      </c>
      <c r="ID47" s="6">
        <v>1</v>
      </c>
      <c r="IE47" s="6">
        <v>0</v>
      </c>
      <c r="IF47" s="6">
        <v>0</v>
      </c>
      <c r="IG47" s="6">
        <v>0</v>
      </c>
      <c r="IH47" s="15" t="s">
        <v>1298</v>
      </c>
      <c r="II47" s="6" t="s">
        <v>426</v>
      </c>
      <c r="IJ47" s="6" t="s">
        <v>472</v>
      </c>
      <c r="IK47" s="6">
        <v>1</v>
      </c>
      <c r="IL47" s="6">
        <v>0</v>
      </c>
      <c r="IM47" s="6">
        <v>0</v>
      </c>
      <c r="IN47" s="6"/>
      <c r="IO47" s="6" t="s">
        <v>473</v>
      </c>
      <c r="IP47" s="6">
        <v>1</v>
      </c>
      <c r="IQ47" s="6">
        <v>0</v>
      </c>
      <c r="IR47" s="6">
        <v>0</v>
      </c>
      <c r="IS47" s="6">
        <v>0</v>
      </c>
      <c r="IT47" s="6">
        <v>0</v>
      </c>
      <c r="IU47" s="6">
        <v>0</v>
      </c>
      <c r="IV47" s="6"/>
      <c r="IW47" s="6" t="s">
        <v>453</v>
      </c>
      <c r="IX47" s="6"/>
      <c r="IY47" s="6" t="s">
        <v>510</v>
      </c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 t="s">
        <v>426</v>
      </c>
      <c r="JK47" s="6" t="s">
        <v>426</v>
      </c>
      <c r="JL47" s="6" t="s">
        <v>426</v>
      </c>
      <c r="JM47" s="6"/>
      <c r="JN47" s="6"/>
      <c r="JO47" s="6"/>
      <c r="JP47" s="6"/>
      <c r="JQ47" s="6"/>
      <c r="JR47" s="6"/>
      <c r="JS47" s="6"/>
      <c r="JT47" s="6"/>
      <c r="JU47" s="6" t="s">
        <v>477</v>
      </c>
      <c r="JV47" s="15"/>
      <c r="JW47" s="94" t="s">
        <v>1299</v>
      </c>
      <c r="JX47" s="6" t="s">
        <v>1300</v>
      </c>
      <c r="JY47" s="6">
        <v>0.8469498</v>
      </c>
      <c r="JZ47" s="6">
        <v>34.7355718</v>
      </c>
      <c r="KA47" s="6">
        <v>1901.6</v>
      </c>
      <c r="KB47" s="15">
        <v>4.798</v>
      </c>
      <c r="KC47" s="15"/>
    </row>
    <row r="48" spans="1:289">
      <c r="A48" s="6" t="s">
        <v>1301</v>
      </c>
      <c r="B48" s="6" t="s">
        <v>420</v>
      </c>
      <c r="C48" s="6" t="s">
        <v>421</v>
      </c>
      <c r="D48" s="6" t="s">
        <v>1302</v>
      </c>
      <c r="E48" s="6" t="s">
        <v>1303</v>
      </c>
      <c r="F48" s="8" t="s">
        <v>483</v>
      </c>
      <c r="G48" s="6" t="s">
        <v>567</v>
      </c>
      <c r="H48" s="6" t="s">
        <v>517</v>
      </c>
      <c r="I48" s="15"/>
      <c r="J48" s="6" t="s">
        <v>426</v>
      </c>
      <c r="K48" s="6" t="s">
        <v>426</v>
      </c>
      <c r="L48" s="6" t="s">
        <v>426</v>
      </c>
      <c r="M48" s="6" t="s">
        <v>426</v>
      </c>
      <c r="N48" s="6" t="s">
        <v>426</v>
      </c>
      <c r="O48" s="6" t="s">
        <v>426</v>
      </c>
      <c r="P48" s="6" t="s">
        <v>426</v>
      </c>
      <c r="Q48" s="6" t="s">
        <v>426</v>
      </c>
      <c r="R48" s="6" t="s">
        <v>426</v>
      </c>
      <c r="S48" s="6" t="s">
        <v>426</v>
      </c>
      <c r="T48" s="6" t="s">
        <v>426</v>
      </c>
      <c r="U48" s="6" t="s">
        <v>426</v>
      </c>
      <c r="V48" s="6" t="s">
        <v>426</v>
      </c>
      <c r="W48" s="6" t="s">
        <v>426</v>
      </c>
      <c r="X48" s="6" t="s">
        <v>426</v>
      </c>
      <c r="Y48" s="6" t="s">
        <v>426</v>
      </c>
      <c r="Z48" s="6" t="s">
        <v>426</v>
      </c>
      <c r="AA48" s="6" t="s">
        <v>426</v>
      </c>
      <c r="AB48" s="6" t="s">
        <v>426</v>
      </c>
      <c r="AC48" s="15" t="s">
        <v>426</v>
      </c>
      <c r="AD48" s="6" t="s">
        <v>1063</v>
      </c>
      <c r="AE48" s="6">
        <v>1</v>
      </c>
      <c r="AF48" s="6">
        <v>0</v>
      </c>
      <c r="AG48" s="6">
        <v>0</v>
      </c>
      <c r="AH48" s="6">
        <v>1</v>
      </c>
      <c r="AI48" s="6">
        <v>0</v>
      </c>
      <c r="AJ48" s="6">
        <v>0</v>
      </c>
      <c r="AK48" s="6">
        <v>0</v>
      </c>
      <c r="AL48" s="6">
        <v>0</v>
      </c>
      <c r="AM48" s="6"/>
      <c r="AN48" s="15"/>
      <c r="AO48" s="6" t="s">
        <v>426</v>
      </c>
      <c r="AP48" s="6" t="s">
        <v>766</v>
      </c>
      <c r="AQ48" s="6" t="s">
        <v>426</v>
      </c>
      <c r="AR48" s="6" t="s">
        <v>1085</v>
      </c>
      <c r="AS48" s="6" t="s">
        <v>426</v>
      </c>
      <c r="AT48" s="6">
        <v>0.25</v>
      </c>
      <c r="AU48" s="6" t="s">
        <v>426</v>
      </c>
      <c r="AV48" s="6">
        <v>0.25</v>
      </c>
      <c r="AW48" s="6" t="s">
        <v>426</v>
      </c>
      <c r="AX48" s="6">
        <v>0.25</v>
      </c>
      <c r="AY48" s="6" t="s">
        <v>426</v>
      </c>
      <c r="AZ48" s="6">
        <v>1</v>
      </c>
      <c r="BA48" s="6" t="s">
        <v>426</v>
      </c>
      <c r="BB48" s="6">
        <v>0.25</v>
      </c>
      <c r="BC48" s="6" t="s">
        <v>426</v>
      </c>
      <c r="BD48" s="6">
        <v>0.25</v>
      </c>
      <c r="BE48" s="6" t="s">
        <v>426</v>
      </c>
      <c r="BF48" s="6">
        <v>10</v>
      </c>
      <c r="BG48" s="6" t="s">
        <v>426</v>
      </c>
      <c r="BH48" s="6">
        <v>0.25</v>
      </c>
      <c r="BI48" s="6" t="s">
        <v>426</v>
      </c>
      <c r="BJ48" s="6">
        <v>0.25</v>
      </c>
      <c r="BK48" s="6" t="s">
        <v>426</v>
      </c>
      <c r="BL48" s="6">
        <v>0.25</v>
      </c>
      <c r="BM48" s="6" t="s">
        <v>426</v>
      </c>
      <c r="BN48" s="6">
        <v>48</v>
      </c>
      <c r="BO48" s="6" t="s">
        <v>426</v>
      </c>
      <c r="BP48" s="6">
        <v>0.0125</v>
      </c>
      <c r="BQ48" s="6" t="s">
        <v>426</v>
      </c>
      <c r="BR48" s="6">
        <v>12</v>
      </c>
      <c r="BS48" s="6" t="s">
        <v>426</v>
      </c>
      <c r="BT48" s="6">
        <v>150</v>
      </c>
      <c r="BU48" s="6" t="s">
        <v>426</v>
      </c>
      <c r="BV48" s="15">
        <v>0.25</v>
      </c>
      <c r="BW48" s="15" t="s">
        <v>550</v>
      </c>
      <c r="BX48" s="15" t="s">
        <v>1064</v>
      </c>
      <c r="BY48" s="6" t="s">
        <v>430</v>
      </c>
      <c r="BZ48" s="6" t="s">
        <v>430</v>
      </c>
      <c r="CA48" s="6" t="s">
        <v>430</v>
      </c>
      <c r="CB48" s="6" t="s">
        <v>430</v>
      </c>
      <c r="CC48" s="6" t="s">
        <v>430</v>
      </c>
      <c r="CD48" s="6" t="s">
        <v>430</v>
      </c>
      <c r="CE48" s="6" t="s">
        <v>430</v>
      </c>
      <c r="CF48" s="6" t="s">
        <v>430</v>
      </c>
      <c r="CG48" s="6" t="s">
        <v>430</v>
      </c>
      <c r="CH48" s="6" t="s">
        <v>430</v>
      </c>
      <c r="CI48" s="6" t="s">
        <v>430</v>
      </c>
      <c r="CJ48" s="6" t="s">
        <v>430</v>
      </c>
      <c r="CK48" s="6" t="s">
        <v>430</v>
      </c>
      <c r="CL48" s="6" t="s">
        <v>430</v>
      </c>
      <c r="CM48" s="6" t="s">
        <v>430</v>
      </c>
      <c r="CN48" s="6" t="s">
        <v>430</v>
      </c>
      <c r="CO48" s="15" t="s">
        <v>430</v>
      </c>
      <c r="CP48" s="15" t="s">
        <v>636</v>
      </c>
      <c r="CQ48" s="6" t="s">
        <v>433</v>
      </c>
      <c r="CR48" s="15"/>
      <c r="CS48" s="6" t="s">
        <v>426</v>
      </c>
      <c r="CT48" s="6" t="s">
        <v>1304</v>
      </c>
      <c r="CU48" s="6" t="s">
        <v>766</v>
      </c>
      <c r="CV48" s="6" t="s">
        <v>825</v>
      </c>
      <c r="CW48" s="6" t="s">
        <v>1305</v>
      </c>
      <c r="CX48" s="15" t="s">
        <v>426</v>
      </c>
      <c r="CY48" s="6" t="s">
        <v>426</v>
      </c>
      <c r="CZ48" s="6" t="s">
        <v>1306</v>
      </c>
      <c r="DA48" s="6" t="s">
        <v>809</v>
      </c>
      <c r="DB48" s="6" t="s">
        <v>1307</v>
      </c>
      <c r="DC48" s="6" t="s">
        <v>734</v>
      </c>
      <c r="DD48" s="15" t="s">
        <v>826</v>
      </c>
      <c r="DE48" s="15" t="s">
        <v>436</v>
      </c>
      <c r="DF48" s="6" t="s">
        <v>1308</v>
      </c>
      <c r="DG48" s="6">
        <v>1</v>
      </c>
      <c r="DH48" s="6">
        <v>0</v>
      </c>
      <c r="DI48" s="6">
        <v>1</v>
      </c>
      <c r="DJ48" s="6">
        <v>0</v>
      </c>
      <c r="DK48" s="6">
        <v>0</v>
      </c>
      <c r="DL48" s="6">
        <v>0</v>
      </c>
      <c r="DM48" s="6"/>
      <c r="DN48" s="6"/>
      <c r="DO48" s="6"/>
      <c r="DP48" s="6"/>
      <c r="DQ48" s="6"/>
      <c r="DR48" s="6"/>
      <c r="DS48" s="6"/>
      <c r="DT48" s="66"/>
      <c r="DU48" s="6" t="s">
        <v>438</v>
      </c>
      <c r="DV48" s="6" t="s">
        <v>426</v>
      </c>
      <c r="DW48" s="6" t="s">
        <v>1212</v>
      </c>
      <c r="DX48" s="6" t="s">
        <v>440</v>
      </c>
      <c r="DY48" s="6"/>
      <c r="DZ48" s="6" t="s">
        <v>1309</v>
      </c>
      <c r="EA48" s="6">
        <v>1</v>
      </c>
      <c r="EB48" s="6">
        <v>1</v>
      </c>
      <c r="EC48" s="6">
        <v>0</v>
      </c>
      <c r="ED48" s="6">
        <v>1</v>
      </c>
      <c r="EE48" s="6">
        <v>1</v>
      </c>
      <c r="EF48" s="6">
        <v>0</v>
      </c>
      <c r="EG48" s="6">
        <v>0</v>
      </c>
      <c r="EH48" s="6">
        <v>0</v>
      </c>
      <c r="EI48" s="6"/>
      <c r="EJ48" s="6" t="s">
        <v>715</v>
      </c>
      <c r="EK48" s="6">
        <v>1</v>
      </c>
      <c r="EL48" s="6">
        <v>1</v>
      </c>
      <c r="EM48" s="6">
        <v>1</v>
      </c>
      <c r="EN48" s="6">
        <v>1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/>
      <c r="EU48" s="6" t="s">
        <v>443</v>
      </c>
      <c r="EV48" s="6" t="s">
        <v>495</v>
      </c>
      <c r="EW48" s="6"/>
      <c r="EX48" s="6" t="s">
        <v>526</v>
      </c>
      <c r="EY48" s="6">
        <v>1</v>
      </c>
      <c r="EZ48" s="6">
        <v>1</v>
      </c>
      <c r="FA48" s="6">
        <v>1</v>
      </c>
      <c r="FB48" s="6">
        <v>1</v>
      </c>
      <c r="FC48" s="6">
        <v>0</v>
      </c>
      <c r="FD48" s="6">
        <v>0</v>
      </c>
      <c r="FE48" s="6">
        <v>0</v>
      </c>
      <c r="FF48" s="6">
        <v>0</v>
      </c>
      <c r="FG48" s="6"/>
      <c r="FH48" s="6" t="s">
        <v>771</v>
      </c>
      <c r="FI48" s="6">
        <v>1</v>
      </c>
      <c r="FJ48" s="6">
        <v>0</v>
      </c>
      <c r="FK48" s="6">
        <v>0</v>
      </c>
      <c r="FL48" s="6">
        <v>1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/>
      <c r="FT48" s="6" t="s">
        <v>447</v>
      </c>
      <c r="FU48" s="6" t="s">
        <v>499</v>
      </c>
      <c r="FV48" s="6"/>
      <c r="FW48" s="6" t="s">
        <v>449</v>
      </c>
      <c r="FX48" s="15" t="s">
        <v>450</v>
      </c>
      <c r="FY48" s="6" t="s">
        <v>500</v>
      </c>
      <c r="FZ48" s="6"/>
      <c r="GA48" s="6" t="s">
        <v>450</v>
      </c>
      <c r="GB48" s="6" t="s">
        <v>501</v>
      </c>
      <c r="GC48" s="6" t="s">
        <v>453</v>
      </c>
      <c r="GD48" s="6"/>
      <c r="GE48" s="6" t="s">
        <v>454</v>
      </c>
      <c r="GF48" s="6" t="s">
        <v>1310</v>
      </c>
      <c r="GG48" s="6" t="s">
        <v>456</v>
      </c>
      <c r="GH48" s="15" t="s">
        <v>1311</v>
      </c>
      <c r="GI48" s="6" t="s">
        <v>458</v>
      </c>
      <c r="GJ48" s="6" t="s">
        <v>1312</v>
      </c>
      <c r="GK48" s="6" t="s">
        <v>460</v>
      </c>
      <c r="GL48" s="6" t="s">
        <v>461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1</v>
      </c>
      <c r="GS48" s="6">
        <v>0</v>
      </c>
      <c r="GT48" s="6"/>
      <c r="GU48" s="6" t="s">
        <v>534</v>
      </c>
      <c r="GV48" s="6" t="s">
        <v>595</v>
      </c>
      <c r="GW48" s="6" t="s">
        <v>464</v>
      </c>
      <c r="GX48" s="6">
        <v>1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/>
      <c r="HE48" s="6" t="s">
        <v>962</v>
      </c>
      <c r="HF48" s="6">
        <v>1</v>
      </c>
      <c r="HG48" s="6">
        <v>0</v>
      </c>
      <c r="HH48" s="6">
        <v>0</v>
      </c>
      <c r="HI48" s="6">
        <v>1</v>
      </c>
      <c r="HJ48" s="6">
        <v>0</v>
      </c>
      <c r="HK48" s="6">
        <v>0</v>
      </c>
      <c r="HL48" s="15"/>
      <c r="HM48" s="6" t="s">
        <v>505</v>
      </c>
      <c r="HN48" s="6"/>
      <c r="HO48" s="6" t="s">
        <v>1313</v>
      </c>
      <c r="HP48" s="6" t="s">
        <v>561</v>
      </c>
      <c r="HQ48" s="6"/>
      <c r="HR48" s="6" t="s">
        <v>1314</v>
      </c>
      <c r="HS48" s="6" t="s">
        <v>1315</v>
      </c>
      <c r="HT48" s="6">
        <v>0</v>
      </c>
      <c r="HU48" s="6">
        <v>0</v>
      </c>
      <c r="HV48" s="6">
        <v>1</v>
      </c>
      <c r="HW48" s="6">
        <v>0</v>
      </c>
      <c r="HX48" s="6">
        <v>1</v>
      </c>
      <c r="HY48" s="6">
        <v>1</v>
      </c>
      <c r="HZ48" s="6"/>
      <c r="IA48" s="6" t="s">
        <v>1316</v>
      </c>
      <c r="IB48" s="6">
        <v>1</v>
      </c>
      <c r="IC48" s="6">
        <v>0</v>
      </c>
      <c r="ID48" s="6">
        <v>1</v>
      </c>
      <c r="IE48" s="6">
        <v>1</v>
      </c>
      <c r="IF48" s="6">
        <v>0</v>
      </c>
      <c r="IG48" s="6">
        <v>0</v>
      </c>
      <c r="IH48" s="15" t="s">
        <v>1317</v>
      </c>
      <c r="II48" s="6" t="s">
        <v>426</v>
      </c>
      <c r="IJ48" s="6" t="s">
        <v>602</v>
      </c>
      <c r="IK48" s="6">
        <v>1</v>
      </c>
      <c r="IL48" s="6">
        <v>1</v>
      </c>
      <c r="IM48" s="6">
        <v>0</v>
      </c>
      <c r="IN48" s="6"/>
      <c r="IO48" s="6" t="s">
        <v>473</v>
      </c>
      <c r="IP48" s="6">
        <v>1</v>
      </c>
      <c r="IQ48" s="6">
        <v>0</v>
      </c>
      <c r="IR48" s="6">
        <v>0</v>
      </c>
      <c r="IS48" s="6">
        <v>0</v>
      </c>
      <c r="IT48" s="6">
        <v>0</v>
      </c>
      <c r="IU48" s="6">
        <v>0</v>
      </c>
      <c r="IV48" s="6"/>
      <c r="IW48" s="6" t="s">
        <v>426</v>
      </c>
      <c r="IX48" s="6">
        <v>0</v>
      </c>
      <c r="IY48" s="6" t="s">
        <v>510</v>
      </c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 t="s">
        <v>453</v>
      </c>
      <c r="JL48" s="6"/>
      <c r="JM48" s="6"/>
      <c r="JN48" s="6"/>
      <c r="JO48" s="6"/>
      <c r="JP48" s="6"/>
      <c r="JQ48" s="6"/>
      <c r="JR48" s="6"/>
      <c r="JS48" s="6"/>
      <c r="JT48" s="6"/>
      <c r="JU48" s="6" t="s">
        <v>511</v>
      </c>
      <c r="JV48" s="15"/>
      <c r="JW48" s="94" t="s">
        <v>1318</v>
      </c>
      <c r="JX48" s="6" t="s">
        <v>1319</v>
      </c>
      <c r="JY48" s="6">
        <v>0.8470421</v>
      </c>
      <c r="JZ48" s="6">
        <v>34.7355514</v>
      </c>
      <c r="KA48" s="6">
        <v>1883.50732421875</v>
      </c>
      <c r="KB48" s="15">
        <v>4.502</v>
      </c>
      <c r="KC48" s="15"/>
    </row>
    <row r="49" spans="1:289">
      <c r="A49" s="6" t="s">
        <v>755</v>
      </c>
      <c r="B49" s="6" t="s">
        <v>420</v>
      </c>
      <c r="C49" s="6" t="s">
        <v>421</v>
      </c>
      <c r="D49" s="6" t="s">
        <v>842</v>
      </c>
      <c r="E49" s="6" t="s">
        <v>1320</v>
      </c>
      <c r="F49" s="8" t="s">
        <v>483</v>
      </c>
      <c r="G49" s="6" t="s">
        <v>567</v>
      </c>
      <c r="H49" s="6" t="s">
        <v>517</v>
      </c>
      <c r="I49" s="15"/>
      <c r="J49" s="6" t="s">
        <v>426</v>
      </c>
      <c r="K49" s="6" t="s">
        <v>426</v>
      </c>
      <c r="L49" s="6" t="s">
        <v>426</v>
      </c>
      <c r="M49" s="6" t="s">
        <v>426</v>
      </c>
      <c r="N49" s="6" t="s">
        <v>426</v>
      </c>
      <c r="O49" s="6" t="s">
        <v>426</v>
      </c>
      <c r="P49" s="6" t="s">
        <v>426</v>
      </c>
      <c r="Q49" s="6" t="s">
        <v>426</v>
      </c>
      <c r="R49" s="6" t="s">
        <v>426</v>
      </c>
      <c r="S49" s="6" t="s">
        <v>426</v>
      </c>
      <c r="T49" s="6" t="s">
        <v>426</v>
      </c>
      <c r="U49" s="6" t="s">
        <v>426</v>
      </c>
      <c r="V49" s="6" t="s">
        <v>453</v>
      </c>
      <c r="W49" s="6" t="s">
        <v>453</v>
      </c>
      <c r="X49" s="6" t="s">
        <v>426</v>
      </c>
      <c r="Y49" s="6" t="s">
        <v>426</v>
      </c>
      <c r="Z49" s="6" t="s">
        <v>426</v>
      </c>
      <c r="AA49" s="6" t="s">
        <v>426</v>
      </c>
      <c r="AB49" s="6" t="s">
        <v>426</v>
      </c>
      <c r="AC49" s="15" t="s">
        <v>426</v>
      </c>
      <c r="AD49" s="6" t="s">
        <v>427</v>
      </c>
      <c r="AE49" s="6">
        <v>0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0</v>
      </c>
      <c r="AM49" s="6"/>
      <c r="AN49" s="15"/>
      <c r="AO49" s="6" t="s">
        <v>426</v>
      </c>
      <c r="AP49" s="6" t="s">
        <v>1024</v>
      </c>
      <c r="AQ49" s="6" t="s">
        <v>426</v>
      </c>
      <c r="AR49" s="6" t="s">
        <v>766</v>
      </c>
      <c r="AS49" s="6" t="s">
        <v>426</v>
      </c>
      <c r="AT49" s="6">
        <v>0.2</v>
      </c>
      <c r="AU49" s="6" t="s">
        <v>453</v>
      </c>
      <c r="AV49" s="6"/>
      <c r="AW49" s="6" t="s">
        <v>426</v>
      </c>
      <c r="AX49" s="6">
        <v>0.3</v>
      </c>
      <c r="AY49" s="6" t="s">
        <v>426</v>
      </c>
      <c r="AZ49" s="6">
        <v>5</v>
      </c>
      <c r="BA49" s="6" t="s">
        <v>453</v>
      </c>
      <c r="BB49" s="6"/>
      <c r="BC49" s="6" t="s">
        <v>426</v>
      </c>
      <c r="BD49" s="6">
        <v>0.4</v>
      </c>
      <c r="BE49" s="6" t="s">
        <v>453</v>
      </c>
      <c r="BF49" s="6"/>
      <c r="BG49" s="6" t="s">
        <v>426</v>
      </c>
      <c r="BH49" s="6">
        <v>0.3</v>
      </c>
      <c r="BI49" s="6" t="s">
        <v>426</v>
      </c>
      <c r="BJ49" s="6">
        <v>0.2</v>
      </c>
      <c r="BK49" s="6" t="s">
        <v>426</v>
      </c>
      <c r="BL49" s="6">
        <v>0.3</v>
      </c>
      <c r="BM49" s="6" t="s">
        <v>426</v>
      </c>
      <c r="BN49" s="6">
        <v>42</v>
      </c>
      <c r="BO49" s="6" t="s">
        <v>426</v>
      </c>
      <c r="BP49" s="6">
        <v>0.2</v>
      </c>
      <c r="BQ49" s="6" t="s">
        <v>426</v>
      </c>
      <c r="BR49" s="6">
        <v>280</v>
      </c>
      <c r="BS49" s="6" t="s">
        <v>426</v>
      </c>
      <c r="BT49" s="6">
        <v>4</v>
      </c>
      <c r="BU49" s="6" t="s">
        <v>426</v>
      </c>
      <c r="BV49" s="15">
        <v>0.2</v>
      </c>
      <c r="BW49" s="15" t="s">
        <v>518</v>
      </c>
      <c r="BX49" s="15" t="s">
        <v>429</v>
      </c>
      <c r="BY49" s="6" t="s">
        <v>430</v>
      </c>
      <c r="BZ49" s="6" t="s">
        <v>430</v>
      </c>
      <c r="CA49" s="6" t="s">
        <v>430</v>
      </c>
      <c r="CB49" s="6" t="s">
        <v>487</v>
      </c>
      <c r="CC49" s="6" t="s">
        <v>430</v>
      </c>
      <c r="CD49" s="6" t="s">
        <v>430</v>
      </c>
      <c r="CE49" s="6" t="s">
        <v>487</v>
      </c>
      <c r="CF49" s="6" t="s">
        <v>430</v>
      </c>
      <c r="CG49" s="6" t="s">
        <v>487</v>
      </c>
      <c r="CH49" s="6" t="s">
        <v>430</v>
      </c>
      <c r="CI49" s="6" t="s">
        <v>430</v>
      </c>
      <c r="CJ49" s="6" t="s">
        <v>430</v>
      </c>
      <c r="CK49" s="6" t="s">
        <v>430</v>
      </c>
      <c r="CL49" s="6" t="s">
        <v>430</v>
      </c>
      <c r="CM49" s="6" t="s">
        <v>430</v>
      </c>
      <c r="CN49" s="6" t="s">
        <v>431</v>
      </c>
      <c r="CO49" s="15" t="s">
        <v>430</v>
      </c>
      <c r="CP49" s="15" t="s">
        <v>432</v>
      </c>
      <c r="CQ49" s="6" t="s">
        <v>433</v>
      </c>
      <c r="CR49" s="15"/>
      <c r="CS49" s="6" t="s">
        <v>426</v>
      </c>
      <c r="CT49" s="6" t="s">
        <v>1321</v>
      </c>
      <c r="CU49" s="6" t="s">
        <v>683</v>
      </c>
      <c r="CV49" s="6" t="s">
        <v>692</v>
      </c>
      <c r="CW49" s="6" t="s">
        <v>1322</v>
      </c>
      <c r="CX49" s="15" t="s">
        <v>426</v>
      </c>
      <c r="CY49" s="6" t="s">
        <v>426</v>
      </c>
      <c r="CZ49" s="6" t="s">
        <v>1323</v>
      </c>
      <c r="DA49" s="6" t="s">
        <v>1111</v>
      </c>
      <c r="DB49" s="6" t="s">
        <v>823</v>
      </c>
      <c r="DC49" s="6" t="s">
        <v>662</v>
      </c>
      <c r="DD49" s="15" t="s">
        <v>1111</v>
      </c>
      <c r="DE49" s="15" t="s">
        <v>436</v>
      </c>
      <c r="DF49" s="6" t="s">
        <v>611</v>
      </c>
      <c r="DG49" s="6">
        <v>1</v>
      </c>
      <c r="DH49" s="6">
        <v>1</v>
      </c>
      <c r="DI49" s="6">
        <v>0</v>
      </c>
      <c r="DJ49" s="6">
        <v>0</v>
      </c>
      <c r="DK49" s="6">
        <v>0</v>
      </c>
      <c r="DL49" s="6">
        <v>0</v>
      </c>
      <c r="DM49" s="6"/>
      <c r="DN49" s="6"/>
      <c r="DO49" s="6"/>
      <c r="DP49" s="6"/>
      <c r="DQ49" s="6"/>
      <c r="DR49" s="6"/>
      <c r="DS49" s="6"/>
      <c r="DT49" s="66"/>
      <c r="DU49" s="6" t="s">
        <v>438</v>
      </c>
      <c r="DV49" s="6" t="s">
        <v>426</v>
      </c>
      <c r="DW49" s="6" t="s">
        <v>490</v>
      </c>
      <c r="DX49" s="6" t="s">
        <v>440</v>
      </c>
      <c r="DY49" s="6"/>
      <c r="DZ49" s="6" t="s">
        <v>768</v>
      </c>
      <c r="EA49" s="6">
        <v>1</v>
      </c>
      <c r="EB49" s="6">
        <v>1</v>
      </c>
      <c r="EC49" s="6">
        <v>1</v>
      </c>
      <c r="ED49" s="6">
        <v>1</v>
      </c>
      <c r="EE49" s="6">
        <v>1</v>
      </c>
      <c r="EF49" s="6">
        <v>0</v>
      </c>
      <c r="EG49" s="6">
        <v>0</v>
      </c>
      <c r="EH49" s="6">
        <v>0</v>
      </c>
      <c r="EI49" s="6"/>
      <c r="EJ49" s="6" t="s">
        <v>697</v>
      </c>
      <c r="EK49" s="6">
        <v>1</v>
      </c>
      <c r="EL49" s="6">
        <v>1</v>
      </c>
      <c r="EM49" s="6">
        <v>1</v>
      </c>
      <c r="EN49" s="6">
        <v>1</v>
      </c>
      <c r="EO49" s="6">
        <v>1</v>
      </c>
      <c r="EP49" s="6">
        <v>1</v>
      </c>
      <c r="EQ49" s="6">
        <v>0</v>
      </c>
      <c r="ER49" s="6">
        <v>0</v>
      </c>
      <c r="ES49" s="6">
        <v>0</v>
      </c>
      <c r="ET49" s="6"/>
      <c r="EU49" s="6" t="s">
        <v>443</v>
      </c>
      <c r="EV49" s="6" t="s">
        <v>554</v>
      </c>
      <c r="EW49" s="6"/>
      <c r="EX49" s="6" t="s">
        <v>1051</v>
      </c>
      <c r="EY49" s="6">
        <v>1</v>
      </c>
      <c r="EZ49" s="6">
        <v>1</v>
      </c>
      <c r="FA49" s="6">
        <v>1</v>
      </c>
      <c r="FB49" s="6">
        <v>1</v>
      </c>
      <c r="FC49" s="6">
        <v>1</v>
      </c>
      <c r="FD49" s="6">
        <v>0</v>
      </c>
      <c r="FE49" s="6">
        <v>0</v>
      </c>
      <c r="FF49" s="6">
        <v>0</v>
      </c>
      <c r="FG49" s="6"/>
      <c r="FH49" s="6" t="s">
        <v>1243</v>
      </c>
      <c r="FI49" s="6">
        <v>0</v>
      </c>
      <c r="FJ49" s="6">
        <v>0</v>
      </c>
      <c r="FK49" s="6">
        <v>1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/>
      <c r="FT49" s="6" t="s">
        <v>498</v>
      </c>
      <c r="FU49" s="6" t="s">
        <v>499</v>
      </c>
      <c r="FV49" s="6"/>
      <c r="FW49" s="6" t="s">
        <v>449</v>
      </c>
      <c r="FX49" s="15" t="s">
        <v>450</v>
      </c>
      <c r="FY49" s="6" t="s">
        <v>500</v>
      </c>
      <c r="FZ49" s="6"/>
      <c r="GA49" s="6" t="s">
        <v>450</v>
      </c>
      <c r="GB49" s="6" t="s">
        <v>501</v>
      </c>
      <c r="GC49" s="6" t="s">
        <v>426</v>
      </c>
      <c r="GD49" s="6" t="s">
        <v>1324</v>
      </c>
      <c r="GE49" s="6" t="s">
        <v>454</v>
      </c>
      <c r="GF49" s="6" t="s">
        <v>1325</v>
      </c>
      <c r="GG49" s="6" t="s">
        <v>456</v>
      </c>
      <c r="GH49" s="15" t="s">
        <v>1326</v>
      </c>
      <c r="GI49" s="6" t="s">
        <v>458</v>
      </c>
      <c r="GJ49" s="6" t="s">
        <v>1327</v>
      </c>
      <c r="GK49" s="6" t="s">
        <v>460</v>
      </c>
      <c r="GL49" s="6" t="s">
        <v>461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1</v>
      </c>
      <c r="GS49" s="6">
        <v>0</v>
      </c>
      <c r="GT49" s="6"/>
      <c r="GU49" s="6" t="s">
        <v>534</v>
      </c>
      <c r="GV49" s="6" t="s">
        <v>595</v>
      </c>
      <c r="GW49" s="6" t="s">
        <v>464</v>
      </c>
      <c r="GX49" s="6">
        <v>1</v>
      </c>
      <c r="GY49" s="6">
        <v>0</v>
      </c>
      <c r="GZ49" s="6">
        <v>0</v>
      </c>
      <c r="HA49" s="6">
        <v>0</v>
      </c>
      <c r="HB49" s="6">
        <v>0</v>
      </c>
      <c r="HC49" s="6">
        <v>0</v>
      </c>
      <c r="HD49" s="6"/>
      <c r="HE49" s="6" t="s">
        <v>1328</v>
      </c>
      <c r="HF49" s="6">
        <v>1</v>
      </c>
      <c r="HG49" s="6">
        <v>1</v>
      </c>
      <c r="HH49" s="6">
        <v>1</v>
      </c>
      <c r="HI49" s="6">
        <v>1</v>
      </c>
      <c r="HJ49" s="6">
        <v>1</v>
      </c>
      <c r="HK49" s="6">
        <v>0</v>
      </c>
      <c r="HL49" s="15"/>
      <c r="HM49" s="6" t="s">
        <v>466</v>
      </c>
      <c r="HN49" s="6"/>
      <c r="HO49" s="6" t="s">
        <v>1329</v>
      </c>
      <c r="HP49" s="6" t="s">
        <v>648</v>
      </c>
      <c r="HQ49" s="6"/>
      <c r="HR49" s="6" t="s">
        <v>1330</v>
      </c>
      <c r="HS49" s="6" t="s">
        <v>1331</v>
      </c>
      <c r="HT49" s="6">
        <v>0</v>
      </c>
      <c r="HU49" s="6">
        <v>0</v>
      </c>
      <c r="HV49" s="6">
        <v>1</v>
      </c>
      <c r="HW49" s="6">
        <v>1</v>
      </c>
      <c r="HX49" s="6">
        <v>1</v>
      </c>
      <c r="HY49" s="6">
        <v>0</v>
      </c>
      <c r="HZ49" s="6"/>
      <c r="IA49" s="6" t="s">
        <v>798</v>
      </c>
      <c r="IB49" s="6">
        <v>1</v>
      </c>
      <c r="IC49" s="6">
        <v>1</v>
      </c>
      <c r="ID49" s="6">
        <v>1</v>
      </c>
      <c r="IE49" s="6">
        <v>1</v>
      </c>
      <c r="IF49" s="6">
        <v>1</v>
      </c>
      <c r="IG49" s="6">
        <v>0</v>
      </c>
      <c r="IH49" s="15" t="s">
        <v>1332</v>
      </c>
      <c r="II49" s="6" t="s">
        <v>426</v>
      </c>
      <c r="IJ49" s="6" t="s">
        <v>472</v>
      </c>
      <c r="IK49" s="6">
        <v>1</v>
      </c>
      <c r="IL49" s="6">
        <v>0</v>
      </c>
      <c r="IM49" s="6">
        <v>0</v>
      </c>
      <c r="IN49" s="6"/>
      <c r="IO49" s="6" t="s">
        <v>473</v>
      </c>
      <c r="IP49" s="6">
        <v>1</v>
      </c>
      <c r="IQ49" s="6">
        <v>0</v>
      </c>
      <c r="IR49" s="6">
        <v>0</v>
      </c>
      <c r="IS49" s="6">
        <v>0</v>
      </c>
      <c r="IT49" s="6">
        <v>0</v>
      </c>
      <c r="IU49" s="6">
        <v>0</v>
      </c>
      <c r="IV49" s="6"/>
      <c r="IW49" s="6" t="s">
        <v>426</v>
      </c>
      <c r="IX49" s="6">
        <v>1</v>
      </c>
      <c r="IY49" s="6" t="s">
        <v>474</v>
      </c>
      <c r="IZ49" s="6" t="s">
        <v>475</v>
      </c>
      <c r="JA49" s="6" t="s">
        <v>426</v>
      </c>
      <c r="JB49" s="6" t="s">
        <v>476</v>
      </c>
      <c r="JC49" s="6"/>
      <c r="JD49" s="6"/>
      <c r="JE49" s="6"/>
      <c r="JF49" s="6"/>
      <c r="JG49" s="6"/>
      <c r="JH49" s="6"/>
      <c r="JI49" s="6"/>
      <c r="JJ49" s="6"/>
      <c r="JK49" s="6" t="s">
        <v>426</v>
      </c>
      <c r="JL49" s="6" t="s">
        <v>453</v>
      </c>
      <c r="JM49" s="6" t="s">
        <v>913</v>
      </c>
      <c r="JN49" s="6">
        <v>1</v>
      </c>
      <c r="JO49" s="6">
        <v>0</v>
      </c>
      <c r="JP49" s="6">
        <v>0</v>
      </c>
      <c r="JQ49" s="6">
        <v>0</v>
      </c>
      <c r="JR49" s="6">
        <v>0</v>
      </c>
      <c r="JS49" s="6">
        <v>0</v>
      </c>
      <c r="JT49" s="6"/>
      <c r="JU49" s="6" t="s">
        <v>895</v>
      </c>
      <c r="JV49" s="15" t="s">
        <v>896</v>
      </c>
      <c r="JW49" s="94" t="s">
        <v>1333</v>
      </c>
      <c r="JX49" s="6" t="s">
        <v>1334</v>
      </c>
      <c r="JY49" s="6">
        <v>0.8471112</v>
      </c>
      <c r="JZ49" s="6">
        <v>34.7357094</v>
      </c>
      <c r="KA49" s="6">
        <v>1833.501</v>
      </c>
      <c r="KB49" s="15">
        <v>1.548</v>
      </c>
      <c r="KC49" s="15"/>
    </row>
    <row r="50" spans="1:289">
      <c r="A50" s="6" t="s">
        <v>633</v>
      </c>
      <c r="B50" s="6" t="s">
        <v>420</v>
      </c>
      <c r="C50" s="6" t="s">
        <v>421</v>
      </c>
      <c r="D50" s="6" t="s">
        <v>1006</v>
      </c>
      <c r="E50" s="6" t="s">
        <v>1335</v>
      </c>
      <c r="F50" s="8" t="s">
        <v>483</v>
      </c>
      <c r="G50" s="6" t="s">
        <v>424</v>
      </c>
      <c r="H50" s="6" t="s">
        <v>425</v>
      </c>
      <c r="I50" s="15"/>
      <c r="J50" s="6" t="s">
        <v>426</v>
      </c>
      <c r="K50" s="6" t="s">
        <v>426</v>
      </c>
      <c r="L50" s="6" t="s">
        <v>426</v>
      </c>
      <c r="M50" s="6" t="s">
        <v>426</v>
      </c>
      <c r="N50" s="6" t="s">
        <v>426</v>
      </c>
      <c r="O50" s="6" t="s">
        <v>426</v>
      </c>
      <c r="P50" s="6" t="s">
        <v>426</v>
      </c>
      <c r="Q50" s="6" t="s">
        <v>426</v>
      </c>
      <c r="R50" s="6" t="s">
        <v>426</v>
      </c>
      <c r="S50" s="6" t="s">
        <v>426</v>
      </c>
      <c r="T50" s="6" t="s">
        <v>426</v>
      </c>
      <c r="U50" s="6" t="s">
        <v>426</v>
      </c>
      <c r="V50" s="6" t="s">
        <v>426</v>
      </c>
      <c r="W50" s="6" t="s">
        <v>426</v>
      </c>
      <c r="X50" s="6" t="s">
        <v>426</v>
      </c>
      <c r="Y50" s="6" t="s">
        <v>426</v>
      </c>
      <c r="Z50" s="6" t="s">
        <v>426</v>
      </c>
      <c r="AA50" s="6" t="s">
        <v>426</v>
      </c>
      <c r="AB50" s="6" t="s">
        <v>426</v>
      </c>
      <c r="AC50" s="15" t="s">
        <v>426</v>
      </c>
      <c r="AD50" s="6" t="s">
        <v>427</v>
      </c>
      <c r="AE50" s="6">
        <v>0</v>
      </c>
      <c r="AF50" s="6">
        <v>0</v>
      </c>
      <c r="AG50" s="6">
        <v>0</v>
      </c>
      <c r="AH50" s="6">
        <v>1</v>
      </c>
      <c r="AI50" s="6">
        <v>0</v>
      </c>
      <c r="AJ50" s="6">
        <v>0</v>
      </c>
      <c r="AK50" s="6">
        <v>0</v>
      </c>
      <c r="AL50" s="6">
        <v>0</v>
      </c>
      <c r="AM50" s="6"/>
      <c r="AN50" s="15"/>
      <c r="AO50" s="6" t="s">
        <v>426</v>
      </c>
      <c r="AP50" s="6" t="s">
        <v>766</v>
      </c>
      <c r="AQ50" s="6" t="s">
        <v>453</v>
      </c>
      <c r="AR50" s="6"/>
      <c r="AS50" s="6" t="s">
        <v>426</v>
      </c>
      <c r="AT50" s="6">
        <v>0.5</v>
      </c>
      <c r="AU50" s="6" t="s">
        <v>426</v>
      </c>
      <c r="AV50" s="6">
        <v>0.5</v>
      </c>
      <c r="AW50" s="6" t="s">
        <v>426</v>
      </c>
      <c r="AX50" s="6">
        <v>0.5</v>
      </c>
      <c r="AY50" s="6" t="s">
        <v>426</v>
      </c>
      <c r="AZ50" s="6">
        <v>1</v>
      </c>
      <c r="BA50" s="6" t="s">
        <v>426</v>
      </c>
      <c r="BB50" s="6">
        <v>0.08</v>
      </c>
      <c r="BC50" s="6" t="s">
        <v>426</v>
      </c>
      <c r="BD50" s="6">
        <v>0.1</v>
      </c>
      <c r="BE50" s="6" t="s">
        <v>426</v>
      </c>
      <c r="BF50" s="6">
        <v>1</v>
      </c>
      <c r="BG50" s="6" t="s">
        <v>426</v>
      </c>
      <c r="BH50" s="6">
        <v>0.08</v>
      </c>
      <c r="BI50" s="6" t="s">
        <v>426</v>
      </c>
      <c r="BJ50" s="6">
        <v>0.2</v>
      </c>
      <c r="BK50" s="6" t="s">
        <v>426</v>
      </c>
      <c r="BL50" s="6">
        <v>0.5</v>
      </c>
      <c r="BM50" s="6" t="s">
        <v>426</v>
      </c>
      <c r="BN50" s="6">
        <v>20</v>
      </c>
      <c r="BO50" s="6" t="s">
        <v>426</v>
      </c>
      <c r="BP50" s="6">
        <v>0.08</v>
      </c>
      <c r="BQ50" s="6" t="s">
        <v>426</v>
      </c>
      <c r="BR50" s="6">
        <v>50</v>
      </c>
      <c r="BS50" s="6" t="s">
        <v>426</v>
      </c>
      <c r="BT50" s="6">
        <v>2</v>
      </c>
      <c r="BU50" s="6" t="s">
        <v>426</v>
      </c>
      <c r="BV50" s="15">
        <v>0.2</v>
      </c>
      <c r="BW50" s="15" t="s">
        <v>518</v>
      </c>
      <c r="BX50" s="15" t="s">
        <v>429</v>
      </c>
      <c r="BY50" s="6" t="s">
        <v>430</v>
      </c>
      <c r="BZ50" s="6" t="s">
        <v>430</v>
      </c>
      <c r="CA50" s="6" t="s">
        <v>430</v>
      </c>
      <c r="CB50" s="6" t="s">
        <v>430</v>
      </c>
      <c r="CC50" s="6" t="s">
        <v>430</v>
      </c>
      <c r="CD50" s="6" t="s">
        <v>430</v>
      </c>
      <c r="CE50" s="6" t="s">
        <v>430</v>
      </c>
      <c r="CF50" s="6" t="s">
        <v>430</v>
      </c>
      <c r="CG50" s="6" t="s">
        <v>430</v>
      </c>
      <c r="CH50" s="6" t="s">
        <v>430</v>
      </c>
      <c r="CI50" s="6" t="s">
        <v>430</v>
      </c>
      <c r="CJ50" s="6" t="s">
        <v>430</v>
      </c>
      <c r="CK50" s="6" t="s">
        <v>430</v>
      </c>
      <c r="CL50" s="6" t="s">
        <v>430</v>
      </c>
      <c r="CM50" s="6" t="s">
        <v>430</v>
      </c>
      <c r="CN50" s="6" t="s">
        <v>430</v>
      </c>
      <c r="CO50" s="15" t="s">
        <v>430</v>
      </c>
      <c r="CP50" s="15" t="s">
        <v>432</v>
      </c>
      <c r="CQ50" s="6" t="s">
        <v>433</v>
      </c>
      <c r="CR50" s="15"/>
      <c r="CS50" s="6" t="s">
        <v>453</v>
      </c>
      <c r="CT50" s="6"/>
      <c r="CU50" s="6"/>
      <c r="CV50" s="6"/>
      <c r="CW50" s="6"/>
      <c r="CX50" s="15" t="s">
        <v>426</v>
      </c>
      <c r="CY50" s="6" t="s">
        <v>426</v>
      </c>
      <c r="CZ50" s="6" t="s">
        <v>1336</v>
      </c>
      <c r="DA50" s="6" t="s">
        <v>1337</v>
      </c>
      <c r="DB50" s="6" t="s">
        <v>1225</v>
      </c>
      <c r="DC50" s="6" t="s">
        <v>987</v>
      </c>
      <c r="DD50" s="15" t="s">
        <v>689</v>
      </c>
      <c r="DE50" s="15" t="s">
        <v>436</v>
      </c>
      <c r="DF50" s="6" t="s">
        <v>611</v>
      </c>
      <c r="DG50" s="6">
        <v>1</v>
      </c>
      <c r="DH50" s="6">
        <v>1</v>
      </c>
      <c r="DI50" s="6">
        <v>0</v>
      </c>
      <c r="DJ50" s="6">
        <v>0</v>
      </c>
      <c r="DK50" s="6">
        <v>0</v>
      </c>
      <c r="DL50" s="6">
        <v>0</v>
      </c>
      <c r="DM50" s="6"/>
      <c r="DN50" s="6"/>
      <c r="DO50" s="6"/>
      <c r="DP50" s="6"/>
      <c r="DQ50" s="6"/>
      <c r="DR50" s="6"/>
      <c r="DS50" s="6"/>
      <c r="DT50" s="66"/>
      <c r="DU50" s="6" t="s">
        <v>523</v>
      </c>
      <c r="DV50" s="6" t="s">
        <v>426</v>
      </c>
      <c r="DW50" s="6" t="s">
        <v>439</v>
      </c>
      <c r="DX50" s="6" t="s">
        <v>440</v>
      </c>
      <c r="DY50" s="6"/>
      <c r="DZ50" s="6" t="s">
        <v>1338</v>
      </c>
      <c r="EA50" s="6">
        <v>1</v>
      </c>
      <c r="EB50" s="6">
        <v>1</v>
      </c>
      <c r="EC50" s="6">
        <v>1</v>
      </c>
      <c r="ED50" s="6">
        <v>1</v>
      </c>
      <c r="EE50" s="6">
        <v>0</v>
      </c>
      <c r="EF50" s="6">
        <v>0</v>
      </c>
      <c r="EG50" s="6">
        <v>0</v>
      </c>
      <c r="EH50" s="6">
        <v>0</v>
      </c>
      <c r="EI50" s="6"/>
      <c r="EJ50" s="6" t="s">
        <v>1094</v>
      </c>
      <c r="EK50" s="6">
        <v>1</v>
      </c>
      <c r="EL50" s="6">
        <v>0</v>
      </c>
      <c r="EM50" s="6">
        <v>1</v>
      </c>
      <c r="EN50" s="6">
        <v>1</v>
      </c>
      <c r="EO50" s="6">
        <v>1</v>
      </c>
      <c r="EP50" s="6">
        <v>0</v>
      </c>
      <c r="EQ50" s="6">
        <v>0</v>
      </c>
      <c r="ER50" s="6">
        <v>0</v>
      </c>
      <c r="ES50" s="6">
        <v>0</v>
      </c>
      <c r="ET50" s="6"/>
      <c r="EU50" s="6" t="s">
        <v>443</v>
      </c>
      <c r="EV50" s="6" t="s">
        <v>554</v>
      </c>
      <c r="EW50" s="6"/>
      <c r="EX50" s="6" t="s">
        <v>770</v>
      </c>
      <c r="EY50" s="6">
        <v>1</v>
      </c>
      <c r="EZ50" s="6">
        <v>1</v>
      </c>
      <c r="FA50" s="6">
        <v>1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/>
      <c r="FH50" s="6" t="s">
        <v>1339</v>
      </c>
      <c r="FI50" s="6">
        <v>1</v>
      </c>
      <c r="FJ50" s="6">
        <v>0</v>
      </c>
      <c r="FK50" s="6">
        <v>1</v>
      </c>
      <c r="FL50" s="6">
        <v>1</v>
      </c>
      <c r="FM50" s="6">
        <v>1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/>
      <c r="FT50" s="6" t="s">
        <v>447</v>
      </c>
      <c r="FU50" s="6" t="s">
        <v>448</v>
      </c>
      <c r="FV50" s="6"/>
      <c r="FW50" s="6" t="s">
        <v>449</v>
      </c>
      <c r="FX50" s="15" t="s">
        <v>450</v>
      </c>
      <c r="FY50" s="6" t="s">
        <v>529</v>
      </c>
      <c r="FZ50" s="6"/>
      <c r="GA50" s="6" t="s">
        <v>450</v>
      </c>
      <c r="GB50" s="6" t="s">
        <v>501</v>
      </c>
      <c r="GC50" s="6" t="s">
        <v>453</v>
      </c>
      <c r="GD50" s="6"/>
      <c r="GE50" s="6" t="s">
        <v>454</v>
      </c>
      <c r="GF50" s="6" t="s">
        <v>1340</v>
      </c>
      <c r="GG50" s="6" t="s">
        <v>456</v>
      </c>
      <c r="GH50" s="15" t="s">
        <v>1341</v>
      </c>
      <c r="GI50" s="6" t="s">
        <v>458</v>
      </c>
      <c r="GJ50" s="6" t="s">
        <v>1342</v>
      </c>
      <c r="GK50" s="6" t="s">
        <v>460</v>
      </c>
      <c r="GL50" s="6" t="s">
        <v>1343</v>
      </c>
      <c r="GM50" s="6">
        <v>1</v>
      </c>
      <c r="GN50" s="6">
        <v>1</v>
      </c>
      <c r="GO50" s="6">
        <v>0</v>
      </c>
      <c r="GP50" s="6">
        <v>0</v>
      </c>
      <c r="GQ50" s="6">
        <v>0</v>
      </c>
      <c r="GR50" s="6">
        <v>1</v>
      </c>
      <c r="GS50" s="6">
        <v>0</v>
      </c>
      <c r="GT50" s="6"/>
      <c r="GU50" s="6" t="s">
        <v>534</v>
      </c>
      <c r="GV50" s="6" t="s">
        <v>595</v>
      </c>
      <c r="GW50" s="6" t="s">
        <v>1101</v>
      </c>
      <c r="GX50" s="6">
        <v>1</v>
      </c>
      <c r="GY50" s="6">
        <v>0</v>
      </c>
      <c r="GZ50" s="6">
        <v>0</v>
      </c>
      <c r="HA50" s="6">
        <v>0</v>
      </c>
      <c r="HB50" s="6">
        <v>0</v>
      </c>
      <c r="HC50" s="6">
        <v>1</v>
      </c>
      <c r="HD50" s="6" t="s">
        <v>1102</v>
      </c>
      <c r="HE50" s="6" t="s">
        <v>596</v>
      </c>
      <c r="HF50" s="6">
        <v>1</v>
      </c>
      <c r="HG50" s="6">
        <v>1</v>
      </c>
      <c r="HH50" s="6">
        <v>1</v>
      </c>
      <c r="HI50" s="6">
        <v>1</v>
      </c>
      <c r="HJ50" s="6">
        <v>0</v>
      </c>
      <c r="HK50" s="6">
        <v>0</v>
      </c>
      <c r="HL50" s="15"/>
      <c r="HM50" s="6" t="s">
        <v>505</v>
      </c>
      <c r="HN50" s="6"/>
      <c r="HO50" s="6" t="s">
        <v>1116</v>
      </c>
      <c r="HP50" s="6" t="s">
        <v>648</v>
      </c>
      <c r="HQ50" s="6"/>
      <c r="HR50" s="6" t="s">
        <v>1344</v>
      </c>
      <c r="HS50" s="6" t="s">
        <v>508</v>
      </c>
      <c r="HT50" s="6">
        <v>0</v>
      </c>
      <c r="HU50" s="6">
        <v>0</v>
      </c>
      <c r="HV50" s="6">
        <v>1</v>
      </c>
      <c r="HW50" s="6">
        <v>0</v>
      </c>
      <c r="HX50" s="6">
        <v>0</v>
      </c>
      <c r="HY50" s="6">
        <v>0</v>
      </c>
      <c r="HZ50" s="6"/>
      <c r="IA50" s="6" t="s">
        <v>1105</v>
      </c>
      <c r="IB50" s="6">
        <v>1</v>
      </c>
      <c r="IC50" s="6">
        <v>1</v>
      </c>
      <c r="ID50" s="6">
        <v>0</v>
      </c>
      <c r="IE50" s="6">
        <v>0</v>
      </c>
      <c r="IF50" s="6">
        <v>0</v>
      </c>
      <c r="IG50" s="6">
        <v>0</v>
      </c>
      <c r="IH50" s="15" t="s">
        <v>1345</v>
      </c>
      <c r="II50" s="6" t="s">
        <v>426</v>
      </c>
      <c r="IJ50" s="6" t="s">
        <v>472</v>
      </c>
      <c r="IK50" s="6">
        <v>1</v>
      </c>
      <c r="IL50" s="6">
        <v>0</v>
      </c>
      <c r="IM50" s="6">
        <v>0</v>
      </c>
      <c r="IN50" s="6"/>
      <c r="IO50" s="6" t="s">
        <v>473</v>
      </c>
      <c r="IP50" s="6">
        <v>1</v>
      </c>
      <c r="IQ50" s="6">
        <v>0</v>
      </c>
      <c r="IR50" s="6">
        <v>0</v>
      </c>
      <c r="IS50" s="6">
        <v>0</v>
      </c>
      <c r="IT50" s="6">
        <v>0</v>
      </c>
      <c r="IU50" s="6">
        <v>0</v>
      </c>
      <c r="IV50" s="6"/>
      <c r="IW50" s="6" t="s">
        <v>426</v>
      </c>
      <c r="IX50" s="6">
        <v>1</v>
      </c>
      <c r="IY50" s="6" t="s">
        <v>474</v>
      </c>
      <c r="IZ50" s="6" t="s">
        <v>475</v>
      </c>
      <c r="JA50" s="6" t="s">
        <v>426</v>
      </c>
      <c r="JB50" s="6" t="s">
        <v>651</v>
      </c>
      <c r="JC50" s="6"/>
      <c r="JD50" s="6"/>
      <c r="JE50" s="6"/>
      <c r="JF50" s="6"/>
      <c r="JG50" s="6"/>
      <c r="JH50" s="6"/>
      <c r="JI50" s="6"/>
      <c r="JJ50" s="6"/>
      <c r="JK50" s="6" t="s">
        <v>453</v>
      </c>
      <c r="JL50" s="6"/>
      <c r="JM50" s="6"/>
      <c r="JN50" s="6"/>
      <c r="JO50" s="6"/>
      <c r="JP50" s="6"/>
      <c r="JQ50" s="6"/>
      <c r="JR50" s="6"/>
      <c r="JS50" s="6"/>
      <c r="JT50" s="6"/>
      <c r="JU50" s="6" t="s">
        <v>511</v>
      </c>
      <c r="JV50" s="15"/>
      <c r="JW50" s="94" t="s">
        <v>1346</v>
      </c>
      <c r="JX50" s="6" t="s">
        <v>1347</v>
      </c>
      <c r="JY50" s="6">
        <v>0.8345389</v>
      </c>
      <c r="JZ50" s="6">
        <v>34.7482685</v>
      </c>
      <c r="KA50" s="6">
        <v>1714</v>
      </c>
      <c r="KB50" s="15">
        <v>5</v>
      </c>
      <c r="KC50" s="15"/>
    </row>
    <row r="51" spans="1:289">
      <c r="A51" s="6" t="s">
        <v>755</v>
      </c>
      <c r="B51" s="6" t="s">
        <v>420</v>
      </c>
      <c r="C51" s="6" t="s">
        <v>421</v>
      </c>
      <c r="D51" s="6" t="s">
        <v>1348</v>
      </c>
      <c r="E51" s="6" t="s">
        <v>1349</v>
      </c>
      <c r="F51" s="8" t="s">
        <v>423</v>
      </c>
      <c r="G51" s="6" t="s">
        <v>567</v>
      </c>
      <c r="H51" s="6" t="s">
        <v>517</v>
      </c>
      <c r="I51" s="15"/>
      <c r="J51" s="6" t="s">
        <v>426</v>
      </c>
      <c r="K51" s="6" t="s">
        <v>426</v>
      </c>
      <c r="L51" s="6" t="s">
        <v>426</v>
      </c>
      <c r="M51" s="6" t="s">
        <v>426</v>
      </c>
      <c r="N51" s="6" t="s">
        <v>426</v>
      </c>
      <c r="O51" s="6" t="s">
        <v>426</v>
      </c>
      <c r="P51" s="6" t="s">
        <v>426</v>
      </c>
      <c r="Q51" s="6" t="s">
        <v>426</v>
      </c>
      <c r="R51" s="6" t="s">
        <v>426</v>
      </c>
      <c r="S51" s="6" t="s">
        <v>426</v>
      </c>
      <c r="T51" s="6" t="s">
        <v>426</v>
      </c>
      <c r="U51" s="6" t="s">
        <v>426</v>
      </c>
      <c r="V51" s="6" t="s">
        <v>453</v>
      </c>
      <c r="W51" s="6" t="s">
        <v>453</v>
      </c>
      <c r="X51" s="6" t="s">
        <v>426</v>
      </c>
      <c r="Y51" s="6" t="s">
        <v>426</v>
      </c>
      <c r="Z51" s="6" t="s">
        <v>426</v>
      </c>
      <c r="AA51" s="6" t="s">
        <v>426</v>
      </c>
      <c r="AB51" s="6" t="s">
        <v>426</v>
      </c>
      <c r="AC51" s="15" t="s">
        <v>426</v>
      </c>
      <c r="AD51" s="6" t="s">
        <v>427</v>
      </c>
      <c r="AE51" s="6">
        <v>0</v>
      </c>
      <c r="AF51" s="6">
        <v>0</v>
      </c>
      <c r="AG51" s="6">
        <v>0</v>
      </c>
      <c r="AH51" s="6">
        <v>1</v>
      </c>
      <c r="AI51" s="6">
        <v>0</v>
      </c>
      <c r="AJ51" s="6">
        <v>0</v>
      </c>
      <c r="AK51" s="6">
        <v>0</v>
      </c>
      <c r="AL51" s="6">
        <v>0</v>
      </c>
      <c r="AM51" s="6"/>
      <c r="AN51" s="15"/>
      <c r="AO51" s="6" t="s">
        <v>426</v>
      </c>
      <c r="AP51" s="6" t="s">
        <v>809</v>
      </c>
      <c r="AQ51" s="6" t="s">
        <v>426</v>
      </c>
      <c r="AR51" s="6" t="s">
        <v>766</v>
      </c>
      <c r="AS51" s="6" t="s">
        <v>426</v>
      </c>
      <c r="AT51" s="6">
        <v>0.2</v>
      </c>
      <c r="AU51" s="6" t="s">
        <v>453</v>
      </c>
      <c r="AV51" s="6"/>
      <c r="AW51" s="6" t="s">
        <v>426</v>
      </c>
      <c r="AX51" s="6">
        <v>0.5</v>
      </c>
      <c r="AY51" s="6" t="s">
        <v>426</v>
      </c>
      <c r="AZ51" s="6">
        <v>5</v>
      </c>
      <c r="BA51" s="6" t="s">
        <v>453</v>
      </c>
      <c r="BB51" s="6"/>
      <c r="BC51" s="6" t="s">
        <v>426</v>
      </c>
      <c r="BD51" s="6">
        <v>0.2</v>
      </c>
      <c r="BE51" s="6" t="s">
        <v>453</v>
      </c>
      <c r="BF51" s="6"/>
      <c r="BG51" s="6" t="s">
        <v>426</v>
      </c>
      <c r="BH51" s="6">
        <v>0.5</v>
      </c>
      <c r="BI51" s="6" t="s">
        <v>426</v>
      </c>
      <c r="BJ51" s="6">
        <v>0.2</v>
      </c>
      <c r="BK51" s="6" t="s">
        <v>426</v>
      </c>
      <c r="BL51" s="6">
        <v>0.2</v>
      </c>
      <c r="BM51" s="6" t="s">
        <v>426</v>
      </c>
      <c r="BN51" s="6">
        <v>60</v>
      </c>
      <c r="BO51" s="6" t="s">
        <v>426</v>
      </c>
      <c r="BP51" s="6">
        <v>0.2</v>
      </c>
      <c r="BQ51" s="6" t="s">
        <v>426</v>
      </c>
      <c r="BR51" s="6">
        <v>100</v>
      </c>
      <c r="BS51" s="6" t="s">
        <v>453</v>
      </c>
      <c r="BT51" s="6"/>
      <c r="BU51" s="6" t="s">
        <v>426</v>
      </c>
      <c r="BV51" s="15">
        <v>0.2</v>
      </c>
      <c r="BW51" s="15" t="s">
        <v>428</v>
      </c>
      <c r="BX51" s="15" t="s">
        <v>429</v>
      </c>
      <c r="BY51" s="6" t="s">
        <v>430</v>
      </c>
      <c r="BZ51" s="6" t="s">
        <v>430</v>
      </c>
      <c r="CA51" s="6" t="s">
        <v>430</v>
      </c>
      <c r="CB51" s="6" t="s">
        <v>487</v>
      </c>
      <c r="CC51" s="6" t="s">
        <v>430</v>
      </c>
      <c r="CD51" s="6" t="s">
        <v>430</v>
      </c>
      <c r="CE51" s="6" t="s">
        <v>487</v>
      </c>
      <c r="CF51" s="6" t="s">
        <v>430</v>
      </c>
      <c r="CG51" s="6" t="s">
        <v>487</v>
      </c>
      <c r="CH51" s="6" t="s">
        <v>430</v>
      </c>
      <c r="CI51" s="6" t="s">
        <v>430</v>
      </c>
      <c r="CJ51" s="6" t="s">
        <v>430</v>
      </c>
      <c r="CK51" s="6" t="s">
        <v>430</v>
      </c>
      <c r="CL51" s="6" t="s">
        <v>430</v>
      </c>
      <c r="CM51" s="6" t="s">
        <v>430</v>
      </c>
      <c r="CN51" s="6" t="s">
        <v>430</v>
      </c>
      <c r="CO51" s="15" t="s">
        <v>430</v>
      </c>
      <c r="CP51" s="15" t="s">
        <v>432</v>
      </c>
      <c r="CQ51" s="6" t="s">
        <v>433</v>
      </c>
      <c r="CR51" s="15"/>
      <c r="CS51" s="6" t="s">
        <v>426</v>
      </c>
      <c r="CT51" s="6" t="s">
        <v>1350</v>
      </c>
      <c r="CU51" s="6" t="s">
        <v>766</v>
      </c>
      <c r="CV51" s="6" t="s">
        <v>1241</v>
      </c>
      <c r="CW51" s="6" t="s">
        <v>1351</v>
      </c>
      <c r="CX51" s="15" t="s">
        <v>426</v>
      </c>
      <c r="CY51" s="6" t="s">
        <v>426</v>
      </c>
      <c r="CZ51" s="6" t="s">
        <v>1352</v>
      </c>
      <c r="DA51" s="6" t="s">
        <v>826</v>
      </c>
      <c r="DB51" s="6" t="s">
        <v>683</v>
      </c>
      <c r="DC51" s="6" t="s">
        <v>1241</v>
      </c>
      <c r="DD51" s="15" t="s">
        <v>826</v>
      </c>
      <c r="DE51" s="15" t="s">
        <v>436</v>
      </c>
      <c r="DF51" s="6" t="s">
        <v>1353</v>
      </c>
      <c r="DG51" s="6">
        <v>1</v>
      </c>
      <c r="DH51" s="6">
        <v>1</v>
      </c>
      <c r="DI51" s="6">
        <v>1</v>
      </c>
      <c r="DJ51" s="6">
        <v>1</v>
      </c>
      <c r="DK51" s="6">
        <v>1</v>
      </c>
      <c r="DL51" s="6">
        <v>0</v>
      </c>
      <c r="DM51" s="6"/>
      <c r="DN51" s="6"/>
      <c r="DO51" s="6"/>
      <c r="DP51" s="6"/>
      <c r="DQ51" s="6"/>
      <c r="DR51" s="6"/>
      <c r="DS51" s="6"/>
      <c r="DT51" s="66"/>
      <c r="DU51" s="6" t="s">
        <v>438</v>
      </c>
      <c r="DV51" s="6" t="s">
        <v>426</v>
      </c>
      <c r="DW51" s="6" t="s">
        <v>439</v>
      </c>
      <c r="DX51" s="6" t="s">
        <v>440</v>
      </c>
      <c r="DY51" s="6"/>
      <c r="DZ51" s="6" t="s">
        <v>940</v>
      </c>
      <c r="EA51" s="6">
        <v>1</v>
      </c>
      <c r="EB51" s="6">
        <v>1</v>
      </c>
      <c r="EC51" s="6">
        <v>1</v>
      </c>
      <c r="ED51" s="6">
        <v>1</v>
      </c>
      <c r="EE51" s="6">
        <v>0</v>
      </c>
      <c r="EF51" s="6">
        <v>0</v>
      </c>
      <c r="EG51" s="6">
        <v>0</v>
      </c>
      <c r="EH51" s="6">
        <v>0</v>
      </c>
      <c r="EI51" s="6"/>
      <c r="EJ51" s="6" t="s">
        <v>1354</v>
      </c>
      <c r="EK51" s="6">
        <v>1</v>
      </c>
      <c r="EL51" s="6">
        <v>1</v>
      </c>
      <c r="EM51" s="6">
        <v>1</v>
      </c>
      <c r="EN51" s="6">
        <v>1</v>
      </c>
      <c r="EO51" s="6">
        <v>1</v>
      </c>
      <c r="EP51" s="6">
        <v>0</v>
      </c>
      <c r="EQ51" s="6">
        <v>1</v>
      </c>
      <c r="ER51" s="6">
        <v>0</v>
      </c>
      <c r="ES51" s="6">
        <v>0</v>
      </c>
      <c r="ET51" s="6"/>
      <c r="EU51" s="6" t="s">
        <v>443</v>
      </c>
      <c r="EV51" s="6" t="s">
        <v>444</v>
      </c>
      <c r="EW51" s="6"/>
      <c r="EX51" s="6" t="s">
        <v>1051</v>
      </c>
      <c r="EY51" s="6">
        <v>1</v>
      </c>
      <c r="EZ51" s="6">
        <v>1</v>
      </c>
      <c r="FA51" s="6">
        <v>1</v>
      </c>
      <c r="FB51" s="6">
        <v>1</v>
      </c>
      <c r="FC51" s="6">
        <v>1</v>
      </c>
      <c r="FD51" s="6">
        <v>0</v>
      </c>
      <c r="FE51" s="6">
        <v>0</v>
      </c>
      <c r="FF51" s="6">
        <v>0</v>
      </c>
      <c r="FG51" s="6"/>
      <c r="FH51" s="6" t="s">
        <v>812</v>
      </c>
      <c r="FI51" s="6">
        <v>1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/>
      <c r="FT51" s="6" t="s">
        <v>447</v>
      </c>
      <c r="FU51" s="6" t="s">
        <v>499</v>
      </c>
      <c r="FV51" s="6"/>
      <c r="FW51" s="6" t="s">
        <v>449</v>
      </c>
      <c r="FX51" s="15" t="s">
        <v>450</v>
      </c>
      <c r="FY51" s="6" t="s">
        <v>500</v>
      </c>
      <c r="FZ51" s="6"/>
      <c r="GA51" s="6" t="s">
        <v>450</v>
      </c>
      <c r="GB51" s="6" t="s">
        <v>501</v>
      </c>
      <c r="GC51" s="6" t="s">
        <v>426</v>
      </c>
      <c r="GD51" s="6" t="s">
        <v>1355</v>
      </c>
      <c r="GE51" s="6" t="s">
        <v>454</v>
      </c>
      <c r="GF51" s="6" t="s">
        <v>1356</v>
      </c>
      <c r="GG51" s="6" t="s">
        <v>456</v>
      </c>
      <c r="GH51" s="15" t="s">
        <v>1357</v>
      </c>
      <c r="GI51" s="6" t="s">
        <v>458</v>
      </c>
      <c r="GJ51" s="6" t="s">
        <v>1358</v>
      </c>
      <c r="GK51" s="6" t="s">
        <v>460</v>
      </c>
      <c r="GL51" s="6" t="s">
        <v>720</v>
      </c>
      <c r="GM51" s="6">
        <v>1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/>
      <c r="GU51" s="6" t="s">
        <v>534</v>
      </c>
      <c r="GV51" s="6" t="s">
        <v>595</v>
      </c>
      <c r="GW51" s="6" t="s">
        <v>464</v>
      </c>
      <c r="GX51" s="6">
        <v>1</v>
      </c>
      <c r="GY51" s="6">
        <v>0</v>
      </c>
      <c r="GZ51" s="6">
        <v>0</v>
      </c>
      <c r="HA51" s="6">
        <v>0</v>
      </c>
      <c r="HB51" s="6">
        <v>0</v>
      </c>
      <c r="HC51" s="6">
        <v>0</v>
      </c>
      <c r="HD51" s="6"/>
      <c r="HE51" s="6" t="s">
        <v>1328</v>
      </c>
      <c r="HF51" s="6">
        <v>1</v>
      </c>
      <c r="HG51" s="6">
        <v>1</v>
      </c>
      <c r="HH51" s="6">
        <v>1</v>
      </c>
      <c r="HI51" s="6">
        <v>1</v>
      </c>
      <c r="HJ51" s="6">
        <v>1</v>
      </c>
      <c r="HK51" s="6">
        <v>0</v>
      </c>
      <c r="HL51" s="15"/>
      <c r="HM51" s="6" t="s">
        <v>466</v>
      </c>
      <c r="HN51" s="6"/>
      <c r="HO51" s="6" t="s">
        <v>1359</v>
      </c>
      <c r="HP51" s="6" t="s">
        <v>561</v>
      </c>
      <c r="HQ51" s="6"/>
      <c r="HR51" s="6" t="s">
        <v>1360</v>
      </c>
      <c r="HS51" s="6" t="s">
        <v>1315</v>
      </c>
      <c r="HT51" s="6">
        <v>0</v>
      </c>
      <c r="HU51" s="6">
        <v>0</v>
      </c>
      <c r="HV51" s="6">
        <v>1</v>
      </c>
      <c r="HW51" s="6">
        <v>0</v>
      </c>
      <c r="HX51" s="6">
        <v>1</v>
      </c>
      <c r="HY51" s="6">
        <v>1</v>
      </c>
      <c r="HZ51" s="6"/>
      <c r="IA51" s="6" t="s">
        <v>111</v>
      </c>
      <c r="IB51" s="6">
        <v>1</v>
      </c>
      <c r="IC51" s="6">
        <v>0</v>
      </c>
      <c r="ID51" s="6">
        <v>0</v>
      </c>
      <c r="IE51" s="6">
        <v>0</v>
      </c>
      <c r="IF51" s="6">
        <v>0</v>
      </c>
      <c r="IG51" s="6">
        <v>0</v>
      </c>
      <c r="IH51" s="15" t="s">
        <v>1361</v>
      </c>
      <c r="II51" s="6" t="s">
        <v>426</v>
      </c>
      <c r="IJ51" s="6" t="s">
        <v>472</v>
      </c>
      <c r="IK51" s="6">
        <v>1</v>
      </c>
      <c r="IL51" s="6">
        <v>0</v>
      </c>
      <c r="IM51" s="6">
        <v>0</v>
      </c>
      <c r="IN51" s="6"/>
      <c r="IO51" s="6" t="s">
        <v>473</v>
      </c>
      <c r="IP51" s="6">
        <v>1</v>
      </c>
      <c r="IQ51" s="6">
        <v>0</v>
      </c>
      <c r="IR51" s="6">
        <v>0</v>
      </c>
      <c r="IS51" s="6">
        <v>0</v>
      </c>
      <c r="IT51" s="6">
        <v>0</v>
      </c>
      <c r="IU51" s="6">
        <v>0</v>
      </c>
      <c r="IV51" s="6"/>
      <c r="IW51" s="6" t="s">
        <v>426</v>
      </c>
      <c r="IX51" s="6">
        <v>1</v>
      </c>
      <c r="IY51" s="6" t="s">
        <v>474</v>
      </c>
      <c r="IZ51" s="6" t="s">
        <v>475</v>
      </c>
      <c r="JA51" s="6" t="s">
        <v>426</v>
      </c>
      <c r="JB51" s="6" t="s">
        <v>476</v>
      </c>
      <c r="JC51" s="6"/>
      <c r="JD51" s="6"/>
      <c r="JE51" s="6"/>
      <c r="JF51" s="6"/>
      <c r="JG51" s="6"/>
      <c r="JH51" s="6"/>
      <c r="JI51" s="6"/>
      <c r="JJ51" s="6"/>
      <c r="JK51" s="6" t="s">
        <v>426</v>
      </c>
      <c r="JL51" s="6" t="s">
        <v>453</v>
      </c>
      <c r="JM51" s="6" t="s">
        <v>1362</v>
      </c>
      <c r="JN51" s="6">
        <v>0</v>
      </c>
      <c r="JO51" s="6">
        <v>0</v>
      </c>
      <c r="JP51" s="6">
        <v>0</v>
      </c>
      <c r="JQ51" s="6">
        <v>0</v>
      </c>
      <c r="JR51" s="6">
        <v>0</v>
      </c>
      <c r="JS51" s="6">
        <v>1</v>
      </c>
      <c r="JT51" s="6" t="s">
        <v>1363</v>
      </c>
      <c r="JU51" s="6" t="s">
        <v>544</v>
      </c>
      <c r="JV51" s="15"/>
      <c r="JW51" s="94" t="s">
        <v>1364</v>
      </c>
      <c r="JX51" s="6" t="s">
        <v>1365</v>
      </c>
      <c r="JY51" s="6">
        <v>0.8471877</v>
      </c>
      <c r="JZ51" s="6">
        <v>34.735775</v>
      </c>
      <c r="KA51" s="6">
        <v>1920.327</v>
      </c>
      <c r="KB51" s="15">
        <v>1.828</v>
      </c>
      <c r="KC51" s="15"/>
    </row>
    <row r="52" spans="1:289">
      <c r="A52" s="6" t="s">
        <v>755</v>
      </c>
      <c r="B52" s="6" t="s">
        <v>420</v>
      </c>
      <c r="C52" s="6" t="s">
        <v>421</v>
      </c>
      <c r="D52" s="6" t="s">
        <v>1348</v>
      </c>
      <c r="E52" s="6" t="s">
        <v>1366</v>
      </c>
      <c r="F52" s="8" t="s">
        <v>423</v>
      </c>
      <c r="G52" s="6" t="s">
        <v>731</v>
      </c>
      <c r="H52" s="6" t="s">
        <v>517</v>
      </c>
      <c r="I52" s="15"/>
      <c r="J52" s="6" t="s">
        <v>426</v>
      </c>
      <c r="K52" s="6" t="s">
        <v>426</v>
      </c>
      <c r="L52" s="6" t="s">
        <v>426</v>
      </c>
      <c r="M52" s="6" t="s">
        <v>426</v>
      </c>
      <c r="N52" s="6" t="s">
        <v>426</v>
      </c>
      <c r="O52" s="6" t="s">
        <v>426</v>
      </c>
      <c r="P52" s="6" t="s">
        <v>426</v>
      </c>
      <c r="Q52" s="6" t="s">
        <v>426</v>
      </c>
      <c r="R52" s="6" t="s">
        <v>426</v>
      </c>
      <c r="S52" s="6" t="s">
        <v>426</v>
      </c>
      <c r="T52" s="6" t="s">
        <v>426</v>
      </c>
      <c r="U52" s="6" t="s">
        <v>426</v>
      </c>
      <c r="V52" s="6" t="s">
        <v>453</v>
      </c>
      <c r="W52" s="6" t="s">
        <v>426</v>
      </c>
      <c r="X52" s="6" t="s">
        <v>426</v>
      </c>
      <c r="Y52" s="6" t="s">
        <v>426</v>
      </c>
      <c r="Z52" s="6" t="s">
        <v>426</v>
      </c>
      <c r="AA52" s="6" t="s">
        <v>426</v>
      </c>
      <c r="AB52" s="6" t="s">
        <v>426</v>
      </c>
      <c r="AC52" s="15" t="s">
        <v>426</v>
      </c>
      <c r="AD52" s="6" t="s">
        <v>427</v>
      </c>
      <c r="AE52" s="6">
        <v>0</v>
      </c>
      <c r="AF52" s="6">
        <v>0</v>
      </c>
      <c r="AG52" s="6">
        <v>0</v>
      </c>
      <c r="AH52" s="6">
        <v>1</v>
      </c>
      <c r="AI52" s="6">
        <v>0</v>
      </c>
      <c r="AJ52" s="6">
        <v>0</v>
      </c>
      <c r="AK52" s="6">
        <v>0</v>
      </c>
      <c r="AL52" s="6">
        <v>0</v>
      </c>
      <c r="AM52" s="6"/>
      <c r="AN52" s="15"/>
      <c r="AO52" s="6" t="s">
        <v>426</v>
      </c>
      <c r="AP52" s="6" t="s">
        <v>1367</v>
      </c>
      <c r="AQ52" s="6" t="s">
        <v>426</v>
      </c>
      <c r="AR52" s="6" t="s">
        <v>766</v>
      </c>
      <c r="AS52" s="6" t="s">
        <v>426</v>
      </c>
      <c r="AT52" s="6">
        <v>0.2</v>
      </c>
      <c r="AU52" s="6" t="s">
        <v>453</v>
      </c>
      <c r="AV52" s="6"/>
      <c r="AW52" s="6" t="s">
        <v>426</v>
      </c>
      <c r="AX52" s="6">
        <v>0.2</v>
      </c>
      <c r="AY52" s="6" t="s">
        <v>426</v>
      </c>
      <c r="AZ52" s="6">
        <v>2</v>
      </c>
      <c r="BA52" s="6" t="s">
        <v>453</v>
      </c>
      <c r="BB52" s="6"/>
      <c r="BC52" s="6" t="s">
        <v>426</v>
      </c>
      <c r="BD52" s="6">
        <v>0.2</v>
      </c>
      <c r="BE52" s="6" t="s">
        <v>453</v>
      </c>
      <c r="BF52" s="6"/>
      <c r="BG52" s="6" t="s">
        <v>426</v>
      </c>
      <c r="BH52" s="6">
        <v>0.2</v>
      </c>
      <c r="BI52" s="6" t="s">
        <v>426</v>
      </c>
      <c r="BJ52" s="6">
        <v>0.2</v>
      </c>
      <c r="BK52" s="6" t="s">
        <v>426</v>
      </c>
      <c r="BL52" s="6">
        <v>0.2</v>
      </c>
      <c r="BM52" s="6" t="s">
        <v>426</v>
      </c>
      <c r="BN52" s="6">
        <v>64</v>
      </c>
      <c r="BO52" s="6" t="s">
        <v>426</v>
      </c>
      <c r="BP52" s="6">
        <v>0.2</v>
      </c>
      <c r="BQ52" s="6" t="s">
        <v>426</v>
      </c>
      <c r="BR52" s="6">
        <v>40</v>
      </c>
      <c r="BS52" s="6" t="s">
        <v>426</v>
      </c>
      <c r="BT52" s="6">
        <v>2</v>
      </c>
      <c r="BU52" s="6" t="s">
        <v>426</v>
      </c>
      <c r="BV52" s="15">
        <v>0.3</v>
      </c>
      <c r="BW52" s="15" t="s">
        <v>428</v>
      </c>
      <c r="BX52" s="15" t="s">
        <v>429</v>
      </c>
      <c r="BY52" s="6" t="s">
        <v>430</v>
      </c>
      <c r="BZ52" s="6" t="s">
        <v>430</v>
      </c>
      <c r="CA52" s="6" t="s">
        <v>430</v>
      </c>
      <c r="CB52" s="6" t="s">
        <v>487</v>
      </c>
      <c r="CC52" s="6" t="s">
        <v>430</v>
      </c>
      <c r="CD52" s="6" t="s">
        <v>430</v>
      </c>
      <c r="CE52" s="6" t="s">
        <v>487</v>
      </c>
      <c r="CF52" s="6" t="s">
        <v>430</v>
      </c>
      <c r="CG52" s="6" t="s">
        <v>487</v>
      </c>
      <c r="CH52" s="6" t="s">
        <v>430</v>
      </c>
      <c r="CI52" s="6" t="s">
        <v>430</v>
      </c>
      <c r="CJ52" s="6" t="s">
        <v>430</v>
      </c>
      <c r="CK52" s="6" t="s">
        <v>430</v>
      </c>
      <c r="CL52" s="6" t="s">
        <v>430</v>
      </c>
      <c r="CM52" s="6" t="s">
        <v>430</v>
      </c>
      <c r="CN52" s="6" t="s">
        <v>431</v>
      </c>
      <c r="CO52" s="15" t="s">
        <v>430</v>
      </c>
      <c r="CP52" s="15" t="s">
        <v>432</v>
      </c>
      <c r="CQ52" s="6" t="s">
        <v>433</v>
      </c>
      <c r="CR52" s="15"/>
      <c r="CS52" s="6" t="s">
        <v>426</v>
      </c>
      <c r="CT52" s="6" t="s">
        <v>1368</v>
      </c>
      <c r="CU52" s="6" t="s">
        <v>823</v>
      </c>
      <c r="CV52" s="6" t="s">
        <v>938</v>
      </c>
      <c r="CW52" s="6" t="s">
        <v>1137</v>
      </c>
      <c r="CX52" s="15" t="s">
        <v>426</v>
      </c>
      <c r="CY52" s="6" t="s">
        <v>426</v>
      </c>
      <c r="CZ52" s="6" t="s">
        <v>1369</v>
      </c>
      <c r="DA52" s="6" t="s">
        <v>1090</v>
      </c>
      <c r="DB52" s="6" t="s">
        <v>823</v>
      </c>
      <c r="DC52" s="6" t="s">
        <v>935</v>
      </c>
      <c r="DD52" s="15" t="s">
        <v>1090</v>
      </c>
      <c r="DE52" s="15" t="s">
        <v>436</v>
      </c>
      <c r="DF52" s="6" t="s">
        <v>437</v>
      </c>
      <c r="DG52" s="6">
        <v>1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/>
      <c r="DN52" s="6"/>
      <c r="DO52" s="6"/>
      <c r="DP52" s="6"/>
      <c r="DQ52" s="6"/>
      <c r="DR52" s="6"/>
      <c r="DS52" s="6"/>
      <c r="DT52" s="66"/>
      <c r="DU52" s="6" t="s">
        <v>438</v>
      </c>
      <c r="DV52" s="6" t="s">
        <v>426</v>
      </c>
      <c r="DW52" s="6" t="s">
        <v>439</v>
      </c>
      <c r="DX52" s="6" t="s">
        <v>440</v>
      </c>
      <c r="DY52" s="6"/>
      <c r="DZ52" s="6" t="s">
        <v>1370</v>
      </c>
      <c r="EA52" s="6">
        <v>1</v>
      </c>
      <c r="EB52" s="6">
        <v>1</v>
      </c>
      <c r="EC52" s="6">
        <v>1</v>
      </c>
      <c r="ED52" s="6">
        <v>0</v>
      </c>
      <c r="EE52" s="6">
        <v>1</v>
      </c>
      <c r="EF52" s="6">
        <v>1</v>
      </c>
      <c r="EG52" s="6">
        <v>0</v>
      </c>
      <c r="EH52" s="6">
        <v>0</v>
      </c>
      <c r="EI52" s="6"/>
      <c r="EJ52" s="6" t="s">
        <v>811</v>
      </c>
      <c r="EK52" s="6">
        <v>1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/>
      <c r="EU52" s="6" t="s">
        <v>443</v>
      </c>
      <c r="EV52" s="6" t="s">
        <v>444</v>
      </c>
      <c r="EW52" s="6"/>
      <c r="EX52" s="6" t="s">
        <v>526</v>
      </c>
      <c r="EY52" s="6">
        <v>1</v>
      </c>
      <c r="EZ52" s="6">
        <v>1</v>
      </c>
      <c r="FA52" s="6">
        <v>1</v>
      </c>
      <c r="FB52" s="6">
        <v>1</v>
      </c>
      <c r="FC52" s="6">
        <v>0</v>
      </c>
      <c r="FD52" s="6">
        <v>0</v>
      </c>
      <c r="FE52" s="6">
        <v>0</v>
      </c>
      <c r="FF52" s="6">
        <v>0</v>
      </c>
      <c r="FG52" s="6"/>
      <c r="FH52" s="6" t="s">
        <v>812</v>
      </c>
      <c r="FI52" s="6">
        <v>1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/>
      <c r="FT52" s="6" t="s">
        <v>447</v>
      </c>
      <c r="FU52" s="6" t="s">
        <v>499</v>
      </c>
      <c r="FV52" s="6"/>
      <c r="FW52" s="6" t="s">
        <v>449</v>
      </c>
      <c r="FX52" s="15" t="s">
        <v>450</v>
      </c>
      <c r="FY52" s="6" t="s">
        <v>451</v>
      </c>
      <c r="FZ52" s="6"/>
      <c r="GA52" s="6" t="s">
        <v>450</v>
      </c>
      <c r="GB52" s="6" t="s">
        <v>501</v>
      </c>
      <c r="GC52" s="6" t="s">
        <v>426</v>
      </c>
      <c r="GD52" s="6" t="s">
        <v>1371</v>
      </c>
      <c r="GE52" s="6" t="s">
        <v>454</v>
      </c>
      <c r="GF52" s="6" t="s">
        <v>1372</v>
      </c>
      <c r="GG52" s="6" t="s">
        <v>456</v>
      </c>
      <c r="GH52" s="15" t="s">
        <v>1373</v>
      </c>
      <c r="GI52" s="6" t="s">
        <v>458</v>
      </c>
      <c r="GJ52" s="6" t="s">
        <v>1374</v>
      </c>
      <c r="GK52" s="6" t="s">
        <v>460</v>
      </c>
      <c r="GL52" s="6" t="s">
        <v>461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1</v>
      </c>
      <c r="GS52" s="6">
        <v>0</v>
      </c>
      <c r="GT52" s="6"/>
      <c r="GU52" s="6" t="s">
        <v>534</v>
      </c>
      <c r="GV52" s="6" t="s">
        <v>595</v>
      </c>
      <c r="GW52" s="6" t="s">
        <v>464</v>
      </c>
      <c r="GX52" s="6">
        <v>1</v>
      </c>
      <c r="GY52" s="6">
        <v>0</v>
      </c>
      <c r="GZ52" s="6">
        <v>0</v>
      </c>
      <c r="HA52" s="6">
        <v>0</v>
      </c>
      <c r="HB52" s="6">
        <v>0</v>
      </c>
      <c r="HC52" s="6">
        <v>0</v>
      </c>
      <c r="HD52" s="6"/>
      <c r="HE52" s="6" t="s">
        <v>1328</v>
      </c>
      <c r="HF52" s="6">
        <v>1</v>
      </c>
      <c r="HG52" s="6">
        <v>1</v>
      </c>
      <c r="HH52" s="6">
        <v>1</v>
      </c>
      <c r="HI52" s="6">
        <v>1</v>
      </c>
      <c r="HJ52" s="6">
        <v>1</v>
      </c>
      <c r="HK52" s="6">
        <v>0</v>
      </c>
      <c r="HL52" s="15"/>
      <c r="HM52" s="6" t="s">
        <v>505</v>
      </c>
      <c r="HN52" s="6"/>
      <c r="HO52" s="6" t="s">
        <v>858</v>
      </c>
      <c r="HP52" s="6" t="s">
        <v>561</v>
      </c>
      <c r="HQ52" s="6"/>
      <c r="HR52" s="6" t="s">
        <v>853</v>
      </c>
      <c r="HS52" s="6" t="s">
        <v>508</v>
      </c>
      <c r="HT52" s="6">
        <v>0</v>
      </c>
      <c r="HU52" s="6">
        <v>0</v>
      </c>
      <c r="HV52" s="6">
        <v>1</v>
      </c>
      <c r="HW52" s="6">
        <v>0</v>
      </c>
      <c r="HX52" s="6">
        <v>0</v>
      </c>
      <c r="HY52" s="6">
        <v>0</v>
      </c>
      <c r="HZ52" s="6"/>
      <c r="IA52" s="6" t="s">
        <v>798</v>
      </c>
      <c r="IB52" s="6">
        <v>1</v>
      </c>
      <c r="IC52" s="6">
        <v>1</v>
      </c>
      <c r="ID52" s="6">
        <v>1</v>
      </c>
      <c r="IE52" s="6">
        <v>1</v>
      </c>
      <c r="IF52" s="6">
        <v>1</v>
      </c>
      <c r="IG52" s="6">
        <v>0</v>
      </c>
      <c r="IH52" s="15" t="s">
        <v>1375</v>
      </c>
      <c r="II52" s="6" t="s">
        <v>426</v>
      </c>
      <c r="IJ52" s="6" t="s">
        <v>472</v>
      </c>
      <c r="IK52" s="6">
        <v>1</v>
      </c>
      <c r="IL52" s="6">
        <v>0</v>
      </c>
      <c r="IM52" s="6">
        <v>0</v>
      </c>
      <c r="IN52" s="6"/>
      <c r="IO52" s="6" t="s">
        <v>473</v>
      </c>
      <c r="IP52" s="6">
        <v>1</v>
      </c>
      <c r="IQ52" s="6">
        <v>0</v>
      </c>
      <c r="IR52" s="6">
        <v>0</v>
      </c>
      <c r="IS52" s="6">
        <v>0</v>
      </c>
      <c r="IT52" s="6">
        <v>0</v>
      </c>
      <c r="IU52" s="6">
        <v>0</v>
      </c>
      <c r="IV52" s="6"/>
      <c r="IW52" s="6" t="s">
        <v>453</v>
      </c>
      <c r="IX52" s="6"/>
      <c r="IY52" s="6" t="s">
        <v>510</v>
      </c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 t="s">
        <v>426</v>
      </c>
      <c r="JK52" s="6" t="s">
        <v>453</v>
      </c>
      <c r="JL52" s="6"/>
      <c r="JM52" s="6"/>
      <c r="JN52" s="6"/>
      <c r="JO52" s="6"/>
      <c r="JP52" s="6"/>
      <c r="JQ52" s="6"/>
      <c r="JR52" s="6"/>
      <c r="JS52" s="6"/>
      <c r="JT52" s="6"/>
      <c r="JU52" s="6" t="s">
        <v>544</v>
      </c>
      <c r="JV52" s="15"/>
      <c r="JW52" s="94" t="s">
        <v>1376</v>
      </c>
      <c r="JX52" s="6" t="s">
        <v>1377</v>
      </c>
      <c r="JY52" s="6">
        <v>0.8473498</v>
      </c>
      <c r="JZ52" s="6">
        <v>34.7356606</v>
      </c>
      <c r="KA52" s="6">
        <v>1879.764</v>
      </c>
      <c r="KB52" s="15">
        <v>2.41</v>
      </c>
      <c r="KC52" s="15"/>
    </row>
    <row r="53" spans="1:289">
      <c r="A53" s="6" t="s">
        <v>514</v>
      </c>
      <c r="B53" s="6" t="s">
        <v>420</v>
      </c>
      <c r="C53" s="6" t="s">
        <v>421</v>
      </c>
      <c r="D53" s="6" t="s">
        <v>899</v>
      </c>
      <c r="E53" s="6" t="s">
        <v>1378</v>
      </c>
      <c r="F53" s="8" t="s">
        <v>423</v>
      </c>
      <c r="G53" s="6" t="s">
        <v>484</v>
      </c>
      <c r="H53" s="6" t="s">
        <v>517</v>
      </c>
      <c r="I53" s="15"/>
      <c r="J53" s="6" t="s">
        <v>426</v>
      </c>
      <c r="K53" s="6" t="s">
        <v>426</v>
      </c>
      <c r="L53" s="6" t="s">
        <v>426</v>
      </c>
      <c r="M53" s="6" t="s">
        <v>426</v>
      </c>
      <c r="N53" s="6" t="s">
        <v>426</v>
      </c>
      <c r="O53" s="6" t="s">
        <v>426</v>
      </c>
      <c r="P53" s="6" t="s">
        <v>426</v>
      </c>
      <c r="Q53" s="6" t="s">
        <v>426</v>
      </c>
      <c r="R53" s="6" t="s">
        <v>426</v>
      </c>
      <c r="S53" s="6" t="s">
        <v>426</v>
      </c>
      <c r="T53" s="6" t="s">
        <v>426</v>
      </c>
      <c r="U53" s="6" t="s">
        <v>426</v>
      </c>
      <c r="V53" s="6" t="s">
        <v>453</v>
      </c>
      <c r="W53" s="6" t="s">
        <v>453</v>
      </c>
      <c r="X53" s="6" t="s">
        <v>426</v>
      </c>
      <c r="Y53" s="6" t="s">
        <v>426</v>
      </c>
      <c r="Z53" s="6" t="s">
        <v>426</v>
      </c>
      <c r="AA53" s="6" t="s">
        <v>426</v>
      </c>
      <c r="AB53" s="6" t="s">
        <v>426</v>
      </c>
      <c r="AC53" s="15" t="s">
        <v>426</v>
      </c>
      <c r="AD53" s="6" t="s">
        <v>427</v>
      </c>
      <c r="AE53" s="6">
        <v>0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/>
      <c r="AN53" s="15"/>
      <c r="AO53" s="6" t="s">
        <v>426</v>
      </c>
      <c r="AP53" s="6" t="s">
        <v>823</v>
      </c>
      <c r="AQ53" s="6" t="s">
        <v>426</v>
      </c>
      <c r="AR53" s="6" t="s">
        <v>805</v>
      </c>
      <c r="AS53" s="6" t="s">
        <v>426</v>
      </c>
      <c r="AT53" s="6">
        <v>0.5</v>
      </c>
      <c r="AU53" s="6" t="s">
        <v>426</v>
      </c>
      <c r="AV53" s="6">
        <v>0.75</v>
      </c>
      <c r="AW53" s="6" t="s">
        <v>426</v>
      </c>
      <c r="AX53" s="6">
        <v>0.25</v>
      </c>
      <c r="AY53" s="6" t="s">
        <v>426</v>
      </c>
      <c r="AZ53" s="6">
        <v>1</v>
      </c>
      <c r="BA53" s="6" t="s">
        <v>453</v>
      </c>
      <c r="BB53" s="6"/>
      <c r="BC53" s="6" t="s">
        <v>426</v>
      </c>
      <c r="BD53" s="6">
        <v>0.2</v>
      </c>
      <c r="BE53" s="6" t="s">
        <v>426</v>
      </c>
      <c r="BF53" s="6">
        <v>4</v>
      </c>
      <c r="BG53" s="6" t="s">
        <v>426</v>
      </c>
      <c r="BH53" s="6">
        <v>0.25</v>
      </c>
      <c r="BI53" s="6" t="s">
        <v>426</v>
      </c>
      <c r="BJ53" s="6">
        <v>0.25</v>
      </c>
      <c r="BK53" s="6" t="s">
        <v>426</v>
      </c>
      <c r="BL53" s="6">
        <v>0.5</v>
      </c>
      <c r="BM53" s="6" t="s">
        <v>426</v>
      </c>
      <c r="BN53" s="6">
        <v>4</v>
      </c>
      <c r="BO53" s="6" t="s">
        <v>426</v>
      </c>
      <c r="BP53" s="6">
        <v>1</v>
      </c>
      <c r="BQ53" s="6" t="s">
        <v>426</v>
      </c>
      <c r="BR53" s="6">
        <v>50</v>
      </c>
      <c r="BS53" s="6" t="s">
        <v>426</v>
      </c>
      <c r="BT53" s="6">
        <v>4</v>
      </c>
      <c r="BU53" s="6" t="s">
        <v>426</v>
      </c>
      <c r="BV53" s="15">
        <v>0.75</v>
      </c>
      <c r="BW53" s="15" t="s">
        <v>518</v>
      </c>
      <c r="BX53" s="15" t="s">
        <v>429</v>
      </c>
      <c r="BY53" s="6" t="s">
        <v>430</v>
      </c>
      <c r="BZ53" s="6" t="s">
        <v>430</v>
      </c>
      <c r="CA53" s="6" t="s">
        <v>430</v>
      </c>
      <c r="CB53" s="6" t="s">
        <v>430</v>
      </c>
      <c r="CC53" s="6" t="s">
        <v>430</v>
      </c>
      <c r="CD53" s="6" t="s">
        <v>430</v>
      </c>
      <c r="CE53" s="6" t="s">
        <v>430</v>
      </c>
      <c r="CF53" s="6" t="s">
        <v>430</v>
      </c>
      <c r="CG53" s="6" t="s">
        <v>430</v>
      </c>
      <c r="CH53" s="6" t="s">
        <v>430</v>
      </c>
      <c r="CI53" s="6" t="s">
        <v>430</v>
      </c>
      <c r="CJ53" s="6" t="s">
        <v>430</v>
      </c>
      <c r="CK53" s="6" t="s">
        <v>430</v>
      </c>
      <c r="CL53" s="6" t="s">
        <v>430</v>
      </c>
      <c r="CM53" s="6" t="s">
        <v>430</v>
      </c>
      <c r="CN53" s="6" t="s">
        <v>430</v>
      </c>
      <c r="CO53" s="15" t="s">
        <v>430</v>
      </c>
      <c r="CP53" s="15" t="s">
        <v>432</v>
      </c>
      <c r="CQ53" s="6" t="s">
        <v>433</v>
      </c>
      <c r="CR53" s="15"/>
      <c r="CS53" s="6" t="s">
        <v>426</v>
      </c>
      <c r="CT53" s="6" t="s">
        <v>1379</v>
      </c>
      <c r="CU53" s="6" t="s">
        <v>737</v>
      </c>
      <c r="CV53" s="6" t="s">
        <v>1380</v>
      </c>
      <c r="CW53" s="6" t="s">
        <v>1137</v>
      </c>
      <c r="CX53" s="15" t="s">
        <v>426</v>
      </c>
      <c r="CY53" s="6" t="s">
        <v>426</v>
      </c>
      <c r="CZ53" s="6" t="s">
        <v>1381</v>
      </c>
      <c r="DA53" s="6" t="s">
        <v>1090</v>
      </c>
      <c r="DB53" s="6" t="s">
        <v>845</v>
      </c>
      <c r="DC53" s="6" t="s">
        <v>789</v>
      </c>
      <c r="DD53" s="15" t="s">
        <v>1322</v>
      </c>
      <c r="DE53" s="15" t="s">
        <v>436</v>
      </c>
      <c r="DF53" s="6" t="s">
        <v>437</v>
      </c>
      <c r="DG53" s="6">
        <v>1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/>
      <c r="DN53" s="6"/>
      <c r="DO53" s="6"/>
      <c r="DP53" s="6"/>
      <c r="DQ53" s="6"/>
      <c r="DR53" s="6"/>
      <c r="DS53" s="6"/>
      <c r="DT53" s="66"/>
      <c r="DU53" s="6" t="s">
        <v>438</v>
      </c>
      <c r="DV53" s="6" t="s">
        <v>426</v>
      </c>
      <c r="DW53" s="6" t="s">
        <v>439</v>
      </c>
      <c r="DX53" s="6" t="s">
        <v>440</v>
      </c>
      <c r="DY53" s="6"/>
      <c r="DZ53" s="6" t="s">
        <v>441</v>
      </c>
      <c r="EA53" s="6">
        <v>1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/>
      <c r="EJ53" s="6" t="s">
        <v>1382</v>
      </c>
      <c r="EK53" s="6">
        <v>1</v>
      </c>
      <c r="EL53" s="6">
        <v>0</v>
      </c>
      <c r="EM53" s="6">
        <v>0</v>
      </c>
      <c r="EN53" s="6">
        <v>1</v>
      </c>
      <c r="EO53" s="6">
        <v>1</v>
      </c>
      <c r="EP53" s="6">
        <v>0</v>
      </c>
      <c r="EQ53" s="6">
        <v>0</v>
      </c>
      <c r="ER53" s="6">
        <v>0</v>
      </c>
      <c r="ES53" s="6">
        <v>0</v>
      </c>
      <c r="ET53" s="6"/>
      <c r="EU53" s="6" t="s">
        <v>443</v>
      </c>
      <c r="EV53" s="6" t="s">
        <v>444</v>
      </c>
      <c r="EW53" s="6"/>
      <c r="EX53" s="6" t="s">
        <v>1123</v>
      </c>
      <c r="EY53" s="6">
        <v>1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/>
      <c r="FH53" s="6" t="s">
        <v>812</v>
      </c>
      <c r="FI53" s="6">
        <v>1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/>
      <c r="FT53" s="6" t="s">
        <v>556</v>
      </c>
      <c r="FU53" s="6" t="s">
        <v>499</v>
      </c>
      <c r="FV53" s="6"/>
      <c r="FW53" s="6" t="s">
        <v>449</v>
      </c>
      <c r="FX53" s="15" t="s">
        <v>450</v>
      </c>
      <c r="FY53" s="6" t="s">
        <v>529</v>
      </c>
      <c r="FZ53" s="6"/>
      <c r="GA53" s="6" t="s">
        <v>450</v>
      </c>
      <c r="GB53" s="6" t="s">
        <v>501</v>
      </c>
      <c r="GC53" s="6" t="s">
        <v>453</v>
      </c>
      <c r="GD53" s="6"/>
      <c r="GE53" s="6" t="s">
        <v>454</v>
      </c>
      <c r="GF53" s="6" t="s">
        <v>1383</v>
      </c>
      <c r="GG53" s="6" t="s">
        <v>456</v>
      </c>
      <c r="GH53" s="15" t="s">
        <v>1384</v>
      </c>
      <c r="GI53" s="6" t="s">
        <v>458</v>
      </c>
      <c r="GJ53" s="6" t="s">
        <v>1385</v>
      </c>
      <c r="GK53" s="6" t="s">
        <v>460</v>
      </c>
      <c r="GL53" s="6" t="s">
        <v>461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1</v>
      </c>
      <c r="GS53" s="6">
        <v>0</v>
      </c>
      <c r="GT53" s="6"/>
      <c r="GU53" s="6" t="s">
        <v>534</v>
      </c>
      <c r="GV53" s="6" t="s">
        <v>595</v>
      </c>
      <c r="GW53" s="6" t="s">
        <v>464</v>
      </c>
      <c r="GX53" s="6">
        <v>1</v>
      </c>
      <c r="GY53" s="6">
        <v>0</v>
      </c>
      <c r="GZ53" s="6">
        <v>0</v>
      </c>
      <c r="HA53" s="6">
        <v>0</v>
      </c>
      <c r="HB53" s="6">
        <v>0</v>
      </c>
      <c r="HC53" s="6">
        <v>0</v>
      </c>
      <c r="HD53" s="6"/>
      <c r="HE53" s="6" t="s">
        <v>535</v>
      </c>
      <c r="HF53" s="6">
        <v>1</v>
      </c>
      <c r="HG53" s="6">
        <v>0</v>
      </c>
      <c r="HH53" s="6">
        <v>0</v>
      </c>
      <c r="HI53" s="6">
        <v>0</v>
      </c>
      <c r="HJ53" s="6">
        <v>0</v>
      </c>
      <c r="HK53" s="6">
        <v>0</v>
      </c>
      <c r="HL53" s="15"/>
      <c r="HM53" s="6" t="s">
        <v>466</v>
      </c>
      <c r="HN53" s="6"/>
      <c r="HO53" s="6" t="s">
        <v>1386</v>
      </c>
      <c r="HP53" s="6" t="s">
        <v>561</v>
      </c>
      <c r="HQ53" s="6"/>
      <c r="HR53" s="6" t="s">
        <v>1201</v>
      </c>
      <c r="HS53" s="6" t="s">
        <v>540</v>
      </c>
      <c r="HT53" s="6">
        <v>1</v>
      </c>
      <c r="HU53" s="6">
        <v>0</v>
      </c>
      <c r="HV53" s="6">
        <v>0</v>
      </c>
      <c r="HW53" s="6">
        <v>0</v>
      </c>
      <c r="HX53" s="6">
        <v>0</v>
      </c>
      <c r="HY53" s="6">
        <v>0</v>
      </c>
      <c r="HZ53" s="6"/>
      <c r="IA53" s="6" t="s">
        <v>112</v>
      </c>
      <c r="IB53" s="6">
        <v>0</v>
      </c>
      <c r="IC53" s="6">
        <v>1</v>
      </c>
      <c r="ID53" s="6">
        <v>0</v>
      </c>
      <c r="IE53" s="6">
        <v>0</v>
      </c>
      <c r="IF53" s="6">
        <v>0</v>
      </c>
      <c r="IG53" s="6">
        <v>0</v>
      </c>
      <c r="IH53" s="15" t="s">
        <v>1387</v>
      </c>
      <c r="II53" s="6" t="s">
        <v>426</v>
      </c>
      <c r="IJ53" s="6" t="s">
        <v>1266</v>
      </c>
      <c r="IK53" s="6">
        <v>1</v>
      </c>
      <c r="IL53" s="6">
        <v>1</v>
      </c>
      <c r="IM53" s="6">
        <v>0</v>
      </c>
      <c r="IN53" s="6"/>
      <c r="IO53" s="6" t="s">
        <v>473</v>
      </c>
      <c r="IP53" s="6">
        <v>1</v>
      </c>
      <c r="IQ53" s="6">
        <v>0</v>
      </c>
      <c r="IR53" s="6">
        <v>0</v>
      </c>
      <c r="IS53" s="6">
        <v>0</v>
      </c>
      <c r="IT53" s="6">
        <v>0</v>
      </c>
      <c r="IU53" s="6">
        <v>0</v>
      </c>
      <c r="IV53" s="6"/>
      <c r="IW53" s="6" t="s">
        <v>426</v>
      </c>
      <c r="IX53" s="6">
        <v>1</v>
      </c>
      <c r="IY53" s="6" t="s">
        <v>474</v>
      </c>
      <c r="IZ53" s="6" t="s">
        <v>475</v>
      </c>
      <c r="JA53" s="6" t="s">
        <v>426</v>
      </c>
      <c r="JB53" s="6" t="s">
        <v>476</v>
      </c>
      <c r="JC53" s="6"/>
      <c r="JD53" s="6"/>
      <c r="JE53" s="6"/>
      <c r="JF53" s="6"/>
      <c r="JG53" s="6"/>
      <c r="JH53" s="6"/>
      <c r="JI53" s="6"/>
      <c r="JJ53" s="6"/>
      <c r="JK53" s="6" t="s">
        <v>426</v>
      </c>
      <c r="JL53" s="6" t="s">
        <v>426</v>
      </c>
      <c r="JM53" s="6"/>
      <c r="JN53" s="6"/>
      <c r="JO53" s="6"/>
      <c r="JP53" s="6"/>
      <c r="JQ53" s="6"/>
      <c r="JR53" s="6"/>
      <c r="JS53" s="6"/>
      <c r="JT53" s="6"/>
      <c r="JU53" s="6" t="s">
        <v>895</v>
      </c>
      <c r="JV53" s="15" t="s">
        <v>1388</v>
      </c>
      <c r="JW53" s="94" t="s">
        <v>1389</v>
      </c>
      <c r="JX53" s="6" t="s">
        <v>1390</v>
      </c>
      <c r="JY53" s="6">
        <v>0.8775533</v>
      </c>
      <c r="JZ53" s="6">
        <v>34.7884717</v>
      </c>
      <c r="KA53" s="6">
        <v>7786.858</v>
      </c>
      <c r="KB53" s="15">
        <v>3.732</v>
      </c>
      <c r="KC53" s="15"/>
    </row>
    <row r="54" spans="1:289">
      <c r="A54" s="6" t="s">
        <v>1301</v>
      </c>
      <c r="B54" s="6" t="s">
        <v>420</v>
      </c>
      <c r="C54" s="6" t="s">
        <v>421</v>
      </c>
      <c r="D54" s="6" t="s">
        <v>899</v>
      </c>
      <c r="E54" s="6" t="s">
        <v>1391</v>
      </c>
      <c r="F54" s="8" t="s">
        <v>483</v>
      </c>
      <c r="G54" s="6" t="s">
        <v>567</v>
      </c>
      <c r="H54" s="6" t="s">
        <v>517</v>
      </c>
      <c r="I54" s="15"/>
      <c r="J54" s="6" t="s">
        <v>426</v>
      </c>
      <c r="K54" s="6" t="s">
        <v>426</v>
      </c>
      <c r="L54" s="6" t="s">
        <v>426</v>
      </c>
      <c r="M54" s="6" t="s">
        <v>426</v>
      </c>
      <c r="N54" s="6" t="s">
        <v>426</v>
      </c>
      <c r="O54" s="6" t="s">
        <v>426</v>
      </c>
      <c r="P54" s="6" t="s">
        <v>426</v>
      </c>
      <c r="Q54" s="6" t="s">
        <v>426</v>
      </c>
      <c r="R54" s="6" t="s">
        <v>426</v>
      </c>
      <c r="S54" s="6" t="s">
        <v>426</v>
      </c>
      <c r="T54" s="6" t="s">
        <v>426</v>
      </c>
      <c r="U54" s="6" t="s">
        <v>426</v>
      </c>
      <c r="V54" s="6" t="s">
        <v>426</v>
      </c>
      <c r="W54" s="6" t="s">
        <v>426</v>
      </c>
      <c r="X54" s="6" t="s">
        <v>426</v>
      </c>
      <c r="Y54" s="6" t="s">
        <v>426</v>
      </c>
      <c r="Z54" s="6" t="s">
        <v>426</v>
      </c>
      <c r="AA54" s="6" t="s">
        <v>426</v>
      </c>
      <c r="AB54" s="6" t="s">
        <v>426</v>
      </c>
      <c r="AC54" s="15" t="s">
        <v>426</v>
      </c>
      <c r="AD54" s="6" t="s">
        <v>427</v>
      </c>
      <c r="AE54" s="6">
        <v>0</v>
      </c>
      <c r="AF54" s="6">
        <v>0</v>
      </c>
      <c r="AG54" s="6">
        <v>0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/>
      <c r="AN54" s="15"/>
      <c r="AO54" s="6" t="s">
        <v>426</v>
      </c>
      <c r="AP54" s="6" t="s">
        <v>683</v>
      </c>
      <c r="AQ54" s="6" t="s">
        <v>426</v>
      </c>
      <c r="AR54" s="6" t="s">
        <v>683</v>
      </c>
      <c r="AS54" s="6" t="s">
        <v>426</v>
      </c>
      <c r="AT54" s="6">
        <v>0.75</v>
      </c>
      <c r="AU54" s="6" t="s">
        <v>426</v>
      </c>
      <c r="AV54" s="6">
        <v>0.5</v>
      </c>
      <c r="AW54" s="6" t="s">
        <v>426</v>
      </c>
      <c r="AX54" s="6">
        <v>0.25</v>
      </c>
      <c r="AY54" s="6" t="s">
        <v>426</v>
      </c>
      <c r="AZ54" s="6">
        <v>1</v>
      </c>
      <c r="BA54" s="6" t="s">
        <v>426</v>
      </c>
      <c r="BB54" s="6">
        <v>0.25</v>
      </c>
      <c r="BC54" s="6" t="s">
        <v>426</v>
      </c>
      <c r="BD54" s="6">
        <v>0.25</v>
      </c>
      <c r="BE54" s="6" t="s">
        <v>426</v>
      </c>
      <c r="BF54" s="6">
        <v>1</v>
      </c>
      <c r="BG54" s="6" t="s">
        <v>426</v>
      </c>
      <c r="BH54" s="6">
        <v>0.25</v>
      </c>
      <c r="BI54" s="6" t="s">
        <v>426</v>
      </c>
      <c r="BJ54" s="6">
        <v>0.5</v>
      </c>
      <c r="BK54" s="6" t="s">
        <v>426</v>
      </c>
      <c r="BL54" s="6">
        <v>0.5</v>
      </c>
      <c r="BM54" s="6" t="s">
        <v>426</v>
      </c>
      <c r="BN54" s="6">
        <v>200</v>
      </c>
      <c r="BO54" s="6" t="s">
        <v>426</v>
      </c>
      <c r="BP54" s="6">
        <v>0.25</v>
      </c>
      <c r="BQ54" s="6" t="s">
        <v>426</v>
      </c>
      <c r="BR54" s="6">
        <v>100</v>
      </c>
      <c r="BS54" s="6" t="s">
        <v>426</v>
      </c>
      <c r="BT54" s="6">
        <v>100</v>
      </c>
      <c r="BU54" s="6" t="s">
        <v>426</v>
      </c>
      <c r="BV54" s="15">
        <v>0.5</v>
      </c>
      <c r="BW54" s="15" t="s">
        <v>880</v>
      </c>
      <c r="BX54" s="15" t="s">
        <v>786</v>
      </c>
      <c r="BY54" s="6" t="s">
        <v>430</v>
      </c>
      <c r="BZ54" s="6" t="s">
        <v>430</v>
      </c>
      <c r="CA54" s="6" t="s">
        <v>430</v>
      </c>
      <c r="CB54" s="6" t="s">
        <v>430</v>
      </c>
      <c r="CC54" s="6" t="s">
        <v>430</v>
      </c>
      <c r="CD54" s="6" t="s">
        <v>430</v>
      </c>
      <c r="CE54" s="6" t="s">
        <v>430</v>
      </c>
      <c r="CF54" s="6" t="s">
        <v>430</v>
      </c>
      <c r="CG54" s="6" t="s">
        <v>430</v>
      </c>
      <c r="CH54" s="6" t="s">
        <v>430</v>
      </c>
      <c r="CI54" s="6" t="s">
        <v>430</v>
      </c>
      <c r="CJ54" s="6" t="s">
        <v>430</v>
      </c>
      <c r="CK54" s="6" t="s">
        <v>430</v>
      </c>
      <c r="CL54" s="6" t="s">
        <v>430</v>
      </c>
      <c r="CM54" s="6" t="s">
        <v>430</v>
      </c>
      <c r="CN54" s="6" t="s">
        <v>430</v>
      </c>
      <c r="CO54" s="15" t="s">
        <v>430</v>
      </c>
      <c r="CP54" s="15" t="s">
        <v>432</v>
      </c>
      <c r="CQ54" s="6" t="s">
        <v>433</v>
      </c>
      <c r="CR54" s="15"/>
      <c r="CS54" s="6" t="s">
        <v>426</v>
      </c>
      <c r="CT54" s="6" t="s">
        <v>1306</v>
      </c>
      <c r="CU54" s="6" t="s">
        <v>1392</v>
      </c>
      <c r="CV54" s="6" t="s">
        <v>825</v>
      </c>
      <c r="CW54" s="6" t="s">
        <v>1393</v>
      </c>
      <c r="CX54" s="15" t="s">
        <v>426</v>
      </c>
      <c r="CY54" s="6" t="s">
        <v>426</v>
      </c>
      <c r="CZ54" s="6" t="s">
        <v>1394</v>
      </c>
      <c r="DA54" s="6" t="s">
        <v>683</v>
      </c>
      <c r="DB54" s="6" t="s">
        <v>1395</v>
      </c>
      <c r="DC54" s="6" t="s">
        <v>1307</v>
      </c>
      <c r="DD54" s="15" t="s">
        <v>1396</v>
      </c>
      <c r="DE54" s="15" t="s">
        <v>436</v>
      </c>
      <c r="DF54" s="6" t="s">
        <v>1308</v>
      </c>
      <c r="DG54" s="6">
        <v>1</v>
      </c>
      <c r="DH54" s="6">
        <v>0</v>
      </c>
      <c r="DI54" s="6">
        <v>1</v>
      </c>
      <c r="DJ54" s="6">
        <v>0</v>
      </c>
      <c r="DK54" s="6">
        <v>0</v>
      </c>
      <c r="DL54" s="6">
        <v>0</v>
      </c>
      <c r="DM54" s="6"/>
      <c r="DN54" s="6"/>
      <c r="DO54" s="6"/>
      <c r="DP54" s="6"/>
      <c r="DQ54" s="6"/>
      <c r="DR54" s="6"/>
      <c r="DS54" s="6"/>
      <c r="DT54" s="66"/>
      <c r="DU54" s="6" t="s">
        <v>438</v>
      </c>
      <c r="DV54" s="6" t="s">
        <v>426</v>
      </c>
      <c r="DW54" s="6" t="s">
        <v>490</v>
      </c>
      <c r="DX54" s="6" t="s">
        <v>440</v>
      </c>
      <c r="DY54" s="6"/>
      <c r="DZ54" s="6" t="s">
        <v>570</v>
      </c>
      <c r="EA54" s="6">
        <v>1</v>
      </c>
      <c r="EB54" s="6">
        <v>0</v>
      </c>
      <c r="EC54" s="6">
        <v>0</v>
      </c>
      <c r="ED54" s="6">
        <v>1</v>
      </c>
      <c r="EE54" s="6">
        <v>0</v>
      </c>
      <c r="EF54" s="6">
        <v>0</v>
      </c>
      <c r="EG54" s="6">
        <v>0</v>
      </c>
      <c r="EH54" s="6">
        <v>0</v>
      </c>
      <c r="EI54" s="6"/>
      <c r="EJ54" s="6" t="s">
        <v>1397</v>
      </c>
      <c r="EK54" s="6">
        <v>1</v>
      </c>
      <c r="EL54" s="6">
        <v>0</v>
      </c>
      <c r="EM54" s="6">
        <v>1</v>
      </c>
      <c r="EN54" s="6">
        <v>1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/>
      <c r="EU54" s="6" t="s">
        <v>443</v>
      </c>
      <c r="EV54" s="6" t="s">
        <v>495</v>
      </c>
      <c r="EW54" s="6"/>
      <c r="EX54" s="6" t="s">
        <v>1051</v>
      </c>
      <c r="EY54" s="6">
        <v>1</v>
      </c>
      <c r="EZ54" s="6">
        <v>1</v>
      </c>
      <c r="FA54" s="6">
        <v>1</v>
      </c>
      <c r="FB54" s="6">
        <v>1</v>
      </c>
      <c r="FC54" s="6">
        <v>1</v>
      </c>
      <c r="FD54" s="6">
        <v>0</v>
      </c>
      <c r="FE54" s="6">
        <v>0</v>
      </c>
      <c r="FF54" s="6">
        <v>0</v>
      </c>
      <c r="FG54" s="6"/>
      <c r="FH54" s="6" t="s">
        <v>1398</v>
      </c>
      <c r="FI54" s="6">
        <v>1</v>
      </c>
      <c r="FJ54" s="6">
        <v>0</v>
      </c>
      <c r="FK54" s="6">
        <v>0</v>
      </c>
      <c r="FL54" s="6">
        <v>0</v>
      </c>
      <c r="FM54" s="6">
        <v>1</v>
      </c>
      <c r="FN54" s="6">
        <v>1</v>
      </c>
      <c r="FO54" s="6">
        <v>0</v>
      </c>
      <c r="FP54" s="6">
        <v>0</v>
      </c>
      <c r="FQ54" s="6">
        <v>0</v>
      </c>
      <c r="FR54" s="6">
        <v>0</v>
      </c>
      <c r="FS54" s="6"/>
      <c r="FT54" s="6" t="s">
        <v>447</v>
      </c>
      <c r="FU54" s="6" t="s">
        <v>499</v>
      </c>
      <c r="FV54" s="6"/>
      <c r="FW54" s="6" t="s">
        <v>449</v>
      </c>
      <c r="FX54" s="15" t="s">
        <v>450</v>
      </c>
      <c r="FY54" s="6" t="s">
        <v>500</v>
      </c>
      <c r="FZ54" s="6"/>
      <c r="GA54" s="6" t="s">
        <v>450</v>
      </c>
      <c r="GB54" s="6" t="s">
        <v>501</v>
      </c>
      <c r="GC54" s="6" t="s">
        <v>453</v>
      </c>
      <c r="GD54" s="6"/>
      <c r="GE54" s="6" t="s">
        <v>454</v>
      </c>
      <c r="GF54" s="6" t="s">
        <v>1399</v>
      </c>
      <c r="GG54" s="6" t="s">
        <v>456</v>
      </c>
      <c r="GH54" s="15" t="s">
        <v>1400</v>
      </c>
      <c r="GI54" s="6" t="s">
        <v>458</v>
      </c>
      <c r="GJ54" s="6" t="s">
        <v>1401</v>
      </c>
      <c r="GK54" s="6" t="s">
        <v>460</v>
      </c>
      <c r="GL54" s="6" t="s">
        <v>461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1</v>
      </c>
      <c r="GS54" s="6">
        <v>0</v>
      </c>
      <c r="GT54" s="6"/>
      <c r="GU54" s="6" t="s">
        <v>534</v>
      </c>
      <c r="GV54" s="6" t="s">
        <v>595</v>
      </c>
      <c r="GW54" s="6" t="s">
        <v>1402</v>
      </c>
      <c r="GX54" s="6">
        <v>1</v>
      </c>
      <c r="GY54" s="6">
        <v>1</v>
      </c>
      <c r="GZ54" s="6">
        <v>0</v>
      </c>
      <c r="HA54" s="6">
        <v>1</v>
      </c>
      <c r="HB54" s="6">
        <v>0</v>
      </c>
      <c r="HC54" s="6">
        <v>0</v>
      </c>
      <c r="HD54" s="6"/>
      <c r="HE54" s="6" t="s">
        <v>1403</v>
      </c>
      <c r="HF54" s="6">
        <v>1</v>
      </c>
      <c r="HG54" s="6">
        <v>1</v>
      </c>
      <c r="HH54" s="6">
        <v>0</v>
      </c>
      <c r="HI54" s="6">
        <v>1</v>
      </c>
      <c r="HJ54" s="6">
        <v>1</v>
      </c>
      <c r="HK54" s="6">
        <v>0</v>
      </c>
      <c r="HL54" s="15"/>
      <c r="HM54" s="6" t="s">
        <v>505</v>
      </c>
      <c r="HN54" s="6"/>
      <c r="HO54" s="6" t="s">
        <v>1404</v>
      </c>
      <c r="HP54" s="6" t="s">
        <v>561</v>
      </c>
      <c r="HQ54" s="6"/>
      <c r="HR54" s="6" t="s">
        <v>1405</v>
      </c>
      <c r="HS54" s="6" t="s">
        <v>540</v>
      </c>
      <c r="HT54" s="6">
        <v>1</v>
      </c>
      <c r="HU54" s="6">
        <v>0</v>
      </c>
      <c r="HV54" s="6">
        <v>0</v>
      </c>
      <c r="HW54" s="6">
        <v>0</v>
      </c>
      <c r="HX54" s="6">
        <v>0</v>
      </c>
      <c r="HY54" s="6">
        <v>0</v>
      </c>
      <c r="HZ54" s="6"/>
      <c r="IA54" s="6" t="s">
        <v>1406</v>
      </c>
      <c r="IB54" s="6">
        <v>1</v>
      </c>
      <c r="IC54" s="6">
        <v>0</v>
      </c>
      <c r="ID54" s="6">
        <v>0</v>
      </c>
      <c r="IE54" s="6">
        <v>1</v>
      </c>
      <c r="IF54" s="6">
        <v>0</v>
      </c>
      <c r="IG54" s="6">
        <v>0</v>
      </c>
      <c r="IH54" s="15" t="s">
        <v>1407</v>
      </c>
      <c r="II54" s="6" t="s">
        <v>426</v>
      </c>
      <c r="IJ54" s="6" t="s">
        <v>602</v>
      </c>
      <c r="IK54" s="6">
        <v>1</v>
      </c>
      <c r="IL54" s="6">
        <v>1</v>
      </c>
      <c r="IM54" s="6">
        <v>0</v>
      </c>
      <c r="IN54" s="6"/>
      <c r="IO54" s="6" t="s">
        <v>1408</v>
      </c>
      <c r="IP54" s="6">
        <v>1</v>
      </c>
      <c r="IQ54" s="6">
        <v>1</v>
      </c>
      <c r="IR54" s="6">
        <v>1</v>
      </c>
      <c r="IS54" s="6">
        <v>0</v>
      </c>
      <c r="IT54" s="6">
        <v>0</v>
      </c>
      <c r="IU54" s="6">
        <v>0</v>
      </c>
      <c r="IV54" s="6"/>
      <c r="IW54" s="6" t="s">
        <v>426</v>
      </c>
      <c r="IX54" s="6">
        <v>1</v>
      </c>
      <c r="IY54" s="6" t="s">
        <v>474</v>
      </c>
      <c r="IZ54" s="6" t="s">
        <v>604</v>
      </c>
      <c r="JA54" s="6" t="s">
        <v>426</v>
      </c>
      <c r="JB54" s="6" t="s">
        <v>651</v>
      </c>
      <c r="JC54" s="6"/>
      <c r="JD54" s="6"/>
      <c r="JE54" s="6"/>
      <c r="JF54" s="6"/>
      <c r="JG54" s="6"/>
      <c r="JH54" s="6"/>
      <c r="JI54" s="6"/>
      <c r="JJ54" s="6"/>
      <c r="JK54" s="6" t="s">
        <v>426</v>
      </c>
      <c r="JL54" s="6" t="s">
        <v>426</v>
      </c>
      <c r="JM54" s="6"/>
      <c r="JN54" s="6"/>
      <c r="JO54" s="6"/>
      <c r="JP54" s="6"/>
      <c r="JQ54" s="6"/>
      <c r="JR54" s="6"/>
      <c r="JS54" s="6"/>
      <c r="JT54" s="6"/>
      <c r="JU54" s="6" t="s">
        <v>544</v>
      </c>
      <c r="JV54" s="15"/>
      <c r="JW54" s="94" t="s">
        <v>1409</v>
      </c>
      <c r="JX54" s="6" t="s">
        <v>1410</v>
      </c>
      <c r="JY54" s="6">
        <v>0.8470987</v>
      </c>
      <c r="JZ54" s="6">
        <v>34.7354805</v>
      </c>
      <c r="KA54" s="6">
        <v>1879.78369140625</v>
      </c>
      <c r="KB54" s="15">
        <v>4.073</v>
      </c>
      <c r="KC54" s="15"/>
    </row>
    <row r="55" spans="1:289">
      <c r="A55" s="6" t="s">
        <v>514</v>
      </c>
      <c r="B55" s="6" t="s">
        <v>420</v>
      </c>
      <c r="C55" s="6" t="s">
        <v>421</v>
      </c>
      <c r="D55" s="6" t="s">
        <v>899</v>
      </c>
      <c r="E55" s="6" t="s">
        <v>1411</v>
      </c>
      <c r="F55" s="8" t="s">
        <v>483</v>
      </c>
      <c r="G55" s="6" t="s">
        <v>424</v>
      </c>
      <c r="H55" s="6" t="s">
        <v>517</v>
      </c>
      <c r="I55" s="15"/>
      <c r="J55" s="6" t="s">
        <v>426</v>
      </c>
      <c r="K55" s="6" t="s">
        <v>426</v>
      </c>
      <c r="L55" s="6" t="s">
        <v>426</v>
      </c>
      <c r="M55" s="6" t="s">
        <v>426</v>
      </c>
      <c r="N55" s="6" t="s">
        <v>426</v>
      </c>
      <c r="O55" s="6" t="s">
        <v>426</v>
      </c>
      <c r="P55" s="6" t="s">
        <v>426</v>
      </c>
      <c r="Q55" s="6" t="s">
        <v>426</v>
      </c>
      <c r="R55" s="6" t="s">
        <v>426</v>
      </c>
      <c r="S55" s="6" t="s">
        <v>426</v>
      </c>
      <c r="T55" s="6" t="s">
        <v>426</v>
      </c>
      <c r="U55" s="6" t="s">
        <v>426</v>
      </c>
      <c r="V55" s="6" t="s">
        <v>426</v>
      </c>
      <c r="W55" s="6" t="s">
        <v>426</v>
      </c>
      <c r="X55" s="6" t="s">
        <v>426</v>
      </c>
      <c r="Y55" s="6" t="s">
        <v>426</v>
      </c>
      <c r="Z55" s="6" t="s">
        <v>426</v>
      </c>
      <c r="AA55" s="6" t="s">
        <v>426</v>
      </c>
      <c r="AB55" s="6" t="s">
        <v>426</v>
      </c>
      <c r="AC55" s="15" t="s">
        <v>426</v>
      </c>
      <c r="AD55" s="6" t="s">
        <v>427</v>
      </c>
      <c r="AE55" s="6">
        <v>0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0</v>
      </c>
      <c r="AM55" s="6"/>
      <c r="AN55" s="15"/>
      <c r="AO55" s="6" t="s">
        <v>426</v>
      </c>
      <c r="AP55" s="6" t="s">
        <v>920</v>
      </c>
      <c r="AQ55" s="6" t="s">
        <v>426</v>
      </c>
      <c r="AR55" s="6" t="s">
        <v>823</v>
      </c>
      <c r="AS55" s="6" t="s">
        <v>426</v>
      </c>
      <c r="AT55" s="6">
        <v>1</v>
      </c>
      <c r="AU55" s="6" t="s">
        <v>426</v>
      </c>
      <c r="AV55" s="6">
        <v>1</v>
      </c>
      <c r="AW55" s="6" t="s">
        <v>426</v>
      </c>
      <c r="AX55" s="6">
        <v>1</v>
      </c>
      <c r="AY55" s="6" t="s">
        <v>426</v>
      </c>
      <c r="AZ55" s="6">
        <v>1</v>
      </c>
      <c r="BA55" s="6" t="s">
        <v>426</v>
      </c>
      <c r="BB55" s="6">
        <v>0.2</v>
      </c>
      <c r="BC55" s="6" t="s">
        <v>426</v>
      </c>
      <c r="BD55" s="6">
        <v>0.25</v>
      </c>
      <c r="BE55" s="6" t="s">
        <v>426</v>
      </c>
      <c r="BF55" s="6">
        <v>4</v>
      </c>
      <c r="BG55" s="6" t="s">
        <v>426</v>
      </c>
      <c r="BH55" s="6">
        <v>1</v>
      </c>
      <c r="BI55" s="6" t="s">
        <v>426</v>
      </c>
      <c r="BJ55" s="6">
        <v>1</v>
      </c>
      <c r="BK55" s="6" t="s">
        <v>426</v>
      </c>
      <c r="BL55" s="6">
        <v>1</v>
      </c>
      <c r="BM55" s="6" t="s">
        <v>426</v>
      </c>
      <c r="BN55" s="6">
        <v>3</v>
      </c>
      <c r="BO55" s="6" t="s">
        <v>426</v>
      </c>
      <c r="BP55" s="6">
        <v>1</v>
      </c>
      <c r="BQ55" s="6" t="s">
        <v>426</v>
      </c>
      <c r="BR55" s="6">
        <v>50</v>
      </c>
      <c r="BS55" s="6" t="s">
        <v>426</v>
      </c>
      <c r="BT55" s="6">
        <v>4</v>
      </c>
      <c r="BU55" s="6" t="s">
        <v>453</v>
      </c>
      <c r="BV55" s="15"/>
      <c r="BW55" s="15" t="s">
        <v>518</v>
      </c>
      <c r="BX55" s="15" t="s">
        <v>429</v>
      </c>
      <c r="BY55" s="6" t="s">
        <v>430</v>
      </c>
      <c r="BZ55" s="6" t="s">
        <v>430</v>
      </c>
      <c r="CA55" s="6" t="s">
        <v>430</v>
      </c>
      <c r="CB55" s="6" t="s">
        <v>430</v>
      </c>
      <c r="CC55" s="6" t="s">
        <v>430</v>
      </c>
      <c r="CD55" s="6" t="s">
        <v>430</v>
      </c>
      <c r="CE55" s="6" t="s">
        <v>430</v>
      </c>
      <c r="CF55" s="6" t="s">
        <v>430</v>
      </c>
      <c r="CG55" s="6" t="s">
        <v>430</v>
      </c>
      <c r="CH55" s="6" t="s">
        <v>430</v>
      </c>
      <c r="CI55" s="6" t="s">
        <v>430</v>
      </c>
      <c r="CJ55" s="6" t="s">
        <v>430</v>
      </c>
      <c r="CK55" s="6" t="s">
        <v>430</v>
      </c>
      <c r="CL55" s="6" t="s">
        <v>430</v>
      </c>
      <c r="CM55" s="6" t="s">
        <v>430</v>
      </c>
      <c r="CN55" s="6" t="s">
        <v>430</v>
      </c>
      <c r="CO55" s="15" t="s">
        <v>487</v>
      </c>
      <c r="CP55" s="15" t="s">
        <v>432</v>
      </c>
      <c r="CQ55" s="6" t="s">
        <v>433</v>
      </c>
      <c r="CR55" s="15"/>
      <c r="CS55" s="6" t="s">
        <v>426</v>
      </c>
      <c r="CT55" s="6" t="s">
        <v>1412</v>
      </c>
      <c r="CU55" s="6" t="s">
        <v>733</v>
      </c>
      <c r="CV55" s="6" t="s">
        <v>1225</v>
      </c>
      <c r="CW55" s="6" t="s">
        <v>1090</v>
      </c>
      <c r="CX55" s="15" t="s">
        <v>426</v>
      </c>
      <c r="CY55" s="6" t="s">
        <v>426</v>
      </c>
      <c r="CZ55" s="6" t="s">
        <v>1413</v>
      </c>
      <c r="DA55" s="6" t="s">
        <v>1322</v>
      </c>
      <c r="DB55" s="6" t="s">
        <v>733</v>
      </c>
      <c r="DC55" s="6" t="s">
        <v>1091</v>
      </c>
      <c r="DD55" s="15" t="s">
        <v>826</v>
      </c>
      <c r="DE55" s="15" t="s">
        <v>436</v>
      </c>
      <c r="DF55" s="6" t="s">
        <v>437</v>
      </c>
      <c r="DG55" s="6">
        <v>1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/>
      <c r="DN55" s="6"/>
      <c r="DO55" s="6"/>
      <c r="DP55" s="6"/>
      <c r="DQ55" s="6"/>
      <c r="DR55" s="6"/>
      <c r="DS55" s="6"/>
      <c r="DT55" s="66"/>
      <c r="DU55" s="6" t="s">
        <v>438</v>
      </c>
      <c r="DV55" s="6" t="s">
        <v>426</v>
      </c>
      <c r="DW55" s="6" t="s">
        <v>439</v>
      </c>
      <c r="DX55" s="6" t="s">
        <v>440</v>
      </c>
      <c r="DY55" s="6"/>
      <c r="DZ55" s="6" t="s">
        <v>570</v>
      </c>
      <c r="EA55" s="6">
        <v>1</v>
      </c>
      <c r="EB55" s="6">
        <v>0</v>
      </c>
      <c r="EC55" s="6">
        <v>0</v>
      </c>
      <c r="ED55" s="6">
        <v>1</v>
      </c>
      <c r="EE55" s="6">
        <v>0</v>
      </c>
      <c r="EF55" s="6">
        <v>0</v>
      </c>
      <c r="EG55" s="6">
        <v>0</v>
      </c>
      <c r="EH55" s="6">
        <v>0</v>
      </c>
      <c r="EI55" s="6"/>
      <c r="EJ55" s="6" t="s">
        <v>1382</v>
      </c>
      <c r="EK55" s="6">
        <v>1</v>
      </c>
      <c r="EL55" s="6">
        <v>0</v>
      </c>
      <c r="EM55" s="6">
        <v>0</v>
      </c>
      <c r="EN55" s="6">
        <v>1</v>
      </c>
      <c r="EO55" s="6">
        <v>1</v>
      </c>
      <c r="EP55" s="6">
        <v>0</v>
      </c>
      <c r="EQ55" s="6">
        <v>0</v>
      </c>
      <c r="ER55" s="6">
        <v>0</v>
      </c>
      <c r="ES55" s="6">
        <v>0</v>
      </c>
      <c r="ET55" s="6"/>
      <c r="EU55" s="6" t="s">
        <v>443</v>
      </c>
      <c r="EV55" s="6" t="s">
        <v>495</v>
      </c>
      <c r="EW55" s="6"/>
      <c r="EX55" s="6" t="s">
        <v>1414</v>
      </c>
      <c r="EY55" s="6">
        <v>0</v>
      </c>
      <c r="EZ55" s="6">
        <v>1</v>
      </c>
      <c r="FA55" s="6">
        <v>1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/>
      <c r="FH55" s="6" t="s">
        <v>618</v>
      </c>
      <c r="FI55" s="6">
        <v>0</v>
      </c>
      <c r="FJ55" s="6">
        <v>0</v>
      </c>
      <c r="FK55" s="6">
        <v>0</v>
      </c>
      <c r="FL55" s="6">
        <v>1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/>
      <c r="FT55" s="6" t="s">
        <v>447</v>
      </c>
      <c r="FU55" s="6" t="s">
        <v>499</v>
      </c>
      <c r="FV55" s="6"/>
      <c r="FW55" s="6" t="s">
        <v>449</v>
      </c>
      <c r="FX55" s="15" t="s">
        <v>450</v>
      </c>
      <c r="FY55" s="6" t="s">
        <v>451</v>
      </c>
      <c r="FZ55" s="6"/>
      <c r="GA55" s="6" t="s">
        <v>450</v>
      </c>
      <c r="GB55" s="6" t="s">
        <v>501</v>
      </c>
      <c r="GC55" s="6" t="s">
        <v>453</v>
      </c>
      <c r="GD55" s="6"/>
      <c r="GE55" s="6" t="s">
        <v>642</v>
      </c>
      <c r="GF55" s="6" t="s">
        <v>1415</v>
      </c>
      <c r="GG55" s="6" t="s">
        <v>456</v>
      </c>
      <c r="GH55" s="15" t="s">
        <v>672</v>
      </c>
      <c r="GI55" s="6" t="s">
        <v>458</v>
      </c>
      <c r="GJ55" s="6" t="s">
        <v>1416</v>
      </c>
      <c r="GK55" s="6" t="s">
        <v>460</v>
      </c>
      <c r="GL55" s="6" t="s">
        <v>461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1</v>
      </c>
      <c r="GS55" s="6">
        <v>0</v>
      </c>
      <c r="GT55" s="6"/>
      <c r="GU55" s="6" t="s">
        <v>534</v>
      </c>
      <c r="GV55" s="6" t="s">
        <v>595</v>
      </c>
      <c r="GW55" s="6" t="s">
        <v>464</v>
      </c>
      <c r="GX55" s="6">
        <v>1</v>
      </c>
      <c r="GY55" s="6">
        <v>0</v>
      </c>
      <c r="GZ55" s="6">
        <v>0</v>
      </c>
      <c r="HA55" s="6">
        <v>0</v>
      </c>
      <c r="HB55" s="6">
        <v>0</v>
      </c>
      <c r="HC55" s="6">
        <v>0</v>
      </c>
      <c r="HD55" s="6"/>
      <c r="HE55" s="6" t="s">
        <v>1417</v>
      </c>
      <c r="HF55" s="6">
        <v>1</v>
      </c>
      <c r="HG55" s="6">
        <v>0</v>
      </c>
      <c r="HH55" s="6">
        <v>1</v>
      </c>
      <c r="HI55" s="6">
        <v>1</v>
      </c>
      <c r="HJ55" s="6">
        <v>0</v>
      </c>
      <c r="HK55" s="6">
        <v>0</v>
      </c>
      <c r="HL55" s="15"/>
      <c r="HM55" s="6" t="s">
        <v>505</v>
      </c>
      <c r="HN55" s="6"/>
      <c r="HO55" s="6" t="s">
        <v>1418</v>
      </c>
      <c r="HP55" s="6" t="s">
        <v>537</v>
      </c>
      <c r="HQ55" s="6" t="s">
        <v>1419</v>
      </c>
      <c r="HR55" s="6" t="s">
        <v>1420</v>
      </c>
      <c r="HS55" s="6" t="s">
        <v>540</v>
      </c>
      <c r="HT55" s="6">
        <v>1</v>
      </c>
      <c r="HU55" s="6">
        <v>0</v>
      </c>
      <c r="HV55" s="6">
        <v>0</v>
      </c>
      <c r="HW55" s="6">
        <v>0</v>
      </c>
      <c r="HX55" s="6">
        <v>0</v>
      </c>
      <c r="HY55" s="6">
        <v>0</v>
      </c>
      <c r="HZ55" s="6"/>
      <c r="IA55" s="6" t="s">
        <v>111</v>
      </c>
      <c r="IB55" s="6">
        <v>1</v>
      </c>
      <c r="IC55" s="6">
        <v>0</v>
      </c>
      <c r="ID55" s="6">
        <v>0</v>
      </c>
      <c r="IE55" s="6">
        <v>0</v>
      </c>
      <c r="IF55" s="6">
        <v>0</v>
      </c>
      <c r="IG55" s="6">
        <v>0</v>
      </c>
      <c r="IH55" s="15" t="s">
        <v>1421</v>
      </c>
      <c r="II55" s="6" t="s">
        <v>426</v>
      </c>
      <c r="IJ55" s="6" t="s">
        <v>472</v>
      </c>
      <c r="IK55" s="6">
        <v>1</v>
      </c>
      <c r="IL55" s="6">
        <v>0</v>
      </c>
      <c r="IM55" s="6">
        <v>0</v>
      </c>
      <c r="IN55" s="6"/>
      <c r="IO55" s="6" t="s">
        <v>473</v>
      </c>
      <c r="IP55" s="6">
        <v>1</v>
      </c>
      <c r="IQ55" s="6">
        <v>0</v>
      </c>
      <c r="IR55" s="6">
        <v>0</v>
      </c>
      <c r="IS55" s="6">
        <v>0</v>
      </c>
      <c r="IT55" s="6">
        <v>0</v>
      </c>
      <c r="IU55" s="6">
        <v>0</v>
      </c>
      <c r="IV55" s="6"/>
      <c r="IW55" s="6" t="s">
        <v>453</v>
      </c>
      <c r="IX55" s="6"/>
      <c r="IY55" s="6" t="s">
        <v>510</v>
      </c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 t="s">
        <v>426</v>
      </c>
      <c r="JK55" s="6" t="s">
        <v>426</v>
      </c>
      <c r="JL55" s="6" t="s">
        <v>426</v>
      </c>
      <c r="JM55" s="6"/>
      <c r="JN55" s="6"/>
      <c r="JO55" s="6"/>
      <c r="JP55" s="6"/>
      <c r="JQ55" s="6"/>
      <c r="JR55" s="6"/>
      <c r="JS55" s="6"/>
      <c r="JT55" s="6"/>
      <c r="JU55" s="6" t="s">
        <v>895</v>
      </c>
      <c r="JV55" s="15" t="s">
        <v>1422</v>
      </c>
      <c r="JW55" s="94" t="s">
        <v>1423</v>
      </c>
      <c r="JX55" s="6" t="s">
        <v>1424</v>
      </c>
      <c r="JY55" s="6">
        <v>0.8467458</v>
      </c>
      <c r="JZ55" s="6">
        <v>34.7357697</v>
      </c>
      <c r="KA55" s="6">
        <v>1901.981</v>
      </c>
      <c r="KB55" s="15">
        <v>3.049</v>
      </c>
      <c r="KC55" s="15"/>
    </row>
    <row r="56" spans="1:289">
      <c r="A56" s="6" t="s">
        <v>514</v>
      </c>
      <c r="B56" s="6" t="s">
        <v>420</v>
      </c>
      <c r="C56" s="6" t="s">
        <v>421</v>
      </c>
      <c r="D56" s="6" t="s">
        <v>899</v>
      </c>
      <c r="E56" s="6" t="s">
        <v>1425</v>
      </c>
      <c r="F56" s="8" t="s">
        <v>483</v>
      </c>
      <c r="G56" s="6" t="s">
        <v>731</v>
      </c>
      <c r="H56" s="6" t="s">
        <v>425</v>
      </c>
      <c r="I56" s="15"/>
      <c r="J56" s="6" t="s">
        <v>426</v>
      </c>
      <c r="K56" s="6" t="s">
        <v>426</v>
      </c>
      <c r="L56" s="6" t="s">
        <v>426</v>
      </c>
      <c r="M56" s="6" t="s">
        <v>426</v>
      </c>
      <c r="N56" s="6" t="s">
        <v>426</v>
      </c>
      <c r="O56" s="6" t="s">
        <v>426</v>
      </c>
      <c r="P56" s="6" t="s">
        <v>426</v>
      </c>
      <c r="Q56" s="6" t="s">
        <v>426</v>
      </c>
      <c r="R56" s="6" t="s">
        <v>426</v>
      </c>
      <c r="S56" s="6" t="s">
        <v>426</v>
      </c>
      <c r="T56" s="6" t="s">
        <v>426</v>
      </c>
      <c r="U56" s="6" t="s">
        <v>426</v>
      </c>
      <c r="V56" s="6" t="s">
        <v>426</v>
      </c>
      <c r="W56" s="6" t="s">
        <v>426</v>
      </c>
      <c r="X56" s="6" t="s">
        <v>426</v>
      </c>
      <c r="Y56" s="6" t="s">
        <v>426</v>
      </c>
      <c r="Z56" s="6" t="s">
        <v>426</v>
      </c>
      <c r="AA56" s="6" t="s">
        <v>426</v>
      </c>
      <c r="AB56" s="6" t="s">
        <v>426</v>
      </c>
      <c r="AC56" s="15" t="s">
        <v>426</v>
      </c>
      <c r="AD56" s="6" t="s">
        <v>427</v>
      </c>
      <c r="AE56" s="6">
        <v>0</v>
      </c>
      <c r="AF56" s="6">
        <v>0</v>
      </c>
      <c r="AG56" s="6">
        <v>0</v>
      </c>
      <c r="AH56" s="6">
        <v>1</v>
      </c>
      <c r="AI56" s="6">
        <v>0</v>
      </c>
      <c r="AJ56" s="6">
        <v>0</v>
      </c>
      <c r="AK56" s="6">
        <v>0</v>
      </c>
      <c r="AL56" s="6">
        <v>0</v>
      </c>
      <c r="AM56" s="6"/>
      <c r="AN56" s="15"/>
      <c r="AO56" s="6" t="s">
        <v>426</v>
      </c>
      <c r="AP56" s="6" t="s">
        <v>901</v>
      </c>
      <c r="AQ56" s="6" t="s">
        <v>426</v>
      </c>
      <c r="AR56" s="6" t="s">
        <v>920</v>
      </c>
      <c r="AS56" s="6" t="s">
        <v>426</v>
      </c>
      <c r="AT56" s="6">
        <v>1.5</v>
      </c>
      <c r="AU56" s="6" t="s">
        <v>426</v>
      </c>
      <c r="AV56" s="6">
        <v>1</v>
      </c>
      <c r="AW56" s="6" t="s">
        <v>426</v>
      </c>
      <c r="AX56" s="6">
        <v>1.5</v>
      </c>
      <c r="AY56" s="6" t="s">
        <v>426</v>
      </c>
      <c r="AZ56" s="6">
        <v>1</v>
      </c>
      <c r="BA56" s="6" t="s">
        <v>426</v>
      </c>
      <c r="BB56" s="6">
        <v>0.5</v>
      </c>
      <c r="BC56" s="6" t="s">
        <v>426</v>
      </c>
      <c r="BD56" s="6">
        <v>0.25</v>
      </c>
      <c r="BE56" s="6" t="s">
        <v>426</v>
      </c>
      <c r="BF56" s="6">
        <v>16</v>
      </c>
      <c r="BG56" s="6" t="s">
        <v>426</v>
      </c>
      <c r="BH56" s="6">
        <v>0.3</v>
      </c>
      <c r="BI56" s="6" t="s">
        <v>426</v>
      </c>
      <c r="BJ56" s="6">
        <v>0.5</v>
      </c>
      <c r="BK56" s="6" t="s">
        <v>426</v>
      </c>
      <c r="BL56" s="6">
        <v>1.5</v>
      </c>
      <c r="BM56" s="6" t="s">
        <v>426</v>
      </c>
      <c r="BN56" s="6">
        <v>3</v>
      </c>
      <c r="BO56" s="6" t="s">
        <v>426</v>
      </c>
      <c r="BP56" s="6">
        <v>0.2</v>
      </c>
      <c r="BQ56" s="6" t="s">
        <v>426</v>
      </c>
      <c r="BR56" s="6">
        <v>80</v>
      </c>
      <c r="BS56" s="6" t="s">
        <v>426</v>
      </c>
      <c r="BT56" s="6">
        <v>3</v>
      </c>
      <c r="BU56" s="6" t="s">
        <v>426</v>
      </c>
      <c r="BV56" s="15">
        <v>0.25</v>
      </c>
      <c r="BW56" s="15" t="s">
        <v>880</v>
      </c>
      <c r="BX56" s="15" t="s">
        <v>429</v>
      </c>
      <c r="BY56" s="6" t="s">
        <v>430</v>
      </c>
      <c r="BZ56" s="6" t="s">
        <v>430</v>
      </c>
      <c r="CA56" s="6" t="s">
        <v>430</v>
      </c>
      <c r="CB56" s="6" t="s">
        <v>430</v>
      </c>
      <c r="CC56" s="6" t="s">
        <v>430</v>
      </c>
      <c r="CD56" s="6" t="s">
        <v>430</v>
      </c>
      <c r="CE56" s="6" t="s">
        <v>430</v>
      </c>
      <c r="CF56" s="6" t="s">
        <v>430</v>
      </c>
      <c r="CG56" s="6" t="s">
        <v>430</v>
      </c>
      <c r="CH56" s="6" t="s">
        <v>430</v>
      </c>
      <c r="CI56" s="6" t="s">
        <v>430</v>
      </c>
      <c r="CJ56" s="6" t="s">
        <v>430</v>
      </c>
      <c r="CK56" s="6" t="s">
        <v>430</v>
      </c>
      <c r="CL56" s="6" t="s">
        <v>430</v>
      </c>
      <c r="CM56" s="6" t="s">
        <v>430</v>
      </c>
      <c r="CN56" s="6" t="s">
        <v>430</v>
      </c>
      <c r="CO56" s="15" t="s">
        <v>430</v>
      </c>
      <c r="CP56" s="15" t="s">
        <v>432</v>
      </c>
      <c r="CQ56" s="6" t="s">
        <v>433</v>
      </c>
      <c r="CR56" s="15"/>
      <c r="CS56" s="6" t="s">
        <v>426</v>
      </c>
      <c r="CT56" s="6" t="s">
        <v>1426</v>
      </c>
      <c r="CU56" s="6" t="s">
        <v>660</v>
      </c>
      <c r="CV56" s="6" t="s">
        <v>1427</v>
      </c>
      <c r="CW56" s="6" t="s">
        <v>1092</v>
      </c>
      <c r="CX56" s="15" t="s">
        <v>426</v>
      </c>
      <c r="CY56" s="6" t="s">
        <v>426</v>
      </c>
      <c r="CZ56" s="6" t="s">
        <v>1428</v>
      </c>
      <c r="DA56" s="6" t="s">
        <v>935</v>
      </c>
      <c r="DB56" s="6" t="s">
        <v>789</v>
      </c>
      <c r="DC56" s="6" t="s">
        <v>734</v>
      </c>
      <c r="DD56" s="15" t="s">
        <v>1429</v>
      </c>
      <c r="DE56" s="15" t="s">
        <v>436</v>
      </c>
      <c r="DF56" s="6" t="s">
        <v>522</v>
      </c>
      <c r="DG56" s="6">
        <v>0</v>
      </c>
      <c r="DH56" s="6">
        <v>1</v>
      </c>
      <c r="DI56" s="6">
        <v>0</v>
      </c>
      <c r="DJ56" s="6">
        <v>0</v>
      </c>
      <c r="DK56" s="6">
        <v>0</v>
      </c>
      <c r="DL56" s="6">
        <v>0</v>
      </c>
      <c r="DM56" s="6"/>
      <c r="DN56" s="6"/>
      <c r="DO56" s="6"/>
      <c r="DP56" s="6"/>
      <c r="DQ56" s="6"/>
      <c r="DR56" s="6"/>
      <c r="DS56" s="6"/>
      <c r="DT56" s="66"/>
      <c r="DU56" s="6" t="s">
        <v>438</v>
      </c>
      <c r="DV56" s="6" t="s">
        <v>426</v>
      </c>
      <c r="DW56" s="6" t="s">
        <v>439</v>
      </c>
      <c r="DX56" s="6" t="s">
        <v>440</v>
      </c>
      <c r="DY56" s="6"/>
      <c r="DZ56" s="6" t="s">
        <v>570</v>
      </c>
      <c r="EA56" s="6">
        <v>1</v>
      </c>
      <c r="EB56" s="6">
        <v>0</v>
      </c>
      <c r="EC56" s="6">
        <v>0</v>
      </c>
      <c r="ED56" s="6">
        <v>1</v>
      </c>
      <c r="EE56" s="6">
        <v>0</v>
      </c>
      <c r="EF56" s="6">
        <v>0</v>
      </c>
      <c r="EG56" s="6">
        <v>0</v>
      </c>
      <c r="EH56" s="6">
        <v>0</v>
      </c>
      <c r="EI56" s="6"/>
      <c r="EJ56" s="6" t="s">
        <v>1397</v>
      </c>
      <c r="EK56" s="6">
        <v>1</v>
      </c>
      <c r="EL56" s="6">
        <v>0</v>
      </c>
      <c r="EM56" s="6">
        <v>1</v>
      </c>
      <c r="EN56" s="6">
        <v>1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/>
      <c r="EU56" s="6" t="s">
        <v>443</v>
      </c>
      <c r="EV56" s="6" t="s">
        <v>588</v>
      </c>
      <c r="EW56" s="6"/>
      <c r="EX56" s="6" t="s">
        <v>1430</v>
      </c>
      <c r="EY56" s="6">
        <v>1</v>
      </c>
      <c r="EZ56" s="6">
        <v>0</v>
      </c>
      <c r="FA56" s="6">
        <v>1</v>
      </c>
      <c r="FB56" s="6">
        <v>1</v>
      </c>
      <c r="FC56" s="6">
        <v>0</v>
      </c>
      <c r="FD56" s="6">
        <v>0</v>
      </c>
      <c r="FE56" s="6">
        <v>0</v>
      </c>
      <c r="FF56" s="6">
        <v>0</v>
      </c>
      <c r="FG56" s="6"/>
      <c r="FH56" s="6" t="s">
        <v>572</v>
      </c>
      <c r="FI56" s="6">
        <v>1</v>
      </c>
      <c r="FJ56" s="6">
        <v>0</v>
      </c>
      <c r="FK56" s="6">
        <v>0</v>
      </c>
      <c r="FL56" s="6">
        <v>1</v>
      </c>
      <c r="FM56" s="6">
        <v>1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/>
      <c r="FT56" s="6" t="s">
        <v>447</v>
      </c>
      <c r="FU56" s="6" t="s">
        <v>499</v>
      </c>
      <c r="FV56" s="6"/>
      <c r="FW56" s="6" t="s">
        <v>449</v>
      </c>
      <c r="FX56" s="15" t="s">
        <v>450</v>
      </c>
      <c r="FY56" s="6" t="s">
        <v>451</v>
      </c>
      <c r="FZ56" s="6"/>
      <c r="GA56" s="6" t="s">
        <v>450</v>
      </c>
      <c r="GB56" s="6" t="s">
        <v>501</v>
      </c>
      <c r="GC56" s="6" t="s">
        <v>453</v>
      </c>
      <c r="GD56" s="6"/>
      <c r="GE56" s="6" t="s">
        <v>642</v>
      </c>
      <c r="GF56" s="6" t="s">
        <v>1431</v>
      </c>
      <c r="GG56" s="6" t="s">
        <v>456</v>
      </c>
      <c r="GH56" s="15" t="s">
        <v>1074</v>
      </c>
      <c r="GI56" s="6" t="s">
        <v>458</v>
      </c>
      <c r="GJ56" s="6" t="s">
        <v>1432</v>
      </c>
      <c r="GK56" s="6" t="s">
        <v>460</v>
      </c>
      <c r="GL56" s="6" t="s">
        <v>461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1</v>
      </c>
      <c r="GS56" s="6">
        <v>0</v>
      </c>
      <c r="GT56" s="6"/>
      <c r="GU56" s="6" t="s">
        <v>534</v>
      </c>
      <c r="GV56" s="6" t="s">
        <v>595</v>
      </c>
      <c r="GW56" s="6" t="s">
        <v>464</v>
      </c>
      <c r="GX56" s="6">
        <v>1</v>
      </c>
      <c r="GY56" s="6">
        <v>0</v>
      </c>
      <c r="GZ56" s="6">
        <v>0</v>
      </c>
      <c r="HA56" s="6">
        <v>0</v>
      </c>
      <c r="HB56" s="6">
        <v>0</v>
      </c>
      <c r="HC56" s="6">
        <v>0</v>
      </c>
      <c r="HD56" s="6"/>
      <c r="HE56" s="6" t="s">
        <v>535</v>
      </c>
      <c r="HF56" s="6">
        <v>1</v>
      </c>
      <c r="HG56" s="6">
        <v>0</v>
      </c>
      <c r="HH56" s="6">
        <v>0</v>
      </c>
      <c r="HI56" s="6">
        <v>0</v>
      </c>
      <c r="HJ56" s="6">
        <v>0</v>
      </c>
      <c r="HK56" s="6">
        <v>0</v>
      </c>
      <c r="HL56" s="15"/>
      <c r="HM56" s="6" t="s">
        <v>505</v>
      </c>
      <c r="HN56" s="6"/>
      <c r="HO56" s="6" t="s">
        <v>1433</v>
      </c>
      <c r="HP56" s="6" t="s">
        <v>537</v>
      </c>
      <c r="HQ56" s="6" t="s">
        <v>1201</v>
      </c>
      <c r="HR56" s="6" t="s">
        <v>1201</v>
      </c>
      <c r="HS56" s="6" t="s">
        <v>540</v>
      </c>
      <c r="HT56" s="6">
        <v>1</v>
      </c>
      <c r="HU56" s="6">
        <v>0</v>
      </c>
      <c r="HV56" s="6">
        <v>0</v>
      </c>
      <c r="HW56" s="6">
        <v>0</v>
      </c>
      <c r="HX56" s="6">
        <v>0</v>
      </c>
      <c r="HY56" s="6">
        <v>0</v>
      </c>
      <c r="HZ56" s="6"/>
      <c r="IA56" s="6" t="s">
        <v>1406</v>
      </c>
      <c r="IB56" s="6">
        <v>1</v>
      </c>
      <c r="IC56" s="6">
        <v>0</v>
      </c>
      <c r="ID56" s="6">
        <v>0</v>
      </c>
      <c r="IE56" s="6">
        <v>1</v>
      </c>
      <c r="IF56" s="6">
        <v>0</v>
      </c>
      <c r="IG56" s="6">
        <v>0</v>
      </c>
      <c r="IH56" s="15" t="s">
        <v>1434</v>
      </c>
      <c r="II56" s="6" t="s">
        <v>426</v>
      </c>
      <c r="IJ56" s="6" t="s">
        <v>472</v>
      </c>
      <c r="IK56" s="6">
        <v>1</v>
      </c>
      <c r="IL56" s="6">
        <v>0</v>
      </c>
      <c r="IM56" s="6">
        <v>0</v>
      </c>
      <c r="IN56" s="6"/>
      <c r="IO56" s="6" t="s">
        <v>1204</v>
      </c>
      <c r="IP56" s="6">
        <v>1</v>
      </c>
      <c r="IQ56" s="6">
        <v>0</v>
      </c>
      <c r="IR56" s="6">
        <v>0</v>
      </c>
      <c r="IS56" s="6">
        <v>0</v>
      </c>
      <c r="IT56" s="6">
        <v>1</v>
      </c>
      <c r="IU56" s="6">
        <v>0</v>
      </c>
      <c r="IV56" s="6"/>
      <c r="IW56" s="6" t="s">
        <v>426</v>
      </c>
      <c r="IX56" s="6">
        <v>1</v>
      </c>
      <c r="IY56" s="6" t="s">
        <v>474</v>
      </c>
      <c r="IZ56" s="6" t="s">
        <v>475</v>
      </c>
      <c r="JA56" s="6" t="s">
        <v>426</v>
      </c>
      <c r="JB56" s="6" t="s">
        <v>476</v>
      </c>
      <c r="JC56" s="6"/>
      <c r="JD56" s="6"/>
      <c r="JE56" s="6"/>
      <c r="JF56" s="6"/>
      <c r="JG56" s="6"/>
      <c r="JH56" s="6"/>
      <c r="JI56" s="6"/>
      <c r="JJ56" s="6"/>
      <c r="JK56" s="6" t="s">
        <v>426</v>
      </c>
      <c r="JL56" s="6" t="s">
        <v>426</v>
      </c>
      <c r="JM56" s="6"/>
      <c r="JN56" s="6"/>
      <c r="JO56" s="6"/>
      <c r="JP56" s="6"/>
      <c r="JQ56" s="6"/>
      <c r="JR56" s="6"/>
      <c r="JS56" s="6"/>
      <c r="JT56" s="6"/>
      <c r="JU56" s="6" t="s">
        <v>895</v>
      </c>
      <c r="JV56" s="15" t="s">
        <v>1388</v>
      </c>
      <c r="JW56" s="94" t="s">
        <v>1435</v>
      </c>
      <c r="JX56" s="6" t="s">
        <v>1436</v>
      </c>
      <c r="JY56" s="6">
        <v>0.8470149</v>
      </c>
      <c r="JZ56" s="6">
        <v>34.7354832</v>
      </c>
      <c r="KA56" s="6">
        <v>1852.184</v>
      </c>
      <c r="KB56" s="15">
        <v>4.249</v>
      </c>
      <c r="KC56" s="15"/>
    </row>
    <row r="57" spans="1:289">
      <c r="A57" s="6" t="s">
        <v>547</v>
      </c>
      <c r="B57" s="6" t="s">
        <v>420</v>
      </c>
      <c r="C57" s="6" t="s">
        <v>421</v>
      </c>
      <c r="D57" s="6" t="s">
        <v>899</v>
      </c>
      <c r="E57" s="6" t="s">
        <v>1437</v>
      </c>
      <c r="F57" s="8" t="s">
        <v>483</v>
      </c>
      <c r="G57" s="6" t="s">
        <v>484</v>
      </c>
      <c r="H57" s="6" t="s">
        <v>517</v>
      </c>
      <c r="I57" s="15"/>
      <c r="J57" s="6" t="s">
        <v>426</v>
      </c>
      <c r="K57" s="6" t="s">
        <v>426</v>
      </c>
      <c r="L57" s="6" t="s">
        <v>426</v>
      </c>
      <c r="M57" s="6" t="s">
        <v>426</v>
      </c>
      <c r="N57" s="6" t="s">
        <v>426</v>
      </c>
      <c r="O57" s="6" t="s">
        <v>426</v>
      </c>
      <c r="P57" s="6" t="s">
        <v>426</v>
      </c>
      <c r="Q57" s="6" t="s">
        <v>426</v>
      </c>
      <c r="R57" s="6" t="s">
        <v>426</v>
      </c>
      <c r="S57" s="6" t="s">
        <v>426</v>
      </c>
      <c r="T57" s="6" t="s">
        <v>426</v>
      </c>
      <c r="U57" s="6" t="s">
        <v>426</v>
      </c>
      <c r="V57" s="6" t="s">
        <v>453</v>
      </c>
      <c r="W57" s="6" t="s">
        <v>453</v>
      </c>
      <c r="X57" s="6" t="s">
        <v>426</v>
      </c>
      <c r="Y57" s="6" t="s">
        <v>426</v>
      </c>
      <c r="Z57" s="6" t="s">
        <v>426</v>
      </c>
      <c r="AA57" s="6" t="s">
        <v>426</v>
      </c>
      <c r="AB57" s="6" t="s">
        <v>426</v>
      </c>
      <c r="AC57" s="15" t="s">
        <v>426</v>
      </c>
      <c r="AD57" s="6" t="s">
        <v>427</v>
      </c>
      <c r="AE57" s="6">
        <v>0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0</v>
      </c>
      <c r="AL57" s="6">
        <v>0</v>
      </c>
      <c r="AM57" s="6"/>
      <c r="AN57" s="15"/>
      <c r="AO57" s="6" t="s">
        <v>426</v>
      </c>
      <c r="AP57" s="6" t="s">
        <v>683</v>
      </c>
      <c r="AQ57" s="6" t="s">
        <v>426</v>
      </c>
      <c r="AR57" s="6" t="s">
        <v>683</v>
      </c>
      <c r="AS57" s="6" t="s">
        <v>426</v>
      </c>
      <c r="AT57" s="6">
        <v>0.8</v>
      </c>
      <c r="AU57" s="6" t="s">
        <v>426</v>
      </c>
      <c r="AV57" s="6">
        <v>0.2</v>
      </c>
      <c r="AW57" s="6" t="s">
        <v>426</v>
      </c>
      <c r="AX57" s="6">
        <v>0.4</v>
      </c>
      <c r="AY57" s="6" t="s">
        <v>426</v>
      </c>
      <c r="AZ57" s="6">
        <v>1</v>
      </c>
      <c r="BA57" s="6" t="s">
        <v>426</v>
      </c>
      <c r="BB57" s="6">
        <v>0.2</v>
      </c>
      <c r="BC57" s="6" t="s">
        <v>426</v>
      </c>
      <c r="BD57" s="6">
        <v>0.4</v>
      </c>
      <c r="BE57" s="6" t="s">
        <v>426</v>
      </c>
      <c r="BF57" s="6">
        <v>4</v>
      </c>
      <c r="BG57" s="6" t="s">
        <v>426</v>
      </c>
      <c r="BH57" s="6">
        <v>0.2</v>
      </c>
      <c r="BI57" s="6" t="s">
        <v>426</v>
      </c>
      <c r="BJ57" s="6">
        <v>0.8</v>
      </c>
      <c r="BK57" s="6" t="s">
        <v>426</v>
      </c>
      <c r="BL57" s="6">
        <v>0.4</v>
      </c>
      <c r="BM57" s="6" t="s">
        <v>426</v>
      </c>
      <c r="BN57" s="6">
        <v>15</v>
      </c>
      <c r="BO57" s="6" t="s">
        <v>426</v>
      </c>
      <c r="BP57" s="6">
        <v>0.2</v>
      </c>
      <c r="BQ57" s="6" t="s">
        <v>426</v>
      </c>
      <c r="BR57" s="6">
        <v>100</v>
      </c>
      <c r="BS57" s="6" t="s">
        <v>426</v>
      </c>
      <c r="BT57" s="6">
        <v>15</v>
      </c>
      <c r="BU57" s="6" t="s">
        <v>426</v>
      </c>
      <c r="BV57" s="15">
        <v>0.8</v>
      </c>
      <c r="BW57" s="15" t="s">
        <v>428</v>
      </c>
      <c r="BX57" s="15" t="s">
        <v>429</v>
      </c>
      <c r="BY57" s="6" t="s">
        <v>430</v>
      </c>
      <c r="BZ57" s="6" t="s">
        <v>430</v>
      </c>
      <c r="CA57" s="6" t="s">
        <v>430</v>
      </c>
      <c r="CB57" s="6" t="s">
        <v>430</v>
      </c>
      <c r="CC57" s="6" t="s">
        <v>430</v>
      </c>
      <c r="CD57" s="6" t="s">
        <v>430</v>
      </c>
      <c r="CE57" s="6" t="s">
        <v>430</v>
      </c>
      <c r="CF57" s="6" t="s">
        <v>430</v>
      </c>
      <c r="CG57" s="6" t="s">
        <v>430</v>
      </c>
      <c r="CH57" s="6" t="s">
        <v>430</v>
      </c>
      <c r="CI57" s="6" t="s">
        <v>430</v>
      </c>
      <c r="CJ57" s="6" t="s">
        <v>430</v>
      </c>
      <c r="CK57" s="6" t="s">
        <v>430</v>
      </c>
      <c r="CL57" s="6" t="s">
        <v>430</v>
      </c>
      <c r="CM57" s="6" t="s">
        <v>430</v>
      </c>
      <c r="CN57" s="6" t="s">
        <v>430</v>
      </c>
      <c r="CO57" s="15" t="s">
        <v>430</v>
      </c>
      <c r="CP57" s="15" t="s">
        <v>432</v>
      </c>
      <c r="CQ57" s="6" t="s">
        <v>433</v>
      </c>
      <c r="CR57" s="15"/>
      <c r="CS57" s="6" t="s">
        <v>426</v>
      </c>
      <c r="CT57" s="6" t="s">
        <v>1438</v>
      </c>
      <c r="CU57" s="6" t="s">
        <v>1087</v>
      </c>
      <c r="CV57" s="6" t="s">
        <v>733</v>
      </c>
      <c r="CW57" s="6" t="s">
        <v>808</v>
      </c>
      <c r="CX57" s="15" t="s">
        <v>426</v>
      </c>
      <c r="CY57" s="6" t="s">
        <v>426</v>
      </c>
      <c r="CZ57" s="6" t="s">
        <v>1439</v>
      </c>
      <c r="DA57" s="6" t="s">
        <v>808</v>
      </c>
      <c r="DB57" s="6" t="s">
        <v>1087</v>
      </c>
      <c r="DC57" s="6" t="s">
        <v>733</v>
      </c>
      <c r="DD57" s="15" t="s">
        <v>808</v>
      </c>
      <c r="DE57" s="15" t="s">
        <v>436</v>
      </c>
      <c r="DF57" s="6" t="s">
        <v>522</v>
      </c>
      <c r="DG57" s="6">
        <v>0</v>
      </c>
      <c r="DH57" s="6">
        <v>1</v>
      </c>
      <c r="DI57" s="6">
        <v>0</v>
      </c>
      <c r="DJ57" s="6">
        <v>0</v>
      </c>
      <c r="DK57" s="6">
        <v>0</v>
      </c>
      <c r="DL57" s="6">
        <v>0</v>
      </c>
      <c r="DM57" s="6"/>
      <c r="DN57" s="6"/>
      <c r="DO57" s="6"/>
      <c r="DP57" s="6"/>
      <c r="DQ57" s="6"/>
      <c r="DR57" s="6"/>
      <c r="DS57" s="6"/>
      <c r="DT57" s="66"/>
      <c r="DU57" s="6" t="s">
        <v>438</v>
      </c>
      <c r="DV57" s="6" t="s">
        <v>426</v>
      </c>
      <c r="DW57" s="6" t="s">
        <v>439</v>
      </c>
      <c r="DX57" s="6" t="s">
        <v>440</v>
      </c>
      <c r="DY57" s="6"/>
      <c r="DZ57" s="6" t="s">
        <v>441</v>
      </c>
      <c r="EA57" s="6">
        <v>1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/>
      <c r="EJ57" s="6" t="s">
        <v>811</v>
      </c>
      <c r="EK57" s="6">
        <v>1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/>
      <c r="EU57" s="6" t="s">
        <v>443</v>
      </c>
      <c r="EV57" s="6" t="s">
        <v>537</v>
      </c>
      <c r="EW57" s="6" t="s">
        <v>1440</v>
      </c>
      <c r="EX57" s="6" t="s">
        <v>1123</v>
      </c>
      <c r="EY57" s="6">
        <v>1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/>
      <c r="FH57" s="6" t="s">
        <v>555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1</v>
      </c>
      <c r="FR57" s="6">
        <v>0</v>
      </c>
      <c r="FS57" s="6"/>
      <c r="FT57" s="6" t="s">
        <v>556</v>
      </c>
      <c r="FU57" s="6" t="s">
        <v>499</v>
      </c>
      <c r="FV57" s="6"/>
      <c r="FW57" s="6" t="s">
        <v>449</v>
      </c>
      <c r="FX57" s="15" t="s">
        <v>450</v>
      </c>
      <c r="FY57" s="6" t="s">
        <v>500</v>
      </c>
      <c r="FZ57" s="6"/>
      <c r="GA57" s="6" t="s">
        <v>450</v>
      </c>
      <c r="GB57" s="6" t="s">
        <v>501</v>
      </c>
      <c r="GC57" s="6" t="s">
        <v>453</v>
      </c>
      <c r="GD57" s="6"/>
      <c r="GE57" s="6" t="s">
        <v>454</v>
      </c>
      <c r="GF57" s="6" t="s">
        <v>1441</v>
      </c>
      <c r="GG57" s="6" t="s">
        <v>456</v>
      </c>
      <c r="GH57" s="15" t="s">
        <v>1442</v>
      </c>
      <c r="GI57" s="6" t="s">
        <v>458</v>
      </c>
      <c r="GJ57" s="6" t="s">
        <v>815</v>
      </c>
      <c r="GK57" s="6" t="s">
        <v>460</v>
      </c>
      <c r="GL57" s="6" t="s">
        <v>461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1</v>
      </c>
      <c r="GS57" s="6">
        <v>0</v>
      </c>
      <c r="GT57" s="6"/>
      <c r="GU57" s="6" t="s">
        <v>534</v>
      </c>
      <c r="GV57" s="6" t="s">
        <v>559</v>
      </c>
      <c r="GW57" s="6" t="s">
        <v>464</v>
      </c>
      <c r="GX57" s="6">
        <v>1</v>
      </c>
      <c r="GY57" s="6">
        <v>0</v>
      </c>
      <c r="GZ57" s="6">
        <v>0</v>
      </c>
      <c r="HA57" s="6">
        <v>0</v>
      </c>
      <c r="HB57" s="6">
        <v>0</v>
      </c>
      <c r="HC57" s="6">
        <v>0</v>
      </c>
      <c r="HD57" s="6"/>
      <c r="HE57" s="6" t="s">
        <v>535</v>
      </c>
      <c r="HF57" s="6">
        <v>1</v>
      </c>
      <c r="HG57" s="6">
        <v>0</v>
      </c>
      <c r="HH57" s="6">
        <v>0</v>
      </c>
      <c r="HI57" s="6">
        <v>0</v>
      </c>
      <c r="HJ57" s="6">
        <v>0</v>
      </c>
      <c r="HK57" s="6">
        <v>0</v>
      </c>
      <c r="HL57" s="15"/>
      <c r="HM57" s="6" t="s">
        <v>505</v>
      </c>
      <c r="HN57" s="6"/>
      <c r="HO57" s="6" t="s">
        <v>1443</v>
      </c>
      <c r="HP57" s="6" t="s">
        <v>537</v>
      </c>
      <c r="HQ57" s="6" t="s">
        <v>539</v>
      </c>
      <c r="HR57" s="6" t="s">
        <v>818</v>
      </c>
      <c r="HS57" s="6" t="s">
        <v>537</v>
      </c>
      <c r="HT57" s="6">
        <v>0</v>
      </c>
      <c r="HU57" s="6">
        <v>1</v>
      </c>
      <c r="HV57" s="6">
        <v>0</v>
      </c>
      <c r="HW57" s="6">
        <v>0</v>
      </c>
      <c r="HX57" s="6">
        <v>0</v>
      </c>
      <c r="HY57" s="6">
        <v>0</v>
      </c>
      <c r="HZ57" s="6" t="s">
        <v>1444</v>
      </c>
      <c r="IA57" s="6" t="s">
        <v>541</v>
      </c>
      <c r="IB57" s="6">
        <v>0</v>
      </c>
      <c r="IC57" s="6">
        <v>0</v>
      </c>
      <c r="ID57" s="6">
        <v>1</v>
      </c>
      <c r="IE57" s="6">
        <v>0</v>
      </c>
      <c r="IF57" s="6">
        <v>0</v>
      </c>
      <c r="IG57" s="6">
        <v>0</v>
      </c>
      <c r="IH57" s="15" t="s">
        <v>1445</v>
      </c>
      <c r="II57" s="6" t="s">
        <v>426</v>
      </c>
      <c r="IJ57" s="6" t="s">
        <v>472</v>
      </c>
      <c r="IK57" s="6">
        <v>1</v>
      </c>
      <c r="IL57" s="6">
        <v>0</v>
      </c>
      <c r="IM57" s="6">
        <v>0</v>
      </c>
      <c r="IN57" s="6"/>
      <c r="IO57" s="6" t="s">
        <v>473</v>
      </c>
      <c r="IP57" s="6">
        <v>1</v>
      </c>
      <c r="IQ57" s="6">
        <v>0</v>
      </c>
      <c r="IR57" s="6">
        <v>0</v>
      </c>
      <c r="IS57" s="6">
        <v>0</v>
      </c>
      <c r="IT57" s="6">
        <v>0</v>
      </c>
      <c r="IU57" s="6">
        <v>0</v>
      </c>
      <c r="IV57" s="6"/>
      <c r="IW57" s="6" t="s">
        <v>426</v>
      </c>
      <c r="IX57" s="6">
        <v>1</v>
      </c>
      <c r="IY57" s="6" t="s">
        <v>474</v>
      </c>
      <c r="IZ57" s="6" t="s">
        <v>475</v>
      </c>
      <c r="JA57" s="6" t="s">
        <v>426</v>
      </c>
      <c r="JB57" s="6" t="s">
        <v>476</v>
      </c>
      <c r="JC57" s="6"/>
      <c r="JD57" s="6"/>
      <c r="JE57" s="6"/>
      <c r="JF57" s="6"/>
      <c r="JG57" s="6"/>
      <c r="JH57" s="6"/>
      <c r="JI57" s="6"/>
      <c r="JJ57" s="6"/>
      <c r="JK57" s="6" t="s">
        <v>426</v>
      </c>
      <c r="JL57" s="6" t="s">
        <v>426</v>
      </c>
      <c r="JM57" s="6"/>
      <c r="JN57" s="6"/>
      <c r="JO57" s="6"/>
      <c r="JP57" s="6"/>
      <c r="JQ57" s="6"/>
      <c r="JR57" s="6"/>
      <c r="JS57" s="6"/>
      <c r="JT57" s="6"/>
      <c r="JU57" s="6" t="s">
        <v>895</v>
      </c>
      <c r="JV57" s="15" t="s">
        <v>1446</v>
      </c>
      <c r="JW57" s="94" t="s">
        <v>1447</v>
      </c>
      <c r="JX57" s="6" t="s">
        <v>1448</v>
      </c>
      <c r="JY57" s="6">
        <v>0.8472117</v>
      </c>
      <c r="JZ57" s="6">
        <v>34.73573</v>
      </c>
      <c r="KA57" s="6">
        <v>1933.3</v>
      </c>
      <c r="KB57" s="15">
        <v>4.68</v>
      </c>
      <c r="KC57" s="15"/>
    </row>
    <row r="58" spans="1:289">
      <c r="A58" s="6" t="s">
        <v>864</v>
      </c>
      <c r="B58" s="6" t="s">
        <v>420</v>
      </c>
      <c r="C58" s="6" t="s">
        <v>421</v>
      </c>
      <c r="D58" s="6" t="s">
        <v>1006</v>
      </c>
      <c r="E58" s="6" t="s">
        <v>1449</v>
      </c>
      <c r="F58" s="8" t="s">
        <v>423</v>
      </c>
      <c r="G58" s="6" t="s">
        <v>424</v>
      </c>
      <c r="H58" s="6" t="s">
        <v>517</v>
      </c>
      <c r="I58" s="15"/>
      <c r="J58" s="6" t="s">
        <v>426</v>
      </c>
      <c r="K58" s="6" t="s">
        <v>426</v>
      </c>
      <c r="L58" s="6" t="s">
        <v>426</v>
      </c>
      <c r="M58" s="6" t="s">
        <v>426</v>
      </c>
      <c r="N58" s="6" t="s">
        <v>426</v>
      </c>
      <c r="O58" s="6" t="s">
        <v>426</v>
      </c>
      <c r="P58" s="6" t="s">
        <v>426</v>
      </c>
      <c r="Q58" s="6" t="s">
        <v>426</v>
      </c>
      <c r="R58" s="6" t="s">
        <v>426</v>
      </c>
      <c r="S58" s="6" t="s">
        <v>426</v>
      </c>
      <c r="T58" s="6" t="s">
        <v>426</v>
      </c>
      <c r="U58" s="6" t="s">
        <v>426</v>
      </c>
      <c r="V58" s="6" t="s">
        <v>426</v>
      </c>
      <c r="W58" s="6" t="s">
        <v>426</v>
      </c>
      <c r="X58" s="6" t="s">
        <v>426</v>
      </c>
      <c r="Y58" s="6" t="s">
        <v>426</v>
      </c>
      <c r="Z58" s="6" t="s">
        <v>426</v>
      </c>
      <c r="AA58" s="6" t="s">
        <v>426</v>
      </c>
      <c r="AB58" s="6" t="s">
        <v>426</v>
      </c>
      <c r="AC58" s="15" t="s">
        <v>426</v>
      </c>
      <c r="AD58" s="6" t="s">
        <v>427</v>
      </c>
      <c r="AE58" s="6">
        <v>0</v>
      </c>
      <c r="AF58" s="6">
        <v>0</v>
      </c>
      <c r="AG58" s="6">
        <v>0</v>
      </c>
      <c r="AH58" s="6">
        <v>1</v>
      </c>
      <c r="AI58" s="6">
        <v>0</v>
      </c>
      <c r="AJ58" s="6">
        <v>0</v>
      </c>
      <c r="AK58" s="6">
        <v>0</v>
      </c>
      <c r="AL58" s="6">
        <v>0</v>
      </c>
      <c r="AM58" s="6"/>
      <c r="AN58" s="15"/>
      <c r="AO58" s="6" t="s">
        <v>426</v>
      </c>
      <c r="AP58" s="6" t="s">
        <v>1450</v>
      </c>
      <c r="AQ58" s="6" t="s">
        <v>426</v>
      </c>
      <c r="AR58" s="6" t="s">
        <v>920</v>
      </c>
      <c r="AS58" s="6" t="s">
        <v>426</v>
      </c>
      <c r="AT58" s="6">
        <v>0.3</v>
      </c>
      <c r="AU58" s="6" t="s">
        <v>426</v>
      </c>
      <c r="AV58" s="6">
        <v>0.3</v>
      </c>
      <c r="AW58" s="6" t="s">
        <v>426</v>
      </c>
      <c r="AX58" s="6">
        <v>0.2</v>
      </c>
      <c r="AY58" s="6" t="s">
        <v>426</v>
      </c>
      <c r="AZ58" s="6">
        <v>1</v>
      </c>
      <c r="BA58" s="6" t="s">
        <v>426</v>
      </c>
      <c r="BB58" s="6">
        <v>0.1</v>
      </c>
      <c r="BC58" s="6" t="s">
        <v>426</v>
      </c>
      <c r="BD58" s="6">
        <v>0.2</v>
      </c>
      <c r="BE58" s="6" t="s">
        <v>426</v>
      </c>
      <c r="BF58" s="6">
        <v>15</v>
      </c>
      <c r="BG58" s="6" t="s">
        <v>426</v>
      </c>
      <c r="BH58" s="6">
        <v>0.1</v>
      </c>
      <c r="BI58" s="6" t="s">
        <v>426</v>
      </c>
      <c r="BJ58" s="6">
        <v>0.4</v>
      </c>
      <c r="BK58" s="6" t="s">
        <v>426</v>
      </c>
      <c r="BL58" s="6">
        <v>0.6</v>
      </c>
      <c r="BM58" s="6" t="s">
        <v>426</v>
      </c>
      <c r="BN58" s="6">
        <v>36</v>
      </c>
      <c r="BO58" s="6" t="s">
        <v>426</v>
      </c>
      <c r="BP58" s="6">
        <v>0.2</v>
      </c>
      <c r="BQ58" s="6" t="s">
        <v>426</v>
      </c>
      <c r="BR58" s="6">
        <v>50</v>
      </c>
      <c r="BS58" s="6" t="s">
        <v>426</v>
      </c>
      <c r="BT58" s="6">
        <v>20</v>
      </c>
      <c r="BU58" s="6" t="s">
        <v>426</v>
      </c>
      <c r="BV58" s="15">
        <v>0.2</v>
      </c>
      <c r="BW58" s="15" t="s">
        <v>428</v>
      </c>
      <c r="BX58" s="15" t="s">
        <v>429</v>
      </c>
      <c r="BY58" s="6" t="s">
        <v>430</v>
      </c>
      <c r="BZ58" s="6" t="s">
        <v>430</v>
      </c>
      <c r="CA58" s="6" t="s">
        <v>430</v>
      </c>
      <c r="CB58" s="6" t="s">
        <v>430</v>
      </c>
      <c r="CC58" s="6" t="s">
        <v>430</v>
      </c>
      <c r="CD58" s="6" t="s">
        <v>430</v>
      </c>
      <c r="CE58" s="6" t="s">
        <v>430</v>
      </c>
      <c r="CF58" s="6" t="s">
        <v>430</v>
      </c>
      <c r="CG58" s="6" t="s">
        <v>430</v>
      </c>
      <c r="CH58" s="6" t="s">
        <v>430</v>
      </c>
      <c r="CI58" s="6" t="s">
        <v>430</v>
      </c>
      <c r="CJ58" s="6" t="s">
        <v>430</v>
      </c>
      <c r="CK58" s="6" t="s">
        <v>430</v>
      </c>
      <c r="CL58" s="6" t="s">
        <v>430</v>
      </c>
      <c r="CM58" s="6" t="s">
        <v>430</v>
      </c>
      <c r="CN58" s="6" t="s">
        <v>486</v>
      </c>
      <c r="CO58" s="15" t="s">
        <v>430</v>
      </c>
      <c r="CP58" s="15" t="s">
        <v>432</v>
      </c>
      <c r="CQ58" s="6" t="s">
        <v>433</v>
      </c>
      <c r="CR58" s="15"/>
      <c r="CS58" s="6" t="s">
        <v>426</v>
      </c>
      <c r="CT58" s="6" t="s">
        <v>1451</v>
      </c>
      <c r="CU58" s="6" t="s">
        <v>1452</v>
      </c>
      <c r="CV58" s="6" t="s">
        <v>1453</v>
      </c>
      <c r="CW58" s="6" t="s">
        <v>1429</v>
      </c>
      <c r="CX58" s="15" t="s">
        <v>453</v>
      </c>
      <c r="CY58" s="6"/>
      <c r="CZ58" s="6"/>
      <c r="DA58" s="6"/>
      <c r="DB58" s="6"/>
      <c r="DC58" s="6"/>
      <c r="DD58" s="15"/>
      <c r="DE58" s="15" t="s">
        <v>436</v>
      </c>
      <c r="DF58" s="6" t="s">
        <v>1308</v>
      </c>
      <c r="DG58" s="6">
        <v>1</v>
      </c>
      <c r="DH58" s="6">
        <v>0</v>
      </c>
      <c r="DI58" s="6">
        <v>1</v>
      </c>
      <c r="DJ58" s="6">
        <v>0</v>
      </c>
      <c r="DK58" s="6">
        <v>0</v>
      </c>
      <c r="DL58" s="6">
        <v>0</v>
      </c>
      <c r="DM58" s="6"/>
      <c r="DN58" s="6"/>
      <c r="DO58" s="6"/>
      <c r="DP58" s="6"/>
      <c r="DQ58" s="6"/>
      <c r="DR58" s="6"/>
      <c r="DS58" s="6"/>
      <c r="DT58" s="66"/>
      <c r="DU58" s="6" t="s">
        <v>438</v>
      </c>
      <c r="DV58" s="6" t="s">
        <v>426</v>
      </c>
      <c r="DW58" s="6" t="s">
        <v>439</v>
      </c>
      <c r="DX58" s="6" t="s">
        <v>491</v>
      </c>
      <c r="DY58" s="6"/>
      <c r="DZ58" s="6" t="s">
        <v>1253</v>
      </c>
      <c r="EA58" s="6">
        <v>1</v>
      </c>
      <c r="EB58" s="6">
        <v>1</v>
      </c>
      <c r="EC58" s="6">
        <v>1</v>
      </c>
      <c r="ED58" s="6">
        <v>0</v>
      </c>
      <c r="EE58" s="6">
        <v>0</v>
      </c>
      <c r="EF58" s="6">
        <v>1</v>
      </c>
      <c r="EG58" s="6">
        <v>0</v>
      </c>
      <c r="EH58" s="6">
        <v>0</v>
      </c>
      <c r="EI58" s="6"/>
      <c r="EJ58" s="6" t="s">
        <v>1454</v>
      </c>
      <c r="EK58" s="6">
        <v>1</v>
      </c>
      <c r="EL58" s="6">
        <v>0</v>
      </c>
      <c r="EM58" s="6">
        <v>1</v>
      </c>
      <c r="EN58" s="6">
        <v>1</v>
      </c>
      <c r="EO58" s="6">
        <v>1</v>
      </c>
      <c r="EP58" s="6">
        <v>1</v>
      </c>
      <c r="EQ58" s="6">
        <v>1</v>
      </c>
      <c r="ER58" s="6">
        <v>0</v>
      </c>
      <c r="ES58" s="6">
        <v>0</v>
      </c>
      <c r="ET58" s="6"/>
      <c r="EU58" s="6" t="s">
        <v>494</v>
      </c>
      <c r="EV58" s="6" t="s">
        <v>495</v>
      </c>
      <c r="EW58" s="6"/>
      <c r="EX58" s="6" t="s">
        <v>1455</v>
      </c>
      <c r="EY58" s="6">
        <v>0</v>
      </c>
      <c r="EZ58" s="6">
        <v>0</v>
      </c>
      <c r="FA58" s="6">
        <v>0</v>
      </c>
      <c r="FB58" s="6">
        <v>1</v>
      </c>
      <c r="FC58" s="6">
        <v>0</v>
      </c>
      <c r="FD58" s="6">
        <v>0</v>
      </c>
      <c r="FE58" s="6">
        <v>0</v>
      </c>
      <c r="FF58" s="6">
        <v>0</v>
      </c>
      <c r="FG58" s="6"/>
      <c r="FH58" s="6" t="s">
        <v>537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1</v>
      </c>
      <c r="FS58" s="6" t="s">
        <v>1419</v>
      </c>
      <c r="FT58" s="6" t="s">
        <v>556</v>
      </c>
      <c r="FU58" s="6" t="s">
        <v>448</v>
      </c>
      <c r="FV58" s="6"/>
      <c r="FW58" s="6" t="s">
        <v>449</v>
      </c>
      <c r="FX58" s="15" t="s">
        <v>450</v>
      </c>
      <c r="FY58" s="6" t="s">
        <v>529</v>
      </c>
      <c r="FZ58" s="6"/>
      <c r="GA58" s="6" t="s">
        <v>450</v>
      </c>
      <c r="GB58" s="6" t="s">
        <v>501</v>
      </c>
      <c r="GC58" s="6" t="s">
        <v>426</v>
      </c>
      <c r="GD58" s="6" t="s">
        <v>1456</v>
      </c>
      <c r="GE58" s="6" t="s">
        <v>454</v>
      </c>
      <c r="GF58" s="6" t="s">
        <v>1457</v>
      </c>
      <c r="GG58" s="6" t="s">
        <v>592</v>
      </c>
      <c r="GH58" s="15" t="s">
        <v>1458</v>
      </c>
      <c r="GI58" s="6" t="s">
        <v>458</v>
      </c>
      <c r="GJ58" s="6" t="s">
        <v>958</v>
      </c>
      <c r="GK58" s="6" t="s">
        <v>460</v>
      </c>
      <c r="GL58" s="6" t="s">
        <v>461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1</v>
      </c>
      <c r="GS58" s="6">
        <v>0</v>
      </c>
      <c r="GT58" s="6"/>
      <c r="GU58" s="6" t="s">
        <v>462</v>
      </c>
      <c r="GV58" s="6" t="s">
        <v>623</v>
      </c>
      <c r="GW58" s="6" t="s">
        <v>464</v>
      </c>
      <c r="GX58" s="6">
        <v>1</v>
      </c>
      <c r="GY58" s="6">
        <v>0</v>
      </c>
      <c r="GZ58" s="6">
        <v>0</v>
      </c>
      <c r="HA58" s="6">
        <v>0</v>
      </c>
      <c r="HB58" s="6">
        <v>0</v>
      </c>
      <c r="HC58" s="6">
        <v>0</v>
      </c>
      <c r="HD58" s="6"/>
      <c r="HE58" s="6" t="s">
        <v>1459</v>
      </c>
      <c r="HF58" s="6">
        <v>0</v>
      </c>
      <c r="HG58" s="6">
        <v>1</v>
      </c>
      <c r="HH58" s="6">
        <v>1</v>
      </c>
      <c r="HI58" s="6">
        <v>0</v>
      </c>
      <c r="HJ58" s="6">
        <v>0</v>
      </c>
      <c r="HK58" s="6">
        <v>0</v>
      </c>
      <c r="HL58" s="15"/>
      <c r="HM58" s="6" t="s">
        <v>676</v>
      </c>
      <c r="HN58" s="6"/>
      <c r="HO58" s="6" t="s">
        <v>1460</v>
      </c>
      <c r="HP58" s="6" t="s">
        <v>537</v>
      </c>
      <c r="HQ58" s="6" t="s">
        <v>1201</v>
      </c>
      <c r="HR58" s="6" t="s">
        <v>1461</v>
      </c>
      <c r="HS58" s="6" t="s">
        <v>1462</v>
      </c>
      <c r="HT58" s="6">
        <v>0</v>
      </c>
      <c r="HU58" s="6">
        <v>0</v>
      </c>
      <c r="HV58" s="6">
        <v>1</v>
      </c>
      <c r="HW58" s="6">
        <v>0</v>
      </c>
      <c r="HX58" s="6">
        <v>1</v>
      </c>
      <c r="HY58" s="6">
        <v>0</v>
      </c>
      <c r="HZ58" s="6"/>
      <c r="IA58" s="6" t="s">
        <v>1219</v>
      </c>
      <c r="IB58" s="6">
        <v>1</v>
      </c>
      <c r="IC58" s="6">
        <v>1</v>
      </c>
      <c r="ID58" s="6">
        <v>0</v>
      </c>
      <c r="IE58" s="6">
        <v>0</v>
      </c>
      <c r="IF58" s="6">
        <v>0</v>
      </c>
      <c r="IG58" s="6">
        <v>0</v>
      </c>
      <c r="IH58" s="15" t="s">
        <v>1463</v>
      </c>
      <c r="II58" s="6" t="s">
        <v>426</v>
      </c>
      <c r="IJ58" s="6" t="s">
        <v>602</v>
      </c>
      <c r="IK58" s="6">
        <v>1</v>
      </c>
      <c r="IL58" s="6">
        <v>1</v>
      </c>
      <c r="IM58" s="6">
        <v>0</v>
      </c>
      <c r="IN58" s="6"/>
      <c r="IO58" s="6" t="s">
        <v>893</v>
      </c>
      <c r="IP58" s="6">
        <v>1</v>
      </c>
      <c r="IQ58" s="6">
        <v>0</v>
      </c>
      <c r="IR58" s="6">
        <v>0</v>
      </c>
      <c r="IS58" s="6">
        <v>1</v>
      </c>
      <c r="IT58" s="6">
        <v>0</v>
      </c>
      <c r="IU58" s="6">
        <v>0</v>
      </c>
      <c r="IV58" s="6"/>
      <c r="IW58" s="6" t="s">
        <v>426</v>
      </c>
      <c r="IX58" s="6">
        <v>1</v>
      </c>
      <c r="IY58" s="6" t="s">
        <v>474</v>
      </c>
      <c r="IZ58" s="6" t="s">
        <v>475</v>
      </c>
      <c r="JA58" s="6" t="s">
        <v>426</v>
      </c>
      <c r="JB58" s="6" t="s">
        <v>651</v>
      </c>
      <c r="JC58" s="6"/>
      <c r="JD58" s="6"/>
      <c r="JE58" s="6"/>
      <c r="JF58" s="6"/>
      <c r="JG58" s="6"/>
      <c r="JH58" s="6"/>
      <c r="JI58" s="6"/>
      <c r="JJ58" s="6"/>
      <c r="JK58" s="6" t="s">
        <v>426</v>
      </c>
      <c r="JL58" s="6" t="s">
        <v>453</v>
      </c>
      <c r="JM58" s="6" t="s">
        <v>913</v>
      </c>
      <c r="JN58" s="6">
        <v>1</v>
      </c>
      <c r="JO58" s="6">
        <v>0</v>
      </c>
      <c r="JP58" s="6">
        <v>0</v>
      </c>
      <c r="JQ58" s="6">
        <v>0</v>
      </c>
      <c r="JR58" s="6">
        <v>0</v>
      </c>
      <c r="JS58" s="6">
        <v>0</v>
      </c>
      <c r="JT58" s="6"/>
      <c r="JU58" s="6" t="s">
        <v>895</v>
      </c>
      <c r="JV58" s="15" t="s">
        <v>1464</v>
      </c>
      <c r="JW58" s="94" t="s">
        <v>1465</v>
      </c>
      <c r="JX58" s="6" t="s">
        <v>1466</v>
      </c>
      <c r="JY58" s="6">
        <v>0.8346231</v>
      </c>
      <c r="JZ58" s="6">
        <v>34.7482869</v>
      </c>
      <c r="KA58" s="6">
        <v>1717.238</v>
      </c>
      <c r="KB58" s="15">
        <v>2.032</v>
      </c>
      <c r="KC58" s="15"/>
    </row>
    <row r="59" spans="1:289">
      <c r="A59" s="6" t="s">
        <v>755</v>
      </c>
      <c r="B59" s="6" t="s">
        <v>420</v>
      </c>
      <c r="C59" s="6" t="s">
        <v>421</v>
      </c>
      <c r="D59" s="6" t="s">
        <v>1348</v>
      </c>
      <c r="E59" s="6" t="s">
        <v>1467</v>
      </c>
      <c r="F59" s="8" t="s">
        <v>483</v>
      </c>
      <c r="G59" s="6" t="s">
        <v>567</v>
      </c>
      <c r="H59" s="6" t="s">
        <v>517</v>
      </c>
      <c r="I59" s="15"/>
      <c r="J59" s="6" t="s">
        <v>426</v>
      </c>
      <c r="K59" s="6" t="s">
        <v>426</v>
      </c>
      <c r="L59" s="6" t="s">
        <v>426</v>
      </c>
      <c r="M59" s="6" t="s">
        <v>426</v>
      </c>
      <c r="N59" s="6" t="s">
        <v>426</v>
      </c>
      <c r="O59" s="6" t="s">
        <v>426</v>
      </c>
      <c r="P59" s="6" t="s">
        <v>426</v>
      </c>
      <c r="Q59" s="6" t="s">
        <v>426</v>
      </c>
      <c r="R59" s="6" t="s">
        <v>426</v>
      </c>
      <c r="S59" s="6" t="s">
        <v>426</v>
      </c>
      <c r="T59" s="6" t="s">
        <v>426</v>
      </c>
      <c r="U59" s="6" t="s">
        <v>426</v>
      </c>
      <c r="V59" s="6" t="s">
        <v>453</v>
      </c>
      <c r="W59" s="6" t="s">
        <v>453</v>
      </c>
      <c r="X59" s="6" t="s">
        <v>426</v>
      </c>
      <c r="Y59" s="6" t="s">
        <v>426</v>
      </c>
      <c r="Z59" s="6" t="s">
        <v>426</v>
      </c>
      <c r="AA59" s="6" t="s">
        <v>426</v>
      </c>
      <c r="AB59" s="6" t="s">
        <v>453</v>
      </c>
      <c r="AC59" s="15" t="s">
        <v>453</v>
      </c>
      <c r="AD59" s="6" t="s">
        <v>427</v>
      </c>
      <c r="AE59" s="6">
        <v>0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0</v>
      </c>
      <c r="AL59" s="6">
        <v>0</v>
      </c>
      <c r="AM59" s="6"/>
      <c r="AN59" s="15"/>
      <c r="AO59" s="6" t="s">
        <v>426</v>
      </c>
      <c r="AP59" s="6" t="s">
        <v>688</v>
      </c>
      <c r="AQ59" s="6" t="s">
        <v>426</v>
      </c>
      <c r="AR59" s="6" t="s">
        <v>688</v>
      </c>
      <c r="AS59" s="6" t="s">
        <v>426</v>
      </c>
      <c r="AT59" s="6">
        <v>0.2</v>
      </c>
      <c r="AU59" s="6" t="s">
        <v>453</v>
      </c>
      <c r="AV59" s="6"/>
      <c r="AW59" s="6" t="s">
        <v>426</v>
      </c>
      <c r="AX59" s="6">
        <v>0.2</v>
      </c>
      <c r="AY59" s="6" t="s">
        <v>426</v>
      </c>
      <c r="AZ59" s="6">
        <v>13</v>
      </c>
      <c r="BA59" s="6" t="s">
        <v>453</v>
      </c>
      <c r="BB59" s="6"/>
      <c r="BC59" s="6" t="s">
        <v>426</v>
      </c>
      <c r="BD59" s="6">
        <v>0.2</v>
      </c>
      <c r="BE59" s="6" t="s">
        <v>453</v>
      </c>
      <c r="BF59" s="6"/>
      <c r="BG59" s="6" t="s">
        <v>426</v>
      </c>
      <c r="BH59" s="6">
        <v>0.5</v>
      </c>
      <c r="BI59" s="6" t="s">
        <v>426</v>
      </c>
      <c r="BJ59" s="6">
        <v>0.2</v>
      </c>
      <c r="BK59" s="6" t="s">
        <v>426</v>
      </c>
      <c r="BL59" s="6">
        <v>0.2</v>
      </c>
      <c r="BM59" s="6" t="s">
        <v>426</v>
      </c>
      <c r="BN59" s="6">
        <v>60</v>
      </c>
      <c r="BO59" s="6" t="s">
        <v>426</v>
      </c>
      <c r="BP59" s="6">
        <v>0.5</v>
      </c>
      <c r="BQ59" s="6" t="s">
        <v>426</v>
      </c>
      <c r="BR59" s="6">
        <v>80</v>
      </c>
      <c r="BS59" s="6" t="s">
        <v>426</v>
      </c>
      <c r="BT59" s="6">
        <v>2</v>
      </c>
      <c r="BU59" s="6" t="s">
        <v>426</v>
      </c>
      <c r="BV59" s="15">
        <v>0.2</v>
      </c>
      <c r="BW59" s="15" t="s">
        <v>428</v>
      </c>
      <c r="BX59" s="15" t="s">
        <v>429</v>
      </c>
      <c r="BY59" s="6" t="s">
        <v>430</v>
      </c>
      <c r="BZ59" s="6" t="s">
        <v>430</v>
      </c>
      <c r="CA59" s="6" t="s">
        <v>430</v>
      </c>
      <c r="CB59" s="6" t="s">
        <v>487</v>
      </c>
      <c r="CC59" s="6" t="s">
        <v>430</v>
      </c>
      <c r="CD59" s="6" t="s">
        <v>430</v>
      </c>
      <c r="CE59" s="6" t="s">
        <v>487</v>
      </c>
      <c r="CF59" s="6" t="s">
        <v>430</v>
      </c>
      <c r="CG59" s="6" t="s">
        <v>487</v>
      </c>
      <c r="CH59" s="6" t="s">
        <v>430</v>
      </c>
      <c r="CI59" s="6" t="s">
        <v>430</v>
      </c>
      <c r="CJ59" s="6" t="s">
        <v>430</v>
      </c>
      <c r="CK59" s="6" t="s">
        <v>430</v>
      </c>
      <c r="CL59" s="6" t="s">
        <v>430</v>
      </c>
      <c r="CM59" s="6" t="s">
        <v>430</v>
      </c>
      <c r="CN59" s="6" t="s">
        <v>430</v>
      </c>
      <c r="CO59" s="15" t="s">
        <v>430</v>
      </c>
      <c r="CP59" s="15" t="s">
        <v>432</v>
      </c>
      <c r="CQ59" s="6" t="s">
        <v>433</v>
      </c>
      <c r="CR59" s="15"/>
      <c r="CS59" s="6" t="s">
        <v>426</v>
      </c>
      <c r="CT59" s="6" t="s">
        <v>1468</v>
      </c>
      <c r="CU59" s="6" t="s">
        <v>683</v>
      </c>
      <c r="CV59" s="6" t="s">
        <v>662</v>
      </c>
      <c r="CW59" s="6" t="s">
        <v>735</v>
      </c>
      <c r="CX59" s="15" t="s">
        <v>426</v>
      </c>
      <c r="CY59" s="6" t="s">
        <v>426</v>
      </c>
      <c r="CZ59" s="6" t="s">
        <v>1469</v>
      </c>
      <c r="DA59" s="6" t="s">
        <v>826</v>
      </c>
      <c r="DB59" s="6" t="s">
        <v>1188</v>
      </c>
      <c r="DC59" s="6" t="s">
        <v>662</v>
      </c>
      <c r="DD59" s="15" t="s">
        <v>826</v>
      </c>
      <c r="DE59" s="15" t="s">
        <v>436</v>
      </c>
      <c r="DF59" s="6" t="s">
        <v>437</v>
      </c>
      <c r="DG59" s="6">
        <v>1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/>
      <c r="DN59" s="6"/>
      <c r="DO59" s="6"/>
      <c r="DP59" s="6"/>
      <c r="DQ59" s="6"/>
      <c r="DR59" s="6"/>
      <c r="DS59" s="6"/>
      <c r="DT59" s="66"/>
      <c r="DU59" s="6" t="s">
        <v>438</v>
      </c>
      <c r="DV59" s="6" t="s">
        <v>426</v>
      </c>
      <c r="DW59" s="6" t="s">
        <v>439</v>
      </c>
      <c r="DX59" s="6" t="s">
        <v>440</v>
      </c>
      <c r="DY59" s="6"/>
      <c r="DZ59" s="6" t="s">
        <v>1253</v>
      </c>
      <c r="EA59" s="6">
        <v>1</v>
      </c>
      <c r="EB59" s="6">
        <v>1</v>
      </c>
      <c r="EC59" s="6">
        <v>1</v>
      </c>
      <c r="ED59" s="6">
        <v>0</v>
      </c>
      <c r="EE59" s="6">
        <v>0</v>
      </c>
      <c r="EF59" s="6">
        <v>1</v>
      </c>
      <c r="EG59" s="6">
        <v>0</v>
      </c>
      <c r="EH59" s="6">
        <v>0</v>
      </c>
      <c r="EI59" s="6"/>
      <c r="EJ59" s="6" t="s">
        <v>769</v>
      </c>
      <c r="EK59" s="6">
        <v>1</v>
      </c>
      <c r="EL59" s="6">
        <v>1</v>
      </c>
      <c r="EM59" s="6">
        <v>1</v>
      </c>
      <c r="EN59" s="6">
        <v>1</v>
      </c>
      <c r="EO59" s="6">
        <v>1</v>
      </c>
      <c r="EP59" s="6">
        <v>1</v>
      </c>
      <c r="EQ59" s="6">
        <v>0</v>
      </c>
      <c r="ER59" s="6">
        <v>0</v>
      </c>
      <c r="ES59" s="6">
        <v>0</v>
      </c>
      <c r="ET59" s="6"/>
      <c r="EU59" s="6" t="s">
        <v>443</v>
      </c>
      <c r="EV59" s="6" t="s">
        <v>444</v>
      </c>
      <c r="EW59" s="6"/>
      <c r="EX59" s="6" t="s">
        <v>1051</v>
      </c>
      <c r="EY59" s="6">
        <v>1</v>
      </c>
      <c r="EZ59" s="6">
        <v>1</v>
      </c>
      <c r="FA59" s="6">
        <v>1</v>
      </c>
      <c r="FB59" s="6">
        <v>1</v>
      </c>
      <c r="FC59" s="6">
        <v>1</v>
      </c>
      <c r="FD59" s="6">
        <v>0</v>
      </c>
      <c r="FE59" s="6">
        <v>0</v>
      </c>
      <c r="FF59" s="6">
        <v>0</v>
      </c>
      <c r="FG59" s="6"/>
      <c r="FH59" s="6" t="s">
        <v>1470</v>
      </c>
      <c r="FI59" s="6">
        <v>1</v>
      </c>
      <c r="FJ59" s="6">
        <v>0</v>
      </c>
      <c r="FK59" s="6">
        <v>1</v>
      </c>
      <c r="FL59" s="6">
        <v>0</v>
      </c>
      <c r="FM59" s="6">
        <v>1</v>
      </c>
      <c r="FN59" s="6">
        <v>0</v>
      </c>
      <c r="FO59" s="6">
        <v>0</v>
      </c>
      <c r="FP59" s="6">
        <v>0</v>
      </c>
      <c r="FQ59" s="6">
        <v>1</v>
      </c>
      <c r="FR59" s="6">
        <v>0</v>
      </c>
      <c r="FS59" s="6"/>
      <c r="FT59" s="6" t="s">
        <v>447</v>
      </c>
      <c r="FU59" s="6" t="s">
        <v>499</v>
      </c>
      <c r="FV59" s="6"/>
      <c r="FW59" s="6" t="s">
        <v>449</v>
      </c>
      <c r="FX59" s="15" t="s">
        <v>450</v>
      </c>
      <c r="FY59" s="6" t="s">
        <v>529</v>
      </c>
      <c r="FZ59" s="6"/>
      <c r="GA59" s="6" t="s">
        <v>450</v>
      </c>
      <c r="GB59" s="6" t="s">
        <v>501</v>
      </c>
      <c r="GC59" s="6" t="s">
        <v>426</v>
      </c>
      <c r="GD59" s="6" t="s">
        <v>1471</v>
      </c>
      <c r="GE59" s="6" t="s">
        <v>454</v>
      </c>
      <c r="GF59" s="6" t="s">
        <v>1472</v>
      </c>
      <c r="GG59" s="6" t="s">
        <v>456</v>
      </c>
      <c r="GH59" s="15" t="s">
        <v>855</v>
      </c>
      <c r="GI59" s="6" t="s">
        <v>458</v>
      </c>
      <c r="GJ59" s="6" t="s">
        <v>1473</v>
      </c>
      <c r="GK59" s="6" t="s">
        <v>460</v>
      </c>
      <c r="GL59" s="6" t="s">
        <v>1474</v>
      </c>
      <c r="GM59" s="6">
        <v>1</v>
      </c>
      <c r="GN59" s="6">
        <v>1</v>
      </c>
      <c r="GO59" s="6">
        <v>1</v>
      </c>
      <c r="GP59" s="6">
        <v>1</v>
      </c>
      <c r="GQ59" s="6">
        <v>0</v>
      </c>
      <c r="GR59" s="6">
        <v>0</v>
      </c>
      <c r="GS59" s="6">
        <v>0</v>
      </c>
      <c r="GT59" s="6"/>
      <c r="GU59" s="6" t="s">
        <v>534</v>
      </c>
      <c r="GV59" s="6" t="s">
        <v>595</v>
      </c>
      <c r="GW59" s="6" t="s">
        <v>464</v>
      </c>
      <c r="GX59" s="6">
        <v>1</v>
      </c>
      <c r="GY59" s="6">
        <v>0</v>
      </c>
      <c r="GZ59" s="6">
        <v>0</v>
      </c>
      <c r="HA59" s="6">
        <v>0</v>
      </c>
      <c r="HB59" s="6">
        <v>0</v>
      </c>
      <c r="HC59" s="6">
        <v>0</v>
      </c>
      <c r="HD59" s="6"/>
      <c r="HE59" s="6" t="s">
        <v>596</v>
      </c>
      <c r="HF59" s="6">
        <v>1</v>
      </c>
      <c r="HG59" s="6">
        <v>1</v>
      </c>
      <c r="HH59" s="6">
        <v>1</v>
      </c>
      <c r="HI59" s="6">
        <v>1</v>
      </c>
      <c r="HJ59" s="6">
        <v>0</v>
      </c>
      <c r="HK59" s="6">
        <v>0</v>
      </c>
      <c r="HL59" s="15"/>
      <c r="HM59" s="6" t="s">
        <v>466</v>
      </c>
      <c r="HN59" s="6"/>
      <c r="HO59" s="6" t="s">
        <v>1475</v>
      </c>
      <c r="HP59" s="6" t="s">
        <v>561</v>
      </c>
      <c r="HQ59" s="6"/>
      <c r="HR59" s="6" t="s">
        <v>645</v>
      </c>
      <c r="HS59" s="6" t="s">
        <v>1315</v>
      </c>
      <c r="HT59" s="6">
        <v>0</v>
      </c>
      <c r="HU59" s="6">
        <v>0</v>
      </c>
      <c r="HV59" s="6">
        <v>1</v>
      </c>
      <c r="HW59" s="6">
        <v>0</v>
      </c>
      <c r="HX59" s="6">
        <v>1</v>
      </c>
      <c r="HY59" s="6">
        <v>1</v>
      </c>
      <c r="HZ59" s="6"/>
      <c r="IA59" s="6" t="s">
        <v>1284</v>
      </c>
      <c r="IB59" s="6">
        <v>1</v>
      </c>
      <c r="IC59" s="6">
        <v>1</v>
      </c>
      <c r="ID59" s="6">
        <v>1</v>
      </c>
      <c r="IE59" s="6">
        <v>1</v>
      </c>
      <c r="IF59" s="6">
        <v>0</v>
      </c>
      <c r="IG59" s="6">
        <v>0</v>
      </c>
      <c r="IH59" s="15" t="s">
        <v>1476</v>
      </c>
      <c r="II59" s="6" t="s">
        <v>426</v>
      </c>
      <c r="IJ59" s="6" t="s">
        <v>472</v>
      </c>
      <c r="IK59" s="6">
        <v>1</v>
      </c>
      <c r="IL59" s="6">
        <v>0</v>
      </c>
      <c r="IM59" s="6">
        <v>0</v>
      </c>
      <c r="IN59" s="6"/>
      <c r="IO59" s="6" t="s">
        <v>473</v>
      </c>
      <c r="IP59" s="6">
        <v>1</v>
      </c>
      <c r="IQ59" s="6">
        <v>0</v>
      </c>
      <c r="IR59" s="6">
        <v>0</v>
      </c>
      <c r="IS59" s="6">
        <v>0</v>
      </c>
      <c r="IT59" s="6">
        <v>0</v>
      </c>
      <c r="IU59" s="6">
        <v>0</v>
      </c>
      <c r="IV59" s="6"/>
      <c r="IW59" s="6" t="s">
        <v>426</v>
      </c>
      <c r="IX59" s="6">
        <v>1</v>
      </c>
      <c r="IY59" s="6" t="s">
        <v>510</v>
      </c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 t="s">
        <v>453</v>
      </c>
      <c r="JL59" s="6"/>
      <c r="JM59" s="6"/>
      <c r="JN59" s="6"/>
      <c r="JO59" s="6"/>
      <c r="JP59" s="6"/>
      <c r="JQ59" s="6"/>
      <c r="JR59" s="6"/>
      <c r="JS59" s="6"/>
      <c r="JT59" s="6"/>
      <c r="JU59" s="6" t="s">
        <v>895</v>
      </c>
      <c r="JV59" s="15" t="s">
        <v>1205</v>
      </c>
      <c r="JW59" s="94" t="s">
        <v>1477</v>
      </c>
      <c r="JX59" s="6" t="s">
        <v>1478</v>
      </c>
      <c r="JY59" s="6">
        <v>0.8473179</v>
      </c>
      <c r="JZ59" s="6">
        <v>34.7354292</v>
      </c>
      <c r="KA59" s="6">
        <v>2045.461</v>
      </c>
      <c r="KB59" s="15">
        <v>3.927</v>
      </c>
      <c r="KC59" s="15"/>
    </row>
    <row r="60" spans="1:289">
      <c r="A60" s="6" t="s">
        <v>581</v>
      </c>
      <c r="B60" s="6" t="s">
        <v>420</v>
      </c>
      <c r="C60" s="6" t="s">
        <v>421</v>
      </c>
      <c r="D60" s="6" t="s">
        <v>899</v>
      </c>
      <c r="E60" s="6" t="s">
        <v>1479</v>
      </c>
      <c r="F60" s="8" t="s">
        <v>483</v>
      </c>
      <c r="G60" s="6" t="s">
        <v>424</v>
      </c>
      <c r="H60" s="6" t="s">
        <v>425</v>
      </c>
      <c r="I60" s="15"/>
      <c r="J60" s="6" t="s">
        <v>426</v>
      </c>
      <c r="K60" s="6" t="s">
        <v>426</v>
      </c>
      <c r="L60" s="6" t="s">
        <v>426</v>
      </c>
      <c r="M60" s="6" t="s">
        <v>426</v>
      </c>
      <c r="N60" s="6" t="s">
        <v>426</v>
      </c>
      <c r="O60" s="6" t="s">
        <v>426</v>
      </c>
      <c r="P60" s="6" t="s">
        <v>426</v>
      </c>
      <c r="Q60" s="6" t="s">
        <v>426</v>
      </c>
      <c r="R60" s="6" t="s">
        <v>426</v>
      </c>
      <c r="S60" s="6" t="s">
        <v>426</v>
      </c>
      <c r="T60" s="6" t="s">
        <v>426</v>
      </c>
      <c r="U60" s="6" t="s">
        <v>426</v>
      </c>
      <c r="V60" s="6" t="s">
        <v>426</v>
      </c>
      <c r="W60" s="6" t="s">
        <v>426</v>
      </c>
      <c r="X60" s="6" t="s">
        <v>426</v>
      </c>
      <c r="Y60" s="6" t="s">
        <v>426</v>
      </c>
      <c r="Z60" s="6" t="s">
        <v>426</v>
      </c>
      <c r="AA60" s="6" t="s">
        <v>426</v>
      </c>
      <c r="AB60" s="6" t="s">
        <v>426</v>
      </c>
      <c r="AC60" s="15" t="s">
        <v>426</v>
      </c>
      <c r="AD60" s="6" t="s">
        <v>427</v>
      </c>
      <c r="AE60" s="6">
        <v>0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0</v>
      </c>
      <c r="AL60" s="6">
        <v>0</v>
      </c>
      <c r="AM60" s="6"/>
      <c r="AN60" s="15"/>
      <c r="AO60" s="6" t="s">
        <v>426</v>
      </c>
      <c r="AP60" s="6" t="s">
        <v>920</v>
      </c>
      <c r="AQ60" s="6" t="s">
        <v>426</v>
      </c>
      <c r="AR60" s="6" t="s">
        <v>1188</v>
      </c>
      <c r="AS60" s="6" t="s">
        <v>426</v>
      </c>
      <c r="AT60" s="6">
        <v>1</v>
      </c>
      <c r="AU60" s="6" t="s">
        <v>426</v>
      </c>
      <c r="AV60" s="6">
        <v>1</v>
      </c>
      <c r="AW60" s="6" t="s">
        <v>426</v>
      </c>
      <c r="AX60" s="6">
        <v>1</v>
      </c>
      <c r="AY60" s="6" t="s">
        <v>426</v>
      </c>
      <c r="AZ60" s="6">
        <v>2</v>
      </c>
      <c r="BA60" s="6" t="s">
        <v>426</v>
      </c>
      <c r="BB60" s="6">
        <v>1</v>
      </c>
      <c r="BC60" s="6" t="s">
        <v>426</v>
      </c>
      <c r="BD60" s="6">
        <v>1</v>
      </c>
      <c r="BE60" s="6" t="s">
        <v>426</v>
      </c>
      <c r="BF60" s="6">
        <v>5</v>
      </c>
      <c r="BG60" s="6" t="s">
        <v>426</v>
      </c>
      <c r="BH60" s="6">
        <v>1</v>
      </c>
      <c r="BI60" s="6" t="s">
        <v>426</v>
      </c>
      <c r="BJ60" s="6">
        <v>1</v>
      </c>
      <c r="BK60" s="6" t="s">
        <v>426</v>
      </c>
      <c r="BL60" s="6">
        <v>1</v>
      </c>
      <c r="BM60" s="6" t="s">
        <v>426</v>
      </c>
      <c r="BN60" s="6">
        <v>20</v>
      </c>
      <c r="BO60" s="6" t="s">
        <v>426</v>
      </c>
      <c r="BP60" s="6">
        <v>1</v>
      </c>
      <c r="BQ60" s="6" t="s">
        <v>426</v>
      </c>
      <c r="BR60" s="6">
        <v>80</v>
      </c>
      <c r="BS60" s="6" t="s">
        <v>426</v>
      </c>
      <c r="BT60" s="6">
        <v>8</v>
      </c>
      <c r="BU60" s="6" t="s">
        <v>426</v>
      </c>
      <c r="BV60" s="15">
        <v>1</v>
      </c>
      <c r="BW60" s="15" t="s">
        <v>518</v>
      </c>
      <c r="BX60" s="15" t="s">
        <v>429</v>
      </c>
      <c r="BY60" s="6" t="s">
        <v>430</v>
      </c>
      <c r="BZ60" s="6" t="s">
        <v>430</v>
      </c>
      <c r="CA60" s="6" t="s">
        <v>430</v>
      </c>
      <c r="CB60" s="6" t="s">
        <v>430</v>
      </c>
      <c r="CC60" s="6" t="s">
        <v>430</v>
      </c>
      <c r="CD60" s="6" t="s">
        <v>430</v>
      </c>
      <c r="CE60" s="6" t="s">
        <v>430</v>
      </c>
      <c r="CF60" s="6" t="s">
        <v>430</v>
      </c>
      <c r="CG60" s="6" t="s">
        <v>430</v>
      </c>
      <c r="CH60" s="6" t="s">
        <v>430</v>
      </c>
      <c r="CI60" s="6" t="s">
        <v>430</v>
      </c>
      <c r="CJ60" s="6" t="s">
        <v>430</v>
      </c>
      <c r="CK60" s="6" t="s">
        <v>430</v>
      </c>
      <c r="CL60" s="6" t="s">
        <v>430</v>
      </c>
      <c r="CM60" s="6" t="s">
        <v>430</v>
      </c>
      <c r="CN60" s="6" t="s">
        <v>430</v>
      </c>
      <c r="CO60" s="15" t="s">
        <v>430</v>
      </c>
      <c r="CP60" s="15" t="s">
        <v>432</v>
      </c>
      <c r="CQ60" s="6" t="s">
        <v>433</v>
      </c>
      <c r="CR60" s="15"/>
      <c r="CS60" s="6" t="s">
        <v>426</v>
      </c>
      <c r="CT60" s="6" t="s">
        <v>1480</v>
      </c>
      <c r="CU60" s="6" t="s">
        <v>1481</v>
      </c>
      <c r="CV60" s="6" t="s">
        <v>661</v>
      </c>
      <c r="CW60" s="6" t="s">
        <v>1482</v>
      </c>
      <c r="CX60" s="15" t="s">
        <v>426</v>
      </c>
      <c r="CY60" s="6" t="s">
        <v>453</v>
      </c>
      <c r="CZ60" s="6"/>
      <c r="DA60" s="6"/>
      <c r="DB60" s="6"/>
      <c r="DC60" s="6"/>
      <c r="DD60" s="15"/>
      <c r="DE60" s="15" t="s">
        <v>436</v>
      </c>
      <c r="DF60" s="6" t="s">
        <v>1171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1</v>
      </c>
      <c r="DM60" s="6" t="s">
        <v>1483</v>
      </c>
      <c r="DN60" s="6"/>
      <c r="DO60" s="6"/>
      <c r="DP60" s="6"/>
      <c r="DQ60" s="6"/>
      <c r="DR60" s="6"/>
      <c r="DS60" s="6"/>
      <c r="DT60" s="66"/>
      <c r="DU60" s="6" t="s">
        <v>438</v>
      </c>
      <c r="DV60" s="6" t="s">
        <v>426</v>
      </c>
      <c r="DW60" s="6" t="s">
        <v>439</v>
      </c>
      <c r="DX60" s="6" t="s">
        <v>440</v>
      </c>
      <c r="DY60" s="6"/>
      <c r="DZ60" s="6" t="s">
        <v>586</v>
      </c>
      <c r="EA60" s="6">
        <v>1</v>
      </c>
      <c r="EB60" s="6">
        <v>1</v>
      </c>
      <c r="EC60" s="6">
        <v>1</v>
      </c>
      <c r="ED60" s="6">
        <v>1</v>
      </c>
      <c r="EE60" s="6">
        <v>1</v>
      </c>
      <c r="EF60" s="6">
        <v>1</v>
      </c>
      <c r="EG60" s="6">
        <v>0</v>
      </c>
      <c r="EH60" s="6">
        <v>0</v>
      </c>
      <c r="EI60" s="6"/>
      <c r="EJ60" s="6" t="s">
        <v>741</v>
      </c>
      <c r="EK60" s="6">
        <v>1</v>
      </c>
      <c r="EL60" s="6">
        <v>0</v>
      </c>
      <c r="EM60" s="6">
        <v>1</v>
      </c>
      <c r="EN60" s="6">
        <v>1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/>
      <c r="EU60" s="6" t="s">
        <v>443</v>
      </c>
      <c r="EV60" s="6" t="s">
        <v>588</v>
      </c>
      <c r="EW60" s="6"/>
      <c r="EX60" s="6" t="s">
        <v>1484</v>
      </c>
      <c r="EY60" s="6">
        <v>1</v>
      </c>
      <c r="EZ60" s="6">
        <v>1</v>
      </c>
      <c r="FA60" s="6">
        <v>0</v>
      </c>
      <c r="FB60" s="6">
        <v>1</v>
      </c>
      <c r="FC60" s="6">
        <v>1</v>
      </c>
      <c r="FD60" s="6">
        <v>0</v>
      </c>
      <c r="FE60" s="6">
        <v>0</v>
      </c>
      <c r="FF60" s="6">
        <v>0</v>
      </c>
      <c r="FG60" s="6"/>
      <c r="FH60" s="6" t="s">
        <v>1485</v>
      </c>
      <c r="FI60" s="6">
        <v>1</v>
      </c>
      <c r="FJ60" s="6">
        <v>0</v>
      </c>
      <c r="FK60" s="6">
        <v>0</v>
      </c>
      <c r="FL60" s="6">
        <v>0</v>
      </c>
      <c r="FM60" s="6">
        <v>0</v>
      </c>
      <c r="FN60" s="6">
        <v>1</v>
      </c>
      <c r="FO60" s="6">
        <v>0</v>
      </c>
      <c r="FP60" s="6">
        <v>0</v>
      </c>
      <c r="FQ60" s="6">
        <v>1</v>
      </c>
      <c r="FR60" s="6">
        <v>0</v>
      </c>
      <c r="FS60" s="6"/>
      <c r="FT60" s="6" t="s">
        <v>556</v>
      </c>
      <c r="FU60" s="6" t="s">
        <v>448</v>
      </c>
      <c r="FV60" s="6"/>
      <c r="FW60" s="6" t="s">
        <v>449</v>
      </c>
      <c r="FX60" s="15" t="s">
        <v>450</v>
      </c>
      <c r="FY60" s="6" t="s">
        <v>451</v>
      </c>
      <c r="FZ60" s="6"/>
      <c r="GA60" s="6" t="s">
        <v>450</v>
      </c>
      <c r="GB60" s="6" t="s">
        <v>501</v>
      </c>
      <c r="GC60" s="6" t="s">
        <v>453</v>
      </c>
      <c r="GD60" s="6"/>
      <c r="GE60" s="6" t="s">
        <v>454</v>
      </c>
      <c r="GF60" s="6" t="s">
        <v>1486</v>
      </c>
      <c r="GG60" s="6" t="s">
        <v>456</v>
      </c>
      <c r="GH60" s="15" t="s">
        <v>1487</v>
      </c>
      <c r="GI60" s="6" t="s">
        <v>458</v>
      </c>
      <c r="GJ60" s="6" t="s">
        <v>1488</v>
      </c>
      <c r="GK60" s="6" t="s">
        <v>460</v>
      </c>
      <c r="GL60" s="6" t="s">
        <v>461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1</v>
      </c>
      <c r="GS60" s="6">
        <v>0</v>
      </c>
      <c r="GT60" s="6"/>
      <c r="GU60" s="6" t="s">
        <v>534</v>
      </c>
      <c r="GV60" s="6" t="s">
        <v>595</v>
      </c>
      <c r="GW60" s="6" t="s">
        <v>464</v>
      </c>
      <c r="GX60" s="6">
        <v>1</v>
      </c>
      <c r="GY60" s="6">
        <v>0</v>
      </c>
      <c r="GZ60" s="6">
        <v>0</v>
      </c>
      <c r="HA60" s="6">
        <v>0</v>
      </c>
      <c r="HB60" s="6">
        <v>0</v>
      </c>
      <c r="HC60" s="6">
        <v>0</v>
      </c>
      <c r="HD60" s="6"/>
      <c r="HE60" s="6" t="s">
        <v>1076</v>
      </c>
      <c r="HF60" s="6">
        <v>1</v>
      </c>
      <c r="HG60" s="6">
        <v>1</v>
      </c>
      <c r="HH60" s="6">
        <v>1</v>
      </c>
      <c r="HI60" s="6">
        <v>0</v>
      </c>
      <c r="HJ60" s="6">
        <v>0</v>
      </c>
      <c r="HK60" s="6">
        <v>0</v>
      </c>
      <c r="HL60" s="15"/>
      <c r="HM60" s="6" t="s">
        <v>505</v>
      </c>
      <c r="HN60" s="6"/>
      <c r="HO60" s="6" t="s">
        <v>1489</v>
      </c>
      <c r="HP60" s="6" t="s">
        <v>537</v>
      </c>
      <c r="HQ60" s="6" t="s">
        <v>1283</v>
      </c>
      <c r="HR60" s="6" t="s">
        <v>1490</v>
      </c>
      <c r="HS60" s="6" t="s">
        <v>599</v>
      </c>
      <c r="HT60" s="6">
        <v>1</v>
      </c>
      <c r="HU60" s="6">
        <v>0</v>
      </c>
      <c r="HV60" s="6">
        <v>1</v>
      </c>
      <c r="HW60" s="6">
        <v>0</v>
      </c>
      <c r="HX60" s="6">
        <v>1</v>
      </c>
      <c r="HY60" s="6">
        <v>0</v>
      </c>
      <c r="HZ60" s="6"/>
      <c r="IA60" s="6" t="s">
        <v>1491</v>
      </c>
      <c r="IB60" s="6">
        <v>1</v>
      </c>
      <c r="IC60" s="6">
        <v>0</v>
      </c>
      <c r="ID60" s="6">
        <v>1</v>
      </c>
      <c r="IE60" s="6">
        <v>0</v>
      </c>
      <c r="IF60" s="6">
        <v>0</v>
      </c>
      <c r="IG60" s="6">
        <v>0</v>
      </c>
      <c r="IH60" s="15" t="s">
        <v>1492</v>
      </c>
      <c r="II60" s="6" t="s">
        <v>426</v>
      </c>
      <c r="IJ60" s="6" t="s">
        <v>602</v>
      </c>
      <c r="IK60" s="6">
        <v>1</v>
      </c>
      <c r="IL60" s="6">
        <v>1</v>
      </c>
      <c r="IM60" s="6">
        <v>0</v>
      </c>
      <c r="IN60" s="6"/>
      <c r="IO60" s="6" t="s">
        <v>893</v>
      </c>
      <c r="IP60" s="6">
        <v>1</v>
      </c>
      <c r="IQ60" s="6">
        <v>0</v>
      </c>
      <c r="IR60" s="6">
        <v>0</v>
      </c>
      <c r="IS60" s="6">
        <v>1</v>
      </c>
      <c r="IT60" s="6">
        <v>0</v>
      </c>
      <c r="IU60" s="6">
        <v>0</v>
      </c>
      <c r="IV60" s="6"/>
      <c r="IW60" s="6" t="s">
        <v>426</v>
      </c>
      <c r="IX60" s="6">
        <v>1</v>
      </c>
      <c r="IY60" s="6" t="s">
        <v>474</v>
      </c>
      <c r="IZ60" s="6" t="s">
        <v>475</v>
      </c>
      <c r="JA60" s="6" t="s">
        <v>426</v>
      </c>
      <c r="JB60" s="6" t="s">
        <v>476</v>
      </c>
      <c r="JC60" s="6"/>
      <c r="JD60" s="6"/>
      <c r="JE60" s="6"/>
      <c r="JF60" s="6"/>
      <c r="JG60" s="6"/>
      <c r="JH60" s="6"/>
      <c r="JI60" s="6"/>
      <c r="JJ60" s="6"/>
      <c r="JK60" s="6" t="s">
        <v>426</v>
      </c>
      <c r="JL60" s="6" t="s">
        <v>426</v>
      </c>
      <c r="JM60" s="6"/>
      <c r="JN60" s="6"/>
      <c r="JO60" s="6"/>
      <c r="JP60" s="6"/>
      <c r="JQ60" s="6"/>
      <c r="JR60" s="6"/>
      <c r="JS60" s="6"/>
      <c r="JT60" s="6"/>
      <c r="JU60" s="6" t="s">
        <v>895</v>
      </c>
      <c r="JV60" s="15" t="s">
        <v>1184</v>
      </c>
      <c r="JW60" s="94" t="s">
        <v>1493</v>
      </c>
      <c r="JX60" s="6" t="s">
        <v>1494</v>
      </c>
      <c r="JY60" s="6">
        <v>0.8469218</v>
      </c>
      <c r="JZ60" s="6">
        <v>34.7355451</v>
      </c>
      <c r="KA60" s="6">
        <v>1882.3</v>
      </c>
      <c r="KB60" s="15">
        <v>4.533</v>
      </c>
      <c r="KC60" s="15"/>
    </row>
    <row r="61" spans="1:289">
      <c r="A61" s="6" t="s">
        <v>633</v>
      </c>
      <c r="B61" s="6" t="s">
        <v>420</v>
      </c>
      <c r="C61" s="6" t="s">
        <v>421</v>
      </c>
      <c r="D61" s="6" t="s">
        <v>918</v>
      </c>
      <c r="E61" s="6" t="s">
        <v>1495</v>
      </c>
      <c r="F61" s="8" t="s">
        <v>423</v>
      </c>
      <c r="G61" s="6" t="s">
        <v>731</v>
      </c>
      <c r="H61" s="6" t="s">
        <v>517</v>
      </c>
      <c r="I61" s="15"/>
      <c r="J61" s="6" t="s">
        <v>426</v>
      </c>
      <c r="K61" s="6" t="s">
        <v>426</v>
      </c>
      <c r="L61" s="6" t="s">
        <v>426</v>
      </c>
      <c r="M61" s="6" t="s">
        <v>426</v>
      </c>
      <c r="N61" s="6" t="s">
        <v>426</v>
      </c>
      <c r="O61" s="6" t="s">
        <v>426</v>
      </c>
      <c r="P61" s="6" t="s">
        <v>426</v>
      </c>
      <c r="Q61" s="6" t="s">
        <v>426</v>
      </c>
      <c r="R61" s="6" t="s">
        <v>426</v>
      </c>
      <c r="S61" s="6" t="s">
        <v>426</v>
      </c>
      <c r="T61" s="6" t="s">
        <v>426</v>
      </c>
      <c r="U61" s="6" t="s">
        <v>426</v>
      </c>
      <c r="V61" s="6" t="s">
        <v>426</v>
      </c>
      <c r="W61" s="6" t="s">
        <v>426</v>
      </c>
      <c r="X61" s="6" t="s">
        <v>426</v>
      </c>
      <c r="Y61" s="6" t="s">
        <v>426</v>
      </c>
      <c r="Z61" s="6" t="s">
        <v>426</v>
      </c>
      <c r="AA61" s="6" t="s">
        <v>426</v>
      </c>
      <c r="AB61" s="6" t="s">
        <v>426</v>
      </c>
      <c r="AC61" s="15" t="s">
        <v>426</v>
      </c>
      <c r="AD61" s="6" t="s">
        <v>427</v>
      </c>
      <c r="AE61" s="6">
        <v>0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0</v>
      </c>
      <c r="AL61" s="6">
        <v>0</v>
      </c>
      <c r="AM61" s="6"/>
      <c r="AN61" s="15"/>
      <c r="AO61" s="6" t="s">
        <v>426</v>
      </c>
      <c r="AP61" s="6" t="s">
        <v>1450</v>
      </c>
      <c r="AQ61" s="6" t="s">
        <v>426</v>
      </c>
      <c r="AR61" s="6" t="s">
        <v>1450</v>
      </c>
      <c r="AS61" s="6" t="s">
        <v>426</v>
      </c>
      <c r="AT61" s="6">
        <v>0.5</v>
      </c>
      <c r="AU61" s="6" t="s">
        <v>426</v>
      </c>
      <c r="AV61" s="6">
        <v>0.3</v>
      </c>
      <c r="AW61" s="6" t="s">
        <v>426</v>
      </c>
      <c r="AX61" s="6">
        <v>0.5</v>
      </c>
      <c r="AY61" s="6" t="s">
        <v>426</v>
      </c>
      <c r="AZ61" s="6">
        <v>1</v>
      </c>
      <c r="BA61" s="6" t="s">
        <v>426</v>
      </c>
      <c r="BB61" s="6">
        <v>0.2</v>
      </c>
      <c r="BC61" s="6" t="s">
        <v>426</v>
      </c>
      <c r="BD61" s="6">
        <v>0.08</v>
      </c>
      <c r="BE61" s="6" t="s">
        <v>426</v>
      </c>
      <c r="BF61" s="6">
        <v>2</v>
      </c>
      <c r="BG61" s="6" t="s">
        <v>426</v>
      </c>
      <c r="BH61" s="6">
        <v>0.1</v>
      </c>
      <c r="BI61" s="6" t="s">
        <v>426</v>
      </c>
      <c r="BJ61" s="6">
        <v>0.5</v>
      </c>
      <c r="BK61" s="6" t="s">
        <v>426</v>
      </c>
      <c r="BL61" s="6">
        <v>0.5</v>
      </c>
      <c r="BM61" s="6" t="s">
        <v>426</v>
      </c>
      <c r="BN61" s="6">
        <v>20</v>
      </c>
      <c r="BO61" s="6" t="s">
        <v>426</v>
      </c>
      <c r="BP61" s="6">
        <v>0.08</v>
      </c>
      <c r="BQ61" s="6" t="s">
        <v>426</v>
      </c>
      <c r="BR61" s="6">
        <v>40</v>
      </c>
      <c r="BS61" s="6" t="s">
        <v>426</v>
      </c>
      <c r="BT61" s="6">
        <v>3</v>
      </c>
      <c r="BU61" s="6" t="s">
        <v>426</v>
      </c>
      <c r="BV61" s="15">
        <v>0.3</v>
      </c>
      <c r="BW61" s="15" t="s">
        <v>550</v>
      </c>
      <c r="BX61" s="15" t="s">
        <v>429</v>
      </c>
      <c r="BY61" s="6" t="s">
        <v>430</v>
      </c>
      <c r="BZ61" s="6" t="s">
        <v>430</v>
      </c>
      <c r="CA61" s="6" t="s">
        <v>430</v>
      </c>
      <c r="CB61" s="6" t="s">
        <v>430</v>
      </c>
      <c r="CC61" s="6" t="s">
        <v>430</v>
      </c>
      <c r="CD61" s="6" t="s">
        <v>430</v>
      </c>
      <c r="CE61" s="6" t="s">
        <v>430</v>
      </c>
      <c r="CF61" s="6" t="s">
        <v>430</v>
      </c>
      <c r="CG61" s="6" t="s">
        <v>430</v>
      </c>
      <c r="CH61" s="6" t="s">
        <v>430</v>
      </c>
      <c r="CI61" s="6" t="s">
        <v>430</v>
      </c>
      <c r="CJ61" s="6" t="s">
        <v>430</v>
      </c>
      <c r="CK61" s="6" t="s">
        <v>430</v>
      </c>
      <c r="CL61" s="6" t="s">
        <v>430</v>
      </c>
      <c r="CM61" s="6" t="s">
        <v>430</v>
      </c>
      <c r="CN61" s="6" t="s">
        <v>430</v>
      </c>
      <c r="CO61" s="15" t="s">
        <v>430</v>
      </c>
      <c r="CP61" s="15" t="s">
        <v>432</v>
      </c>
      <c r="CQ61" s="6" t="s">
        <v>433</v>
      </c>
      <c r="CR61" s="15"/>
      <c r="CS61" s="6" t="s">
        <v>453</v>
      </c>
      <c r="CT61" s="6"/>
      <c r="CU61" s="6"/>
      <c r="CV61" s="6"/>
      <c r="CW61" s="6"/>
      <c r="CX61" s="15" t="s">
        <v>453</v>
      </c>
      <c r="CY61" s="6"/>
      <c r="CZ61" s="6"/>
      <c r="DA61" s="6"/>
      <c r="DB61" s="6"/>
      <c r="DC61" s="6"/>
      <c r="DD61" s="15"/>
      <c r="DE61" s="15" t="s">
        <v>436</v>
      </c>
      <c r="DF61" s="6" t="s">
        <v>611</v>
      </c>
      <c r="DG61" s="6">
        <v>1</v>
      </c>
      <c r="DH61" s="6">
        <v>1</v>
      </c>
      <c r="DI61" s="6">
        <v>0</v>
      </c>
      <c r="DJ61" s="6">
        <v>0</v>
      </c>
      <c r="DK61" s="6">
        <v>0</v>
      </c>
      <c r="DL61" s="6">
        <v>0</v>
      </c>
      <c r="DM61" s="6"/>
      <c r="DN61" s="6"/>
      <c r="DO61" s="6"/>
      <c r="DP61" s="6"/>
      <c r="DQ61" s="6"/>
      <c r="DR61" s="6"/>
      <c r="DS61" s="6"/>
      <c r="DT61" s="66"/>
      <c r="DU61" s="6" t="s">
        <v>523</v>
      </c>
      <c r="DV61" s="6" t="s">
        <v>426</v>
      </c>
      <c r="DW61" s="6" t="s">
        <v>439</v>
      </c>
      <c r="DX61" s="6" t="s">
        <v>440</v>
      </c>
      <c r="DY61" s="6"/>
      <c r="DZ61" s="6" t="s">
        <v>940</v>
      </c>
      <c r="EA61" s="6">
        <v>1</v>
      </c>
      <c r="EB61" s="6">
        <v>1</v>
      </c>
      <c r="EC61" s="6">
        <v>1</v>
      </c>
      <c r="ED61" s="6">
        <v>1</v>
      </c>
      <c r="EE61" s="6">
        <v>0</v>
      </c>
      <c r="EF61" s="6">
        <v>0</v>
      </c>
      <c r="EG61" s="6">
        <v>0</v>
      </c>
      <c r="EH61" s="6">
        <v>0</v>
      </c>
      <c r="EI61" s="6"/>
      <c r="EJ61" s="6" t="s">
        <v>1094</v>
      </c>
      <c r="EK61" s="6">
        <v>1</v>
      </c>
      <c r="EL61" s="6">
        <v>0</v>
      </c>
      <c r="EM61" s="6">
        <v>1</v>
      </c>
      <c r="EN61" s="6">
        <v>1</v>
      </c>
      <c r="EO61" s="6">
        <v>1</v>
      </c>
      <c r="EP61" s="6">
        <v>0</v>
      </c>
      <c r="EQ61" s="6">
        <v>0</v>
      </c>
      <c r="ER61" s="6">
        <v>0</v>
      </c>
      <c r="ES61" s="6">
        <v>0</v>
      </c>
      <c r="ET61" s="6"/>
      <c r="EU61" s="6" t="s">
        <v>443</v>
      </c>
      <c r="EV61" s="6" t="s">
        <v>495</v>
      </c>
      <c r="EW61" s="6"/>
      <c r="EX61" s="6" t="s">
        <v>770</v>
      </c>
      <c r="EY61" s="6">
        <v>1</v>
      </c>
      <c r="EZ61" s="6">
        <v>1</v>
      </c>
      <c r="FA61" s="6">
        <v>1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/>
      <c r="FH61" s="6" t="s">
        <v>1496</v>
      </c>
      <c r="FI61" s="6">
        <v>1</v>
      </c>
      <c r="FJ61" s="6">
        <v>0</v>
      </c>
      <c r="FK61" s="6">
        <v>1</v>
      </c>
      <c r="FL61" s="6">
        <v>1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/>
      <c r="FT61" s="6" t="s">
        <v>447</v>
      </c>
      <c r="FU61" s="6" t="s">
        <v>448</v>
      </c>
      <c r="FV61" s="6"/>
      <c r="FW61" s="6" t="s">
        <v>449</v>
      </c>
      <c r="FX61" s="15" t="s">
        <v>450</v>
      </c>
      <c r="FY61" s="6" t="s">
        <v>529</v>
      </c>
      <c r="FZ61" s="6"/>
      <c r="GA61" s="6" t="s">
        <v>450</v>
      </c>
      <c r="GB61" s="6" t="s">
        <v>501</v>
      </c>
      <c r="GC61" s="6" t="s">
        <v>453</v>
      </c>
      <c r="GD61" s="6"/>
      <c r="GE61" s="6" t="s">
        <v>454</v>
      </c>
      <c r="GF61" s="6" t="s">
        <v>1497</v>
      </c>
      <c r="GG61" s="6" t="s">
        <v>456</v>
      </c>
      <c r="GH61" s="15" t="s">
        <v>1498</v>
      </c>
      <c r="GI61" s="6" t="s">
        <v>458</v>
      </c>
      <c r="GJ61" s="6" t="s">
        <v>1499</v>
      </c>
      <c r="GK61" s="6" t="s">
        <v>460</v>
      </c>
      <c r="GL61" s="6" t="s">
        <v>1231</v>
      </c>
      <c r="GM61" s="6">
        <v>1</v>
      </c>
      <c r="GN61" s="6">
        <v>1</v>
      </c>
      <c r="GO61" s="6">
        <v>0</v>
      </c>
      <c r="GP61" s="6">
        <v>0</v>
      </c>
      <c r="GQ61" s="6">
        <v>0</v>
      </c>
      <c r="GR61" s="6">
        <v>1</v>
      </c>
      <c r="GS61" s="6">
        <v>0</v>
      </c>
      <c r="GT61" s="6"/>
      <c r="GU61" s="6" t="s">
        <v>534</v>
      </c>
      <c r="GV61" s="6" t="s">
        <v>595</v>
      </c>
      <c r="GW61" s="6" t="s">
        <v>1101</v>
      </c>
      <c r="GX61" s="6">
        <v>1</v>
      </c>
      <c r="GY61" s="6">
        <v>0</v>
      </c>
      <c r="GZ61" s="6">
        <v>0</v>
      </c>
      <c r="HA61" s="6">
        <v>0</v>
      </c>
      <c r="HB61" s="6">
        <v>0</v>
      </c>
      <c r="HC61" s="6">
        <v>1</v>
      </c>
      <c r="HD61" s="6" t="s">
        <v>1500</v>
      </c>
      <c r="HE61" s="6" t="s">
        <v>1076</v>
      </c>
      <c r="HF61" s="6">
        <v>1</v>
      </c>
      <c r="HG61" s="6">
        <v>1</v>
      </c>
      <c r="HH61" s="6">
        <v>1</v>
      </c>
      <c r="HI61" s="6">
        <v>0</v>
      </c>
      <c r="HJ61" s="6">
        <v>0</v>
      </c>
      <c r="HK61" s="6">
        <v>0</v>
      </c>
      <c r="HL61" s="15"/>
      <c r="HM61" s="6" t="s">
        <v>505</v>
      </c>
      <c r="HN61" s="6"/>
      <c r="HO61" s="6" t="s">
        <v>1501</v>
      </c>
      <c r="HP61" s="6" t="s">
        <v>648</v>
      </c>
      <c r="HQ61" s="6"/>
      <c r="HR61" s="6" t="s">
        <v>1502</v>
      </c>
      <c r="HS61" s="6" t="s">
        <v>508</v>
      </c>
      <c r="HT61" s="6">
        <v>0</v>
      </c>
      <c r="HU61" s="6">
        <v>0</v>
      </c>
      <c r="HV61" s="6">
        <v>1</v>
      </c>
      <c r="HW61" s="6">
        <v>0</v>
      </c>
      <c r="HX61" s="6">
        <v>0</v>
      </c>
      <c r="HY61" s="6">
        <v>0</v>
      </c>
      <c r="HZ61" s="6"/>
      <c r="IA61" s="6" t="s">
        <v>1105</v>
      </c>
      <c r="IB61" s="6">
        <v>1</v>
      </c>
      <c r="IC61" s="6">
        <v>1</v>
      </c>
      <c r="ID61" s="6">
        <v>0</v>
      </c>
      <c r="IE61" s="6">
        <v>0</v>
      </c>
      <c r="IF61" s="6">
        <v>0</v>
      </c>
      <c r="IG61" s="6">
        <v>0</v>
      </c>
      <c r="IH61" s="15" t="s">
        <v>1503</v>
      </c>
      <c r="II61" s="6" t="s">
        <v>426</v>
      </c>
      <c r="IJ61" s="6" t="s">
        <v>472</v>
      </c>
      <c r="IK61" s="6">
        <v>1</v>
      </c>
      <c r="IL61" s="6">
        <v>0</v>
      </c>
      <c r="IM61" s="6">
        <v>0</v>
      </c>
      <c r="IN61" s="6"/>
      <c r="IO61" s="6" t="s">
        <v>473</v>
      </c>
      <c r="IP61" s="6">
        <v>1</v>
      </c>
      <c r="IQ61" s="6">
        <v>0</v>
      </c>
      <c r="IR61" s="6">
        <v>0</v>
      </c>
      <c r="IS61" s="6">
        <v>0</v>
      </c>
      <c r="IT61" s="6">
        <v>0</v>
      </c>
      <c r="IU61" s="6">
        <v>0</v>
      </c>
      <c r="IV61" s="6"/>
      <c r="IW61" s="6" t="s">
        <v>426</v>
      </c>
      <c r="IX61" s="6">
        <v>1</v>
      </c>
      <c r="IY61" s="6" t="s">
        <v>474</v>
      </c>
      <c r="IZ61" s="6" t="s">
        <v>475</v>
      </c>
      <c r="JA61" s="6" t="s">
        <v>426</v>
      </c>
      <c r="JB61" s="6" t="s">
        <v>651</v>
      </c>
      <c r="JC61" s="6"/>
      <c r="JD61" s="6"/>
      <c r="JE61" s="6"/>
      <c r="JF61" s="6"/>
      <c r="JG61" s="6"/>
      <c r="JH61" s="6"/>
      <c r="JI61" s="6"/>
      <c r="JJ61" s="6"/>
      <c r="JK61" s="6" t="s">
        <v>426</v>
      </c>
      <c r="JL61" s="6" t="s">
        <v>453</v>
      </c>
      <c r="JM61" s="6" t="s">
        <v>913</v>
      </c>
      <c r="JN61" s="6">
        <v>1</v>
      </c>
      <c r="JO61" s="6">
        <v>0</v>
      </c>
      <c r="JP61" s="6">
        <v>0</v>
      </c>
      <c r="JQ61" s="6">
        <v>0</v>
      </c>
      <c r="JR61" s="6">
        <v>0</v>
      </c>
      <c r="JS61" s="6">
        <v>0</v>
      </c>
      <c r="JT61" s="6"/>
      <c r="JU61" s="6" t="s">
        <v>511</v>
      </c>
      <c r="JV61" s="15"/>
      <c r="JW61" s="94" t="s">
        <v>1504</v>
      </c>
      <c r="JX61" s="6" t="s">
        <v>1505</v>
      </c>
      <c r="JY61" s="6">
        <v>0.8389085</v>
      </c>
      <c r="JZ61" s="6">
        <v>34.7524949</v>
      </c>
      <c r="KA61" s="6">
        <v>1698</v>
      </c>
      <c r="KB61" s="15">
        <v>4.2</v>
      </c>
      <c r="KC61" s="15"/>
    </row>
    <row r="62" spans="1:289">
      <c r="A62" s="6" t="s">
        <v>547</v>
      </c>
      <c r="B62" s="6" t="s">
        <v>420</v>
      </c>
      <c r="C62" s="6" t="s">
        <v>421</v>
      </c>
      <c r="D62" s="6" t="s">
        <v>515</v>
      </c>
      <c r="E62" s="6" t="s">
        <v>1506</v>
      </c>
      <c r="F62" s="8" t="s">
        <v>483</v>
      </c>
      <c r="G62" s="6" t="s">
        <v>567</v>
      </c>
      <c r="H62" s="6" t="s">
        <v>517</v>
      </c>
      <c r="I62" s="15"/>
      <c r="J62" s="6" t="s">
        <v>426</v>
      </c>
      <c r="K62" s="6" t="s">
        <v>426</v>
      </c>
      <c r="L62" s="6" t="s">
        <v>426</v>
      </c>
      <c r="M62" s="6" t="s">
        <v>426</v>
      </c>
      <c r="N62" s="6" t="s">
        <v>426</v>
      </c>
      <c r="O62" s="6" t="s">
        <v>426</v>
      </c>
      <c r="P62" s="6" t="s">
        <v>426</v>
      </c>
      <c r="Q62" s="6" t="s">
        <v>426</v>
      </c>
      <c r="R62" s="6" t="s">
        <v>426</v>
      </c>
      <c r="S62" s="6" t="s">
        <v>426</v>
      </c>
      <c r="T62" s="6" t="s">
        <v>426</v>
      </c>
      <c r="U62" s="6" t="s">
        <v>426</v>
      </c>
      <c r="V62" s="6" t="s">
        <v>426</v>
      </c>
      <c r="W62" s="6" t="s">
        <v>426</v>
      </c>
      <c r="X62" s="6" t="s">
        <v>426</v>
      </c>
      <c r="Y62" s="6" t="s">
        <v>426</v>
      </c>
      <c r="Z62" s="6" t="s">
        <v>426</v>
      </c>
      <c r="AA62" s="6" t="s">
        <v>426</v>
      </c>
      <c r="AB62" s="6" t="s">
        <v>426</v>
      </c>
      <c r="AC62" s="15" t="s">
        <v>426</v>
      </c>
      <c r="AD62" s="6" t="s">
        <v>427</v>
      </c>
      <c r="AE62" s="6">
        <v>0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0</v>
      </c>
      <c r="AM62" s="6"/>
      <c r="AN62" s="15"/>
      <c r="AO62" s="6" t="s">
        <v>426</v>
      </c>
      <c r="AP62" s="6" t="s">
        <v>823</v>
      </c>
      <c r="AQ62" s="6" t="s">
        <v>426</v>
      </c>
      <c r="AR62" s="6" t="s">
        <v>920</v>
      </c>
      <c r="AS62" s="6" t="s">
        <v>426</v>
      </c>
      <c r="AT62" s="6">
        <v>0.8</v>
      </c>
      <c r="AU62" s="6" t="s">
        <v>426</v>
      </c>
      <c r="AV62" s="6">
        <v>0.8</v>
      </c>
      <c r="AW62" s="6" t="s">
        <v>426</v>
      </c>
      <c r="AX62" s="6">
        <v>0.8</v>
      </c>
      <c r="AY62" s="6" t="s">
        <v>426</v>
      </c>
      <c r="AZ62" s="6">
        <v>1</v>
      </c>
      <c r="BA62" s="6" t="s">
        <v>426</v>
      </c>
      <c r="BB62" s="6">
        <v>0.4</v>
      </c>
      <c r="BC62" s="6" t="s">
        <v>426</v>
      </c>
      <c r="BD62" s="6">
        <v>0.2</v>
      </c>
      <c r="BE62" s="6" t="s">
        <v>426</v>
      </c>
      <c r="BF62" s="6">
        <v>3</v>
      </c>
      <c r="BG62" s="6" t="s">
        <v>426</v>
      </c>
      <c r="BH62" s="6">
        <v>0.2</v>
      </c>
      <c r="BI62" s="6" t="s">
        <v>426</v>
      </c>
      <c r="BJ62" s="6">
        <v>0.8</v>
      </c>
      <c r="BK62" s="6" t="s">
        <v>426</v>
      </c>
      <c r="BL62" s="6">
        <v>0.4</v>
      </c>
      <c r="BM62" s="6" t="s">
        <v>426</v>
      </c>
      <c r="BN62" s="6">
        <v>15</v>
      </c>
      <c r="BO62" s="6" t="s">
        <v>426</v>
      </c>
      <c r="BP62" s="6">
        <v>0.4</v>
      </c>
      <c r="BQ62" s="6" t="s">
        <v>426</v>
      </c>
      <c r="BR62" s="6">
        <v>100</v>
      </c>
      <c r="BS62" s="6" t="s">
        <v>426</v>
      </c>
      <c r="BT62" s="6">
        <v>15</v>
      </c>
      <c r="BU62" s="6" t="s">
        <v>426</v>
      </c>
      <c r="BV62" s="15">
        <v>0.8</v>
      </c>
      <c r="BW62" s="15" t="s">
        <v>880</v>
      </c>
      <c r="BX62" s="15" t="s">
        <v>429</v>
      </c>
      <c r="BY62" s="6" t="s">
        <v>430</v>
      </c>
      <c r="BZ62" s="6" t="s">
        <v>430</v>
      </c>
      <c r="CA62" s="6" t="s">
        <v>430</v>
      </c>
      <c r="CB62" s="6" t="s">
        <v>430</v>
      </c>
      <c r="CC62" s="6" t="s">
        <v>430</v>
      </c>
      <c r="CD62" s="6" t="s">
        <v>430</v>
      </c>
      <c r="CE62" s="6" t="s">
        <v>430</v>
      </c>
      <c r="CF62" s="6" t="s">
        <v>430</v>
      </c>
      <c r="CG62" s="6" t="s">
        <v>430</v>
      </c>
      <c r="CH62" s="6" t="s">
        <v>430</v>
      </c>
      <c r="CI62" s="6" t="s">
        <v>430</v>
      </c>
      <c r="CJ62" s="6" t="s">
        <v>430</v>
      </c>
      <c r="CK62" s="6" t="s">
        <v>430</v>
      </c>
      <c r="CL62" s="6" t="s">
        <v>430</v>
      </c>
      <c r="CM62" s="6" t="s">
        <v>430</v>
      </c>
      <c r="CN62" s="6" t="s">
        <v>430</v>
      </c>
      <c r="CO62" s="15" t="s">
        <v>430</v>
      </c>
      <c r="CP62" s="15" t="s">
        <v>432</v>
      </c>
      <c r="CQ62" s="6" t="s">
        <v>433</v>
      </c>
      <c r="CR62" s="15"/>
      <c r="CS62" s="6" t="s">
        <v>426</v>
      </c>
      <c r="CT62" s="6" t="s">
        <v>1507</v>
      </c>
      <c r="CU62" s="6" t="s">
        <v>1087</v>
      </c>
      <c r="CV62" s="6" t="s">
        <v>734</v>
      </c>
      <c r="CW62" s="6" t="s">
        <v>736</v>
      </c>
      <c r="CX62" s="15" t="s">
        <v>426</v>
      </c>
      <c r="CY62" s="6" t="s">
        <v>426</v>
      </c>
      <c r="CZ62" s="6" t="s">
        <v>1508</v>
      </c>
      <c r="DA62" s="6" t="s">
        <v>736</v>
      </c>
      <c r="DB62" s="6" t="s">
        <v>1087</v>
      </c>
      <c r="DC62" s="6" t="s">
        <v>733</v>
      </c>
      <c r="DD62" s="15" t="s">
        <v>808</v>
      </c>
      <c r="DE62" s="15" t="s">
        <v>436</v>
      </c>
      <c r="DF62" s="6" t="s">
        <v>522</v>
      </c>
      <c r="DG62" s="6">
        <v>0</v>
      </c>
      <c r="DH62" s="6">
        <v>1</v>
      </c>
      <c r="DI62" s="6">
        <v>0</v>
      </c>
      <c r="DJ62" s="6">
        <v>0</v>
      </c>
      <c r="DK62" s="6">
        <v>0</v>
      </c>
      <c r="DL62" s="6">
        <v>0</v>
      </c>
      <c r="DM62" s="6"/>
      <c r="DN62" s="6"/>
      <c r="DO62" s="6"/>
      <c r="DP62" s="6"/>
      <c r="DQ62" s="6"/>
      <c r="DR62" s="6"/>
      <c r="DS62" s="6"/>
      <c r="DT62" s="66"/>
      <c r="DU62" s="6" t="s">
        <v>438</v>
      </c>
      <c r="DV62" s="6" t="s">
        <v>426</v>
      </c>
      <c r="DW62" s="6" t="s">
        <v>439</v>
      </c>
      <c r="DX62" s="6" t="s">
        <v>440</v>
      </c>
      <c r="DY62" s="6"/>
      <c r="DZ62" s="6" t="s">
        <v>441</v>
      </c>
      <c r="EA62" s="6">
        <v>1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/>
      <c r="EJ62" s="6" t="s">
        <v>811</v>
      </c>
      <c r="EK62" s="6">
        <v>1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/>
      <c r="EU62" s="6" t="s">
        <v>443</v>
      </c>
      <c r="EV62" s="6" t="s">
        <v>554</v>
      </c>
      <c r="EW62" s="6"/>
      <c r="EX62" s="6" t="s">
        <v>1123</v>
      </c>
      <c r="EY62" s="6">
        <v>1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/>
      <c r="FH62" s="6" t="s">
        <v>670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1</v>
      </c>
      <c r="FO62" s="6">
        <v>0</v>
      </c>
      <c r="FP62" s="6">
        <v>0</v>
      </c>
      <c r="FQ62" s="6">
        <v>0</v>
      </c>
      <c r="FR62" s="6">
        <v>0</v>
      </c>
      <c r="FS62" s="6"/>
      <c r="FT62" s="6" t="s">
        <v>556</v>
      </c>
      <c r="FU62" s="6" t="s">
        <v>499</v>
      </c>
      <c r="FV62" s="6"/>
      <c r="FW62" s="6" t="s">
        <v>449</v>
      </c>
      <c r="FX62" s="15" t="s">
        <v>450</v>
      </c>
      <c r="FY62" s="6" t="s">
        <v>537</v>
      </c>
      <c r="FZ62" s="6" t="s">
        <v>1509</v>
      </c>
      <c r="GA62" s="6" t="s">
        <v>450</v>
      </c>
      <c r="GB62" s="6" t="s">
        <v>501</v>
      </c>
      <c r="GC62" s="6" t="s">
        <v>453</v>
      </c>
      <c r="GD62" s="6"/>
      <c r="GE62" s="6" t="s">
        <v>454</v>
      </c>
      <c r="GF62" s="6" t="s">
        <v>1510</v>
      </c>
      <c r="GG62" s="6" t="s">
        <v>456</v>
      </c>
      <c r="GH62" s="15" t="s">
        <v>1511</v>
      </c>
      <c r="GI62" s="6" t="s">
        <v>458</v>
      </c>
      <c r="GJ62" s="6" t="s">
        <v>815</v>
      </c>
      <c r="GK62" s="6" t="s">
        <v>460</v>
      </c>
      <c r="GL62" s="6" t="s">
        <v>461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1</v>
      </c>
      <c r="GS62" s="6">
        <v>0</v>
      </c>
      <c r="GT62" s="6"/>
      <c r="GU62" s="6" t="s">
        <v>534</v>
      </c>
      <c r="GV62" s="6" t="s">
        <v>559</v>
      </c>
      <c r="GW62" s="6" t="s">
        <v>464</v>
      </c>
      <c r="GX62" s="6">
        <v>1</v>
      </c>
      <c r="GY62" s="6">
        <v>0</v>
      </c>
      <c r="GZ62" s="6">
        <v>0</v>
      </c>
      <c r="HA62" s="6">
        <v>0</v>
      </c>
      <c r="HB62" s="6">
        <v>0</v>
      </c>
      <c r="HC62" s="6">
        <v>0</v>
      </c>
      <c r="HD62" s="6"/>
      <c r="HE62" s="6" t="s">
        <v>465</v>
      </c>
      <c r="HF62" s="6">
        <v>0</v>
      </c>
      <c r="HG62" s="6">
        <v>1</v>
      </c>
      <c r="HH62" s="6">
        <v>0</v>
      </c>
      <c r="HI62" s="6">
        <v>0</v>
      </c>
      <c r="HJ62" s="6">
        <v>0</v>
      </c>
      <c r="HK62" s="6">
        <v>0</v>
      </c>
      <c r="HL62" s="15"/>
      <c r="HM62" s="6" t="s">
        <v>505</v>
      </c>
      <c r="HN62" s="6"/>
      <c r="HO62" s="6" t="s">
        <v>1512</v>
      </c>
      <c r="HP62" s="6" t="s">
        <v>537</v>
      </c>
      <c r="HQ62" s="6" t="s">
        <v>818</v>
      </c>
      <c r="HR62" s="6" t="s">
        <v>539</v>
      </c>
      <c r="HS62" s="6" t="s">
        <v>537</v>
      </c>
      <c r="HT62" s="6">
        <v>0</v>
      </c>
      <c r="HU62" s="6">
        <v>1</v>
      </c>
      <c r="HV62" s="6">
        <v>0</v>
      </c>
      <c r="HW62" s="6">
        <v>0</v>
      </c>
      <c r="HX62" s="6">
        <v>0</v>
      </c>
      <c r="HY62" s="6">
        <v>0</v>
      </c>
      <c r="HZ62" s="6" t="s">
        <v>1513</v>
      </c>
      <c r="IA62" s="6" t="s">
        <v>541</v>
      </c>
      <c r="IB62" s="6">
        <v>0</v>
      </c>
      <c r="IC62" s="6">
        <v>0</v>
      </c>
      <c r="ID62" s="6">
        <v>1</v>
      </c>
      <c r="IE62" s="6">
        <v>0</v>
      </c>
      <c r="IF62" s="6">
        <v>0</v>
      </c>
      <c r="IG62" s="6">
        <v>0</v>
      </c>
      <c r="IH62" s="15" t="s">
        <v>1514</v>
      </c>
      <c r="II62" s="6" t="s">
        <v>426</v>
      </c>
      <c r="IJ62" s="6" t="s">
        <v>472</v>
      </c>
      <c r="IK62" s="6">
        <v>1</v>
      </c>
      <c r="IL62" s="6">
        <v>0</v>
      </c>
      <c r="IM62" s="6">
        <v>0</v>
      </c>
      <c r="IN62" s="6"/>
      <c r="IO62" s="6" t="s">
        <v>473</v>
      </c>
      <c r="IP62" s="6">
        <v>1</v>
      </c>
      <c r="IQ62" s="6">
        <v>0</v>
      </c>
      <c r="IR62" s="6">
        <v>0</v>
      </c>
      <c r="IS62" s="6">
        <v>0</v>
      </c>
      <c r="IT62" s="6">
        <v>0</v>
      </c>
      <c r="IU62" s="6">
        <v>0</v>
      </c>
      <c r="IV62" s="6"/>
      <c r="IW62" s="6" t="s">
        <v>426</v>
      </c>
      <c r="IX62" s="6">
        <v>1</v>
      </c>
      <c r="IY62" s="6" t="s">
        <v>474</v>
      </c>
      <c r="IZ62" s="6" t="s">
        <v>475</v>
      </c>
      <c r="JA62" s="6" t="s">
        <v>426</v>
      </c>
      <c r="JB62" s="6" t="s">
        <v>476</v>
      </c>
      <c r="JC62" s="6"/>
      <c r="JD62" s="6"/>
      <c r="JE62" s="6"/>
      <c r="JF62" s="6"/>
      <c r="JG62" s="6"/>
      <c r="JH62" s="6"/>
      <c r="JI62" s="6"/>
      <c r="JJ62" s="6"/>
      <c r="JK62" s="6" t="s">
        <v>453</v>
      </c>
      <c r="JL62" s="6"/>
      <c r="JM62" s="6"/>
      <c r="JN62" s="6"/>
      <c r="JO62" s="6"/>
      <c r="JP62" s="6"/>
      <c r="JQ62" s="6"/>
      <c r="JR62" s="6"/>
      <c r="JS62" s="6"/>
      <c r="JT62" s="6"/>
      <c r="JU62" s="6" t="s">
        <v>477</v>
      </c>
      <c r="JV62" s="15"/>
      <c r="JW62" s="94" t="s">
        <v>1515</v>
      </c>
      <c r="JX62" s="6" t="s">
        <v>1516</v>
      </c>
      <c r="JY62" s="6">
        <v>0.8470367</v>
      </c>
      <c r="JZ62" s="6">
        <v>34.73569</v>
      </c>
      <c r="KA62" s="6">
        <v>1899.7</v>
      </c>
      <c r="KB62" s="15">
        <v>4.766</v>
      </c>
      <c r="KC62" s="15"/>
    </row>
    <row r="63" spans="1:289">
      <c r="A63" s="6" t="s">
        <v>1301</v>
      </c>
      <c r="B63" s="6" t="s">
        <v>420</v>
      </c>
      <c r="C63" s="6" t="s">
        <v>421</v>
      </c>
      <c r="D63" s="6" t="s">
        <v>899</v>
      </c>
      <c r="E63" s="6" t="s">
        <v>1517</v>
      </c>
      <c r="F63" s="8" t="s">
        <v>483</v>
      </c>
      <c r="G63" s="6" t="s">
        <v>424</v>
      </c>
      <c r="H63" s="6" t="s">
        <v>517</v>
      </c>
      <c r="I63" s="15"/>
      <c r="J63" s="6" t="s">
        <v>426</v>
      </c>
      <c r="K63" s="6" t="s">
        <v>426</v>
      </c>
      <c r="L63" s="6" t="s">
        <v>426</v>
      </c>
      <c r="M63" s="6" t="s">
        <v>426</v>
      </c>
      <c r="N63" s="6" t="s">
        <v>426</v>
      </c>
      <c r="O63" s="6" t="s">
        <v>426</v>
      </c>
      <c r="P63" s="6" t="s">
        <v>426</v>
      </c>
      <c r="Q63" s="6" t="s">
        <v>426</v>
      </c>
      <c r="R63" s="6" t="s">
        <v>426</v>
      </c>
      <c r="S63" s="6" t="s">
        <v>426</v>
      </c>
      <c r="T63" s="6" t="s">
        <v>426</v>
      </c>
      <c r="U63" s="6" t="s">
        <v>426</v>
      </c>
      <c r="V63" s="6" t="s">
        <v>426</v>
      </c>
      <c r="W63" s="6" t="s">
        <v>426</v>
      </c>
      <c r="X63" s="6" t="s">
        <v>426</v>
      </c>
      <c r="Y63" s="6" t="s">
        <v>426</v>
      </c>
      <c r="Z63" s="6" t="s">
        <v>426</v>
      </c>
      <c r="AA63" s="6" t="s">
        <v>426</v>
      </c>
      <c r="AB63" s="6" t="s">
        <v>426</v>
      </c>
      <c r="AC63" s="15" t="s">
        <v>426</v>
      </c>
      <c r="AD63" s="6" t="s">
        <v>427</v>
      </c>
      <c r="AE63" s="6">
        <v>0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/>
      <c r="AN63" s="15"/>
      <c r="AO63" s="6" t="s">
        <v>426</v>
      </c>
      <c r="AP63" s="6" t="s">
        <v>901</v>
      </c>
      <c r="AQ63" s="6" t="s">
        <v>426</v>
      </c>
      <c r="AR63" s="6" t="s">
        <v>985</v>
      </c>
      <c r="AS63" s="6" t="s">
        <v>426</v>
      </c>
      <c r="AT63" s="6">
        <v>0.125</v>
      </c>
      <c r="AU63" s="6" t="s">
        <v>426</v>
      </c>
      <c r="AV63" s="6">
        <v>0.125</v>
      </c>
      <c r="AW63" s="6" t="s">
        <v>426</v>
      </c>
      <c r="AX63" s="6">
        <v>0.125</v>
      </c>
      <c r="AY63" s="6" t="s">
        <v>426</v>
      </c>
      <c r="AZ63" s="6">
        <v>1</v>
      </c>
      <c r="BA63" s="6" t="s">
        <v>426</v>
      </c>
      <c r="BB63" s="6">
        <v>0.125</v>
      </c>
      <c r="BC63" s="6" t="s">
        <v>426</v>
      </c>
      <c r="BD63" s="6">
        <v>0.125</v>
      </c>
      <c r="BE63" s="6" t="s">
        <v>426</v>
      </c>
      <c r="BF63" s="6">
        <v>1</v>
      </c>
      <c r="BG63" s="6" t="s">
        <v>426</v>
      </c>
      <c r="BH63" s="6">
        <v>0.125</v>
      </c>
      <c r="BI63" s="6" t="s">
        <v>426</v>
      </c>
      <c r="BJ63" s="6">
        <v>0.125</v>
      </c>
      <c r="BK63" s="6" t="s">
        <v>426</v>
      </c>
      <c r="BL63" s="6">
        <v>0.125</v>
      </c>
      <c r="BM63" s="6" t="s">
        <v>426</v>
      </c>
      <c r="BN63" s="6">
        <v>16</v>
      </c>
      <c r="BO63" s="6" t="s">
        <v>426</v>
      </c>
      <c r="BP63" s="6">
        <v>0.125</v>
      </c>
      <c r="BQ63" s="6" t="s">
        <v>426</v>
      </c>
      <c r="BR63" s="6">
        <v>10</v>
      </c>
      <c r="BS63" s="6" t="s">
        <v>426</v>
      </c>
      <c r="BT63" s="6">
        <v>50</v>
      </c>
      <c r="BU63" s="6" t="s">
        <v>426</v>
      </c>
      <c r="BV63" s="15">
        <v>0.125</v>
      </c>
      <c r="BW63" s="15" t="s">
        <v>518</v>
      </c>
      <c r="BX63" s="15" t="s">
        <v>786</v>
      </c>
      <c r="BY63" s="6" t="s">
        <v>430</v>
      </c>
      <c r="BZ63" s="6" t="s">
        <v>430</v>
      </c>
      <c r="CA63" s="6" t="s">
        <v>430</v>
      </c>
      <c r="CB63" s="6" t="s">
        <v>430</v>
      </c>
      <c r="CC63" s="6" t="s">
        <v>430</v>
      </c>
      <c r="CD63" s="6" t="s">
        <v>430</v>
      </c>
      <c r="CE63" s="6" t="s">
        <v>430</v>
      </c>
      <c r="CF63" s="6" t="s">
        <v>430</v>
      </c>
      <c r="CG63" s="6" t="s">
        <v>430</v>
      </c>
      <c r="CH63" s="6" t="s">
        <v>430</v>
      </c>
      <c r="CI63" s="6" t="s">
        <v>430</v>
      </c>
      <c r="CJ63" s="6" t="s">
        <v>430</v>
      </c>
      <c r="CK63" s="6" t="s">
        <v>430</v>
      </c>
      <c r="CL63" s="6" t="s">
        <v>430</v>
      </c>
      <c r="CM63" s="6" t="s">
        <v>430</v>
      </c>
      <c r="CN63" s="6" t="s">
        <v>430</v>
      </c>
      <c r="CO63" s="15" t="s">
        <v>430</v>
      </c>
      <c r="CP63" s="15" t="s">
        <v>432</v>
      </c>
      <c r="CQ63" s="6" t="s">
        <v>433</v>
      </c>
      <c r="CR63" s="15"/>
      <c r="CS63" s="6" t="s">
        <v>426</v>
      </c>
      <c r="CT63" s="6" t="s">
        <v>1306</v>
      </c>
      <c r="CU63" s="6" t="s">
        <v>1518</v>
      </c>
      <c r="CV63" s="6" t="s">
        <v>825</v>
      </c>
      <c r="CW63" s="6" t="s">
        <v>1519</v>
      </c>
      <c r="CX63" s="15" t="s">
        <v>426</v>
      </c>
      <c r="CY63" s="6" t="s">
        <v>426</v>
      </c>
      <c r="CZ63" s="6" t="s">
        <v>1394</v>
      </c>
      <c r="DA63" s="6" t="s">
        <v>901</v>
      </c>
      <c r="DB63" s="6" t="s">
        <v>907</v>
      </c>
      <c r="DC63" s="6" t="s">
        <v>825</v>
      </c>
      <c r="DD63" s="15" t="s">
        <v>1520</v>
      </c>
      <c r="DE63" s="15" t="s">
        <v>436</v>
      </c>
      <c r="DF63" s="6" t="s">
        <v>437</v>
      </c>
      <c r="DG63" s="6">
        <v>1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/>
      <c r="DN63" s="6"/>
      <c r="DO63" s="6"/>
      <c r="DP63" s="6"/>
      <c r="DQ63" s="6"/>
      <c r="DR63" s="6"/>
      <c r="DS63" s="6"/>
      <c r="DT63" s="66"/>
      <c r="DU63" s="6" t="s">
        <v>438</v>
      </c>
      <c r="DV63" s="6" t="s">
        <v>426</v>
      </c>
      <c r="DW63" s="6" t="s">
        <v>439</v>
      </c>
      <c r="DX63" s="6" t="s">
        <v>440</v>
      </c>
      <c r="DY63" s="6"/>
      <c r="DZ63" s="6" t="s">
        <v>1521</v>
      </c>
      <c r="EA63" s="6">
        <v>1</v>
      </c>
      <c r="EB63" s="6">
        <v>1</v>
      </c>
      <c r="EC63" s="6">
        <v>0</v>
      </c>
      <c r="ED63" s="6">
        <v>1</v>
      </c>
      <c r="EE63" s="6">
        <v>0</v>
      </c>
      <c r="EF63" s="6">
        <v>0</v>
      </c>
      <c r="EG63" s="6">
        <v>0</v>
      </c>
      <c r="EH63" s="6">
        <v>0</v>
      </c>
      <c r="EI63" s="6"/>
      <c r="EJ63" s="6" t="s">
        <v>1522</v>
      </c>
      <c r="EK63" s="6">
        <v>1</v>
      </c>
      <c r="EL63" s="6">
        <v>1</v>
      </c>
      <c r="EM63" s="6">
        <v>0</v>
      </c>
      <c r="EN63" s="6">
        <v>1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/>
      <c r="EU63" s="6" t="s">
        <v>443</v>
      </c>
      <c r="EV63" s="6" t="s">
        <v>495</v>
      </c>
      <c r="EW63" s="6"/>
      <c r="EX63" s="6" t="s">
        <v>1523</v>
      </c>
      <c r="EY63" s="6">
        <v>0</v>
      </c>
      <c r="EZ63" s="6">
        <v>1</v>
      </c>
      <c r="FA63" s="6">
        <v>1</v>
      </c>
      <c r="FB63" s="6">
        <v>1</v>
      </c>
      <c r="FC63" s="6">
        <v>1</v>
      </c>
      <c r="FD63" s="6">
        <v>0</v>
      </c>
      <c r="FE63" s="6">
        <v>0</v>
      </c>
      <c r="FF63" s="6">
        <v>0</v>
      </c>
      <c r="FG63" s="6"/>
      <c r="FH63" s="6" t="s">
        <v>537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1</v>
      </c>
      <c r="FS63" s="6" t="s">
        <v>1524</v>
      </c>
      <c r="FT63" s="6" t="s">
        <v>447</v>
      </c>
      <c r="FU63" s="6" t="s">
        <v>499</v>
      </c>
      <c r="FV63" s="6"/>
      <c r="FW63" s="6" t="s">
        <v>449</v>
      </c>
      <c r="FX63" s="15" t="s">
        <v>450</v>
      </c>
      <c r="FY63" s="6" t="s">
        <v>451</v>
      </c>
      <c r="FZ63" s="6"/>
      <c r="GA63" s="6" t="s">
        <v>450</v>
      </c>
      <c r="GB63" s="6" t="s">
        <v>501</v>
      </c>
      <c r="GC63" s="6" t="s">
        <v>426</v>
      </c>
      <c r="GD63" s="6" t="s">
        <v>1525</v>
      </c>
      <c r="GE63" s="6" t="s">
        <v>642</v>
      </c>
      <c r="GF63" s="6" t="s">
        <v>1526</v>
      </c>
      <c r="GG63" s="6" t="s">
        <v>592</v>
      </c>
      <c r="GH63" s="15" t="s">
        <v>1527</v>
      </c>
      <c r="GI63" s="6" t="s">
        <v>458</v>
      </c>
      <c r="GJ63" s="6" t="s">
        <v>1528</v>
      </c>
      <c r="GK63" s="6" t="s">
        <v>460</v>
      </c>
      <c r="GL63" s="6" t="s">
        <v>461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1</v>
      </c>
      <c r="GS63" s="6">
        <v>0</v>
      </c>
      <c r="GT63" s="6"/>
      <c r="GU63" s="6" t="s">
        <v>534</v>
      </c>
      <c r="GV63" s="6" t="s">
        <v>595</v>
      </c>
      <c r="GW63" s="6" t="s">
        <v>1529</v>
      </c>
      <c r="GX63" s="6">
        <v>1</v>
      </c>
      <c r="GY63" s="6">
        <v>0</v>
      </c>
      <c r="GZ63" s="6">
        <v>1</v>
      </c>
      <c r="HA63" s="6">
        <v>1</v>
      </c>
      <c r="HB63" s="6">
        <v>0</v>
      </c>
      <c r="HC63" s="6">
        <v>0</v>
      </c>
      <c r="HD63" s="6"/>
      <c r="HE63" s="6" t="s">
        <v>111</v>
      </c>
      <c r="HF63" s="6">
        <v>0</v>
      </c>
      <c r="HG63" s="6">
        <v>0</v>
      </c>
      <c r="HH63" s="6">
        <v>0</v>
      </c>
      <c r="HI63" s="6">
        <v>1</v>
      </c>
      <c r="HJ63" s="6">
        <v>0</v>
      </c>
      <c r="HK63" s="6">
        <v>0</v>
      </c>
      <c r="HL63" s="15"/>
      <c r="HM63" s="6" t="s">
        <v>505</v>
      </c>
      <c r="HN63" s="6"/>
      <c r="HO63" s="6" t="s">
        <v>1530</v>
      </c>
      <c r="HP63" s="6" t="s">
        <v>561</v>
      </c>
      <c r="HQ63" s="6"/>
      <c r="HR63" s="6" t="s">
        <v>1531</v>
      </c>
      <c r="HS63" s="6" t="s">
        <v>470</v>
      </c>
      <c r="HT63" s="6">
        <v>0</v>
      </c>
      <c r="HU63" s="6">
        <v>0</v>
      </c>
      <c r="HV63" s="6">
        <v>0</v>
      </c>
      <c r="HW63" s="6">
        <v>0</v>
      </c>
      <c r="HX63" s="6">
        <v>1</v>
      </c>
      <c r="HY63" s="6">
        <v>0</v>
      </c>
      <c r="HZ63" s="6"/>
      <c r="IA63" s="6" t="s">
        <v>1406</v>
      </c>
      <c r="IB63" s="6">
        <v>1</v>
      </c>
      <c r="IC63" s="6">
        <v>0</v>
      </c>
      <c r="ID63" s="6">
        <v>0</v>
      </c>
      <c r="IE63" s="6">
        <v>1</v>
      </c>
      <c r="IF63" s="6">
        <v>0</v>
      </c>
      <c r="IG63" s="6">
        <v>0</v>
      </c>
      <c r="IH63" s="15" t="s">
        <v>1532</v>
      </c>
      <c r="II63" s="6" t="s">
        <v>426</v>
      </c>
      <c r="IJ63" s="6" t="s">
        <v>602</v>
      </c>
      <c r="IK63" s="6">
        <v>1</v>
      </c>
      <c r="IL63" s="6">
        <v>1</v>
      </c>
      <c r="IM63" s="6">
        <v>0</v>
      </c>
      <c r="IN63" s="6"/>
      <c r="IO63" s="6" t="s">
        <v>473</v>
      </c>
      <c r="IP63" s="6">
        <v>1</v>
      </c>
      <c r="IQ63" s="6">
        <v>0</v>
      </c>
      <c r="IR63" s="6">
        <v>0</v>
      </c>
      <c r="IS63" s="6">
        <v>0</v>
      </c>
      <c r="IT63" s="6">
        <v>0</v>
      </c>
      <c r="IU63" s="6">
        <v>0</v>
      </c>
      <c r="IV63" s="6"/>
      <c r="IW63" s="6" t="s">
        <v>426</v>
      </c>
      <c r="IX63" s="6">
        <v>1</v>
      </c>
      <c r="IY63" s="6" t="s">
        <v>474</v>
      </c>
      <c r="IZ63" s="6" t="s">
        <v>475</v>
      </c>
      <c r="JA63" s="6" t="s">
        <v>426</v>
      </c>
      <c r="JB63" s="6" t="s">
        <v>651</v>
      </c>
      <c r="JC63" s="6"/>
      <c r="JD63" s="6"/>
      <c r="JE63" s="6"/>
      <c r="JF63" s="6"/>
      <c r="JG63" s="6"/>
      <c r="JH63" s="6"/>
      <c r="JI63" s="6"/>
      <c r="JJ63" s="6"/>
      <c r="JK63" s="6" t="s">
        <v>453</v>
      </c>
      <c r="JL63" s="6"/>
      <c r="JM63" s="6"/>
      <c r="JN63" s="6"/>
      <c r="JO63" s="6"/>
      <c r="JP63" s="6"/>
      <c r="JQ63" s="6"/>
      <c r="JR63" s="6"/>
      <c r="JS63" s="6"/>
      <c r="JT63" s="6"/>
      <c r="JU63" s="6" t="s">
        <v>477</v>
      </c>
      <c r="JV63" s="15"/>
      <c r="JW63" s="94" t="s">
        <v>1533</v>
      </c>
      <c r="JX63" s="6" t="s">
        <v>1534</v>
      </c>
      <c r="JY63" s="6">
        <v>0.8471479</v>
      </c>
      <c r="JZ63" s="6">
        <v>34.7357118</v>
      </c>
      <c r="KA63" s="6">
        <v>1886.4853515625</v>
      </c>
      <c r="KB63" s="15">
        <v>4.556</v>
      </c>
      <c r="KC63" s="15"/>
    </row>
    <row r="64" spans="1:289">
      <c r="A64" s="6" t="s">
        <v>633</v>
      </c>
      <c r="B64" s="6" t="s">
        <v>420</v>
      </c>
      <c r="C64" s="6" t="s">
        <v>421</v>
      </c>
      <c r="D64" s="6" t="s">
        <v>1006</v>
      </c>
      <c r="E64" s="6" t="s">
        <v>1535</v>
      </c>
      <c r="F64" s="8" t="s">
        <v>483</v>
      </c>
      <c r="G64" s="6" t="s">
        <v>567</v>
      </c>
      <c r="H64" s="6" t="s">
        <v>517</v>
      </c>
      <c r="I64" s="15"/>
      <c r="J64" s="6" t="s">
        <v>426</v>
      </c>
      <c r="K64" s="6" t="s">
        <v>426</v>
      </c>
      <c r="L64" s="6" t="s">
        <v>426</v>
      </c>
      <c r="M64" s="6" t="s">
        <v>426</v>
      </c>
      <c r="N64" s="6" t="s">
        <v>426</v>
      </c>
      <c r="O64" s="6" t="s">
        <v>426</v>
      </c>
      <c r="P64" s="6" t="s">
        <v>426</v>
      </c>
      <c r="Q64" s="6" t="s">
        <v>426</v>
      </c>
      <c r="R64" s="6" t="s">
        <v>426</v>
      </c>
      <c r="S64" s="6" t="s">
        <v>426</v>
      </c>
      <c r="T64" s="6" t="s">
        <v>426</v>
      </c>
      <c r="U64" s="6" t="s">
        <v>426</v>
      </c>
      <c r="V64" s="6" t="s">
        <v>426</v>
      </c>
      <c r="W64" s="6" t="s">
        <v>426</v>
      </c>
      <c r="X64" s="6" t="s">
        <v>426</v>
      </c>
      <c r="Y64" s="6" t="s">
        <v>426</v>
      </c>
      <c r="Z64" s="6" t="s">
        <v>426</v>
      </c>
      <c r="AA64" s="6" t="s">
        <v>426</v>
      </c>
      <c r="AB64" s="6" t="s">
        <v>426</v>
      </c>
      <c r="AC64" s="15" t="s">
        <v>426</v>
      </c>
      <c r="AD64" s="6" t="s">
        <v>427</v>
      </c>
      <c r="AE64" s="6">
        <v>0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0</v>
      </c>
      <c r="AL64" s="6">
        <v>0</v>
      </c>
      <c r="AM64" s="6"/>
      <c r="AN64" s="15"/>
      <c r="AO64" s="6" t="s">
        <v>426</v>
      </c>
      <c r="AP64" s="6" t="s">
        <v>683</v>
      </c>
      <c r="AQ64" s="6" t="s">
        <v>426</v>
      </c>
      <c r="AR64" s="6" t="s">
        <v>920</v>
      </c>
      <c r="AS64" s="6" t="s">
        <v>426</v>
      </c>
      <c r="AT64" s="6">
        <v>0.1</v>
      </c>
      <c r="AU64" s="6" t="s">
        <v>426</v>
      </c>
      <c r="AV64" s="6">
        <v>0.1</v>
      </c>
      <c r="AW64" s="6" t="s">
        <v>426</v>
      </c>
      <c r="AX64" s="6">
        <v>0.1</v>
      </c>
      <c r="AY64" s="6" t="s">
        <v>426</v>
      </c>
      <c r="AZ64" s="6">
        <v>1</v>
      </c>
      <c r="BA64" s="6" t="s">
        <v>426</v>
      </c>
      <c r="BB64" s="6">
        <v>0.1</v>
      </c>
      <c r="BC64" s="6" t="s">
        <v>426</v>
      </c>
      <c r="BD64" s="6">
        <v>0.08</v>
      </c>
      <c r="BE64" s="6" t="s">
        <v>453</v>
      </c>
      <c r="BF64" s="6"/>
      <c r="BG64" s="6" t="s">
        <v>426</v>
      </c>
      <c r="BH64" s="6">
        <v>0.08</v>
      </c>
      <c r="BI64" s="6" t="s">
        <v>426</v>
      </c>
      <c r="BJ64" s="6">
        <v>0.2</v>
      </c>
      <c r="BK64" s="6" t="s">
        <v>426</v>
      </c>
      <c r="BL64" s="6">
        <v>0.3</v>
      </c>
      <c r="BM64" s="6" t="s">
        <v>426</v>
      </c>
      <c r="BN64" s="6">
        <v>20</v>
      </c>
      <c r="BO64" s="6" t="s">
        <v>426</v>
      </c>
      <c r="BP64" s="6">
        <v>0.08</v>
      </c>
      <c r="BQ64" s="6" t="s">
        <v>426</v>
      </c>
      <c r="BR64" s="6">
        <v>60</v>
      </c>
      <c r="BS64" s="6" t="s">
        <v>426</v>
      </c>
      <c r="BT64" s="6">
        <v>4</v>
      </c>
      <c r="BU64" s="6" t="s">
        <v>426</v>
      </c>
      <c r="BV64" s="15">
        <v>0.5</v>
      </c>
      <c r="BW64" s="15" t="s">
        <v>518</v>
      </c>
      <c r="BX64" s="15" t="s">
        <v>429</v>
      </c>
      <c r="BY64" s="6" t="s">
        <v>430</v>
      </c>
      <c r="BZ64" s="6" t="s">
        <v>430</v>
      </c>
      <c r="CA64" s="6" t="s">
        <v>430</v>
      </c>
      <c r="CB64" s="6" t="s">
        <v>430</v>
      </c>
      <c r="CC64" s="6" t="s">
        <v>430</v>
      </c>
      <c r="CD64" s="6" t="s">
        <v>430</v>
      </c>
      <c r="CE64" s="6" t="s">
        <v>430</v>
      </c>
      <c r="CF64" s="6" t="s">
        <v>430</v>
      </c>
      <c r="CG64" s="6" t="s">
        <v>486</v>
      </c>
      <c r="CH64" s="6" t="s">
        <v>430</v>
      </c>
      <c r="CI64" s="6" t="s">
        <v>430</v>
      </c>
      <c r="CJ64" s="6" t="s">
        <v>430</v>
      </c>
      <c r="CK64" s="6" t="s">
        <v>430</v>
      </c>
      <c r="CL64" s="6" t="s">
        <v>430</v>
      </c>
      <c r="CM64" s="6" t="s">
        <v>430</v>
      </c>
      <c r="CN64" s="6" t="s">
        <v>430</v>
      </c>
      <c r="CO64" s="15" t="s">
        <v>430</v>
      </c>
      <c r="CP64" s="15" t="s">
        <v>432</v>
      </c>
      <c r="CQ64" s="6" t="s">
        <v>433</v>
      </c>
      <c r="CR64" s="15"/>
      <c r="CS64" s="6" t="s">
        <v>426</v>
      </c>
      <c r="CT64" s="6" t="s">
        <v>1536</v>
      </c>
      <c r="CU64" s="6" t="s">
        <v>789</v>
      </c>
      <c r="CV64" s="6" t="s">
        <v>825</v>
      </c>
      <c r="CW64" s="6" t="s">
        <v>1337</v>
      </c>
      <c r="CX64" s="15" t="s">
        <v>426</v>
      </c>
      <c r="CY64" s="6" t="s">
        <v>426</v>
      </c>
      <c r="CZ64" s="6" t="s">
        <v>1537</v>
      </c>
      <c r="DA64" s="6" t="s">
        <v>689</v>
      </c>
      <c r="DB64" s="6" t="s">
        <v>1538</v>
      </c>
      <c r="DC64" s="6" t="s">
        <v>987</v>
      </c>
      <c r="DD64" s="15" t="s">
        <v>1322</v>
      </c>
      <c r="DE64" s="15" t="s">
        <v>436</v>
      </c>
      <c r="DF64" s="6" t="s">
        <v>611</v>
      </c>
      <c r="DG64" s="6">
        <v>1</v>
      </c>
      <c r="DH64" s="6">
        <v>1</v>
      </c>
      <c r="DI64" s="6">
        <v>0</v>
      </c>
      <c r="DJ64" s="6">
        <v>0</v>
      </c>
      <c r="DK64" s="6">
        <v>0</v>
      </c>
      <c r="DL64" s="6">
        <v>0</v>
      </c>
      <c r="DM64" s="6"/>
      <c r="DN64" s="6"/>
      <c r="DO64" s="6"/>
      <c r="DP64" s="6"/>
      <c r="DQ64" s="6"/>
      <c r="DR64" s="6"/>
      <c r="DS64" s="6"/>
      <c r="DT64" s="66"/>
      <c r="DU64" s="6" t="s">
        <v>523</v>
      </c>
      <c r="DV64" s="6" t="s">
        <v>426</v>
      </c>
      <c r="DW64" s="6" t="s">
        <v>439</v>
      </c>
      <c r="DX64" s="6" t="s">
        <v>440</v>
      </c>
      <c r="DY64" s="6"/>
      <c r="DZ64" s="6" t="s">
        <v>940</v>
      </c>
      <c r="EA64" s="6">
        <v>1</v>
      </c>
      <c r="EB64" s="6">
        <v>1</v>
      </c>
      <c r="EC64" s="6">
        <v>1</v>
      </c>
      <c r="ED64" s="6">
        <v>1</v>
      </c>
      <c r="EE64" s="6">
        <v>0</v>
      </c>
      <c r="EF64" s="6">
        <v>0</v>
      </c>
      <c r="EG64" s="6">
        <v>0</v>
      </c>
      <c r="EH64" s="6">
        <v>0</v>
      </c>
      <c r="EI64" s="6"/>
      <c r="EJ64" s="6" t="s">
        <v>741</v>
      </c>
      <c r="EK64" s="6">
        <v>1</v>
      </c>
      <c r="EL64" s="6">
        <v>0</v>
      </c>
      <c r="EM64" s="6">
        <v>1</v>
      </c>
      <c r="EN64" s="6">
        <v>1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/>
      <c r="EU64" s="6" t="s">
        <v>443</v>
      </c>
      <c r="EV64" s="6" t="s">
        <v>554</v>
      </c>
      <c r="EW64" s="6"/>
      <c r="EX64" s="6" t="s">
        <v>1123</v>
      </c>
      <c r="EY64" s="6">
        <v>1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/>
      <c r="FH64" s="6" t="s">
        <v>1496</v>
      </c>
      <c r="FI64" s="6">
        <v>1</v>
      </c>
      <c r="FJ64" s="6">
        <v>0</v>
      </c>
      <c r="FK64" s="6">
        <v>1</v>
      </c>
      <c r="FL64" s="6">
        <v>1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/>
      <c r="FT64" s="6" t="s">
        <v>447</v>
      </c>
      <c r="FU64" s="6" t="s">
        <v>448</v>
      </c>
      <c r="FV64" s="6"/>
      <c r="FW64" s="6" t="s">
        <v>449</v>
      </c>
      <c r="FX64" s="15" t="s">
        <v>450</v>
      </c>
      <c r="FY64" s="6" t="s">
        <v>529</v>
      </c>
      <c r="FZ64" s="6"/>
      <c r="GA64" s="6" t="s">
        <v>450</v>
      </c>
      <c r="GB64" s="6" t="s">
        <v>501</v>
      </c>
      <c r="GC64" s="6" t="s">
        <v>453</v>
      </c>
      <c r="GD64" s="6"/>
      <c r="GE64" s="6" t="s">
        <v>454</v>
      </c>
      <c r="GF64" s="6" t="s">
        <v>1497</v>
      </c>
      <c r="GG64" s="6" t="s">
        <v>456</v>
      </c>
      <c r="GH64" s="15" t="s">
        <v>1113</v>
      </c>
      <c r="GI64" s="6" t="s">
        <v>458</v>
      </c>
      <c r="GJ64" s="6" t="s">
        <v>1539</v>
      </c>
      <c r="GK64" s="6" t="s">
        <v>460</v>
      </c>
      <c r="GL64" s="6" t="s">
        <v>1540</v>
      </c>
      <c r="GM64" s="6">
        <v>1</v>
      </c>
      <c r="GN64" s="6">
        <v>1</v>
      </c>
      <c r="GO64" s="6">
        <v>0</v>
      </c>
      <c r="GP64" s="6">
        <v>1</v>
      </c>
      <c r="GQ64" s="6">
        <v>1</v>
      </c>
      <c r="GR64" s="6">
        <v>1</v>
      </c>
      <c r="GS64" s="6">
        <v>0</v>
      </c>
      <c r="GT64" s="6"/>
      <c r="GU64" s="6" t="s">
        <v>534</v>
      </c>
      <c r="GV64" s="6" t="s">
        <v>595</v>
      </c>
      <c r="GW64" s="6" t="s">
        <v>1101</v>
      </c>
      <c r="GX64" s="6">
        <v>1</v>
      </c>
      <c r="GY64" s="6">
        <v>0</v>
      </c>
      <c r="GZ64" s="6">
        <v>0</v>
      </c>
      <c r="HA64" s="6">
        <v>0</v>
      </c>
      <c r="HB64" s="6">
        <v>0</v>
      </c>
      <c r="HC64" s="6">
        <v>1</v>
      </c>
      <c r="HD64" s="6" t="s">
        <v>1115</v>
      </c>
      <c r="HE64" s="6" t="s">
        <v>596</v>
      </c>
      <c r="HF64" s="6">
        <v>1</v>
      </c>
      <c r="HG64" s="6">
        <v>1</v>
      </c>
      <c r="HH64" s="6">
        <v>1</v>
      </c>
      <c r="HI64" s="6">
        <v>1</v>
      </c>
      <c r="HJ64" s="6">
        <v>0</v>
      </c>
      <c r="HK64" s="6">
        <v>0</v>
      </c>
      <c r="HL64" s="15"/>
      <c r="HM64" s="6" t="s">
        <v>466</v>
      </c>
      <c r="HN64" s="6"/>
      <c r="HO64" s="6" t="s">
        <v>1541</v>
      </c>
      <c r="HP64" s="6" t="s">
        <v>468</v>
      </c>
      <c r="HQ64" s="6"/>
      <c r="HR64" s="6" t="s">
        <v>1542</v>
      </c>
      <c r="HS64" s="6" t="s">
        <v>508</v>
      </c>
      <c r="HT64" s="6">
        <v>0</v>
      </c>
      <c r="HU64" s="6">
        <v>0</v>
      </c>
      <c r="HV64" s="6">
        <v>1</v>
      </c>
      <c r="HW64" s="6">
        <v>0</v>
      </c>
      <c r="HX64" s="6">
        <v>0</v>
      </c>
      <c r="HY64" s="6">
        <v>0</v>
      </c>
      <c r="HZ64" s="6"/>
      <c r="IA64" s="6" t="s">
        <v>1105</v>
      </c>
      <c r="IB64" s="6">
        <v>1</v>
      </c>
      <c r="IC64" s="6">
        <v>1</v>
      </c>
      <c r="ID64" s="6">
        <v>0</v>
      </c>
      <c r="IE64" s="6">
        <v>0</v>
      </c>
      <c r="IF64" s="6">
        <v>0</v>
      </c>
      <c r="IG64" s="6">
        <v>0</v>
      </c>
      <c r="IH64" s="15" t="s">
        <v>1543</v>
      </c>
      <c r="II64" s="6" t="s">
        <v>453</v>
      </c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 t="s">
        <v>426</v>
      </c>
      <c r="IX64" s="6">
        <v>1</v>
      </c>
      <c r="IY64" s="6" t="s">
        <v>474</v>
      </c>
      <c r="IZ64" s="6" t="s">
        <v>475</v>
      </c>
      <c r="JA64" s="6" t="s">
        <v>426</v>
      </c>
      <c r="JB64" s="6" t="s">
        <v>651</v>
      </c>
      <c r="JC64" s="6"/>
      <c r="JD64" s="6"/>
      <c r="JE64" s="6"/>
      <c r="JF64" s="6"/>
      <c r="JG64" s="6"/>
      <c r="JH64" s="6"/>
      <c r="JI64" s="6"/>
      <c r="JJ64" s="6"/>
      <c r="JK64" s="6" t="s">
        <v>453</v>
      </c>
      <c r="JL64" s="6"/>
      <c r="JM64" s="6"/>
      <c r="JN64" s="6"/>
      <c r="JO64" s="6"/>
      <c r="JP64" s="6"/>
      <c r="JQ64" s="6"/>
      <c r="JR64" s="6"/>
      <c r="JS64" s="6"/>
      <c r="JT64" s="6"/>
      <c r="JU64" s="6" t="s">
        <v>511</v>
      </c>
      <c r="JV64" s="15"/>
      <c r="JW64" s="94" t="s">
        <v>1544</v>
      </c>
      <c r="JX64" s="6" t="s">
        <v>1545</v>
      </c>
      <c r="JY64" s="6">
        <v>0.8405938</v>
      </c>
      <c r="JZ64" s="6">
        <v>34.7533662</v>
      </c>
      <c r="KA64" s="6">
        <v>1699</v>
      </c>
      <c r="KB64" s="15">
        <v>4.7</v>
      </c>
      <c r="KC64" s="15"/>
    </row>
    <row r="65" spans="1:289">
      <c r="A65" s="6" t="s">
        <v>864</v>
      </c>
      <c r="B65" s="6" t="s">
        <v>420</v>
      </c>
      <c r="C65" s="6" t="s">
        <v>421</v>
      </c>
      <c r="D65" s="6" t="s">
        <v>1006</v>
      </c>
      <c r="E65" s="6" t="s">
        <v>1546</v>
      </c>
      <c r="F65" s="8" t="s">
        <v>483</v>
      </c>
      <c r="G65" s="6" t="s">
        <v>731</v>
      </c>
      <c r="H65" s="6" t="s">
        <v>517</v>
      </c>
      <c r="I65" s="15"/>
      <c r="J65" s="6" t="s">
        <v>426</v>
      </c>
      <c r="K65" s="6" t="s">
        <v>426</v>
      </c>
      <c r="L65" s="6" t="s">
        <v>426</v>
      </c>
      <c r="M65" s="6" t="s">
        <v>426</v>
      </c>
      <c r="N65" s="6" t="s">
        <v>426</v>
      </c>
      <c r="O65" s="6" t="s">
        <v>426</v>
      </c>
      <c r="P65" s="6" t="s">
        <v>426</v>
      </c>
      <c r="Q65" s="6" t="s">
        <v>426</v>
      </c>
      <c r="R65" s="6" t="s">
        <v>426</v>
      </c>
      <c r="S65" s="6" t="s">
        <v>426</v>
      </c>
      <c r="T65" s="6" t="s">
        <v>426</v>
      </c>
      <c r="U65" s="6" t="s">
        <v>426</v>
      </c>
      <c r="V65" s="6" t="s">
        <v>426</v>
      </c>
      <c r="W65" s="6" t="s">
        <v>453</v>
      </c>
      <c r="X65" s="6" t="s">
        <v>426</v>
      </c>
      <c r="Y65" s="6" t="s">
        <v>426</v>
      </c>
      <c r="Z65" s="6" t="s">
        <v>426</v>
      </c>
      <c r="AA65" s="6" t="s">
        <v>453</v>
      </c>
      <c r="AB65" s="6" t="s">
        <v>426</v>
      </c>
      <c r="AC65" s="15" t="s">
        <v>426</v>
      </c>
      <c r="AD65" s="6" t="s">
        <v>1547</v>
      </c>
      <c r="AE65" s="6">
        <v>0</v>
      </c>
      <c r="AF65" s="6">
        <v>1</v>
      </c>
      <c r="AG65" s="6">
        <v>0</v>
      </c>
      <c r="AH65" s="6">
        <v>1</v>
      </c>
      <c r="AI65" s="6">
        <v>0</v>
      </c>
      <c r="AJ65" s="6">
        <v>0</v>
      </c>
      <c r="AK65" s="6">
        <v>0</v>
      </c>
      <c r="AL65" s="6">
        <v>0</v>
      </c>
      <c r="AM65" s="6"/>
      <c r="AN65" s="15"/>
      <c r="AO65" s="6" t="s">
        <v>426</v>
      </c>
      <c r="AP65" s="6" t="s">
        <v>1188</v>
      </c>
      <c r="AQ65" s="6" t="s">
        <v>426</v>
      </c>
      <c r="AR65" s="6" t="s">
        <v>1188</v>
      </c>
      <c r="AS65" s="6" t="s">
        <v>426</v>
      </c>
      <c r="AT65" s="6">
        <v>0.2</v>
      </c>
      <c r="AU65" s="6" t="s">
        <v>453</v>
      </c>
      <c r="AV65" s="6"/>
      <c r="AW65" s="6" t="s">
        <v>426</v>
      </c>
      <c r="AX65" s="6">
        <v>0.6</v>
      </c>
      <c r="AY65" s="6" t="s">
        <v>426</v>
      </c>
      <c r="AZ65" s="6">
        <v>1</v>
      </c>
      <c r="BA65" s="6" t="s">
        <v>453</v>
      </c>
      <c r="BB65" s="6"/>
      <c r="BC65" s="6" t="s">
        <v>426</v>
      </c>
      <c r="BD65" s="6">
        <v>0.2</v>
      </c>
      <c r="BE65" s="6" t="s">
        <v>426</v>
      </c>
      <c r="BF65" s="6">
        <v>10</v>
      </c>
      <c r="BG65" s="6" t="s">
        <v>426</v>
      </c>
      <c r="BH65" s="6">
        <v>0.2</v>
      </c>
      <c r="BI65" s="6" t="s">
        <v>426</v>
      </c>
      <c r="BJ65" s="6">
        <v>0.4</v>
      </c>
      <c r="BK65" s="6" t="s">
        <v>426</v>
      </c>
      <c r="BL65" s="6">
        <v>0.2</v>
      </c>
      <c r="BM65" s="6" t="s">
        <v>426</v>
      </c>
      <c r="BN65" s="6">
        <v>25</v>
      </c>
      <c r="BO65" s="6" t="s">
        <v>453</v>
      </c>
      <c r="BP65" s="6"/>
      <c r="BQ65" s="6" t="s">
        <v>426</v>
      </c>
      <c r="BR65" s="6">
        <v>28</v>
      </c>
      <c r="BS65" s="6" t="s">
        <v>453</v>
      </c>
      <c r="BT65" s="6"/>
      <c r="BU65" s="6" t="s">
        <v>426</v>
      </c>
      <c r="BV65" s="15">
        <v>0.2</v>
      </c>
      <c r="BW65" s="15" t="s">
        <v>428</v>
      </c>
      <c r="BX65" s="15" t="s">
        <v>429</v>
      </c>
      <c r="BY65" s="6" t="s">
        <v>430</v>
      </c>
      <c r="BZ65" s="6" t="s">
        <v>430</v>
      </c>
      <c r="CA65" s="6" t="s">
        <v>430</v>
      </c>
      <c r="CB65" s="6" t="s">
        <v>431</v>
      </c>
      <c r="CC65" s="6" t="s">
        <v>430</v>
      </c>
      <c r="CD65" s="6" t="s">
        <v>430</v>
      </c>
      <c r="CE65" s="6" t="s">
        <v>487</v>
      </c>
      <c r="CF65" s="6" t="s">
        <v>430</v>
      </c>
      <c r="CG65" s="6" t="s">
        <v>430</v>
      </c>
      <c r="CH65" s="6" t="s">
        <v>430</v>
      </c>
      <c r="CI65" s="6" t="s">
        <v>430</v>
      </c>
      <c r="CJ65" s="6" t="s">
        <v>431</v>
      </c>
      <c r="CK65" s="6" t="s">
        <v>430</v>
      </c>
      <c r="CL65" s="6" t="s">
        <v>487</v>
      </c>
      <c r="CM65" s="6" t="s">
        <v>431</v>
      </c>
      <c r="CN65" s="6" t="s">
        <v>487</v>
      </c>
      <c r="CO65" s="15" t="s">
        <v>430</v>
      </c>
      <c r="CP65" s="15" t="s">
        <v>636</v>
      </c>
      <c r="CQ65" s="6" t="s">
        <v>433</v>
      </c>
      <c r="CR65" s="15"/>
      <c r="CS65" s="6" t="s">
        <v>426</v>
      </c>
      <c r="CT65" s="6" t="s">
        <v>1548</v>
      </c>
      <c r="CU65" s="6" t="s">
        <v>1549</v>
      </c>
      <c r="CV65" s="6" t="s">
        <v>1550</v>
      </c>
      <c r="CW65" s="6" t="s">
        <v>1551</v>
      </c>
      <c r="CX65" s="15" t="s">
        <v>453</v>
      </c>
      <c r="CY65" s="6"/>
      <c r="CZ65" s="6"/>
      <c r="DA65" s="6"/>
      <c r="DB65" s="6"/>
      <c r="DC65" s="6"/>
      <c r="DD65" s="15"/>
      <c r="DE65" s="15" t="s">
        <v>521</v>
      </c>
      <c r="DF65" s="6" t="s">
        <v>1093</v>
      </c>
      <c r="DG65" s="6">
        <v>1</v>
      </c>
      <c r="DH65" s="6">
        <v>1</v>
      </c>
      <c r="DI65" s="6">
        <v>0</v>
      </c>
      <c r="DJ65" s="6">
        <v>0</v>
      </c>
      <c r="DK65" s="6">
        <v>0</v>
      </c>
      <c r="DL65" s="6">
        <v>0</v>
      </c>
      <c r="DM65" s="6"/>
      <c r="DN65" s="6"/>
      <c r="DO65" s="6"/>
      <c r="DP65" s="6"/>
      <c r="DQ65" s="6"/>
      <c r="DR65" s="6"/>
      <c r="DS65" s="6"/>
      <c r="DT65" s="66"/>
      <c r="DU65" s="6" t="s">
        <v>438</v>
      </c>
      <c r="DV65" s="6" t="s">
        <v>426</v>
      </c>
      <c r="DW65" s="6" t="s">
        <v>439</v>
      </c>
      <c r="DX65" s="6" t="s">
        <v>491</v>
      </c>
      <c r="DY65" s="6"/>
      <c r="DZ65" s="6" t="s">
        <v>1552</v>
      </c>
      <c r="EA65" s="6">
        <v>1</v>
      </c>
      <c r="EB65" s="6">
        <v>1</v>
      </c>
      <c r="EC65" s="6">
        <v>1</v>
      </c>
      <c r="ED65" s="6">
        <v>0</v>
      </c>
      <c r="EE65" s="6">
        <v>1</v>
      </c>
      <c r="EF65" s="6">
        <v>1</v>
      </c>
      <c r="EG65" s="6">
        <v>0</v>
      </c>
      <c r="EH65" s="6">
        <v>0</v>
      </c>
      <c r="EI65" s="6"/>
      <c r="EJ65" s="6" t="s">
        <v>851</v>
      </c>
      <c r="EK65" s="6">
        <v>1</v>
      </c>
      <c r="EL65" s="6">
        <v>1</v>
      </c>
      <c r="EM65" s="6">
        <v>1</v>
      </c>
      <c r="EN65" s="6">
        <v>1</v>
      </c>
      <c r="EO65" s="6">
        <v>1</v>
      </c>
      <c r="EP65" s="6">
        <v>0</v>
      </c>
      <c r="EQ65" s="6">
        <v>0</v>
      </c>
      <c r="ER65" s="6">
        <v>0</v>
      </c>
      <c r="ES65" s="6">
        <v>0</v>
      </c>
      <c r="ET65" s="6"/>
      <c r="EU65" s="6" t="s">
        <v>494</v>
      </c>
      <c r="EV65" s="6" t="s">
        <v>495</v>
      </c>
      <c r="EW65" s="6"/>
      <c r="EX65" s="6" t="s">
        <v>526</v>
      </c>
      <c r="EY65" s="6">
        <v>1</v>
      </c>
      <c r="EZ65" s="6">
        <v>1</v>
      </c>
      <c r="FA65" s="6">
        <v>1</v>
      </c>
      <c r="FB65" s="6">
        <v>1</v>
      </c>
      <c r="FC65" s="6">
        <v>0</v>
      </c>
      <c r="FD65" s="6">
        <v>0</v>
      </c>
      <c r="FE65" s="6">
        <v>0</v>
      </c>
      <c r="FF65" s="6">
        <v>0</v>
      </c>
      <c r="FG65" s="6"/>
      <c r="FH65" s="6" t="s">
        <v>618</v>
      </c>
      <c r="FI65" s="6">
        <v>0</v>
      </c>
      <c r="FJ65" s="6">
        <v>0</v>
      </c>
      <c r="FK65" s="6">
        <v>0</v>
      </c>
      <c r="FL65" s="6">
        <v>1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/>
      <c r="FT65" s="6" t="s">
        <v>556</v>
      </c>
      <c r="FU65" s="6" t="s">
        <v>448</v>
      </c>
      <c r="FV65" s="6"/>
      <c r="FW65" s="6" t="s">
        <v>449</v>
      </c>
      <c r="FX65" s="15" t="s">
        <v>450</v>
      </c>
      <c r="FY65" s="6" t="s">
        <v>500</v>
      </c>
      <c r="FZ65" s="6"/>
      <c r="GA65" s="6" t="s">
        <v>450</v>
      </c>
      <c r="GB65" s="6" t="s">
        <v>501</v>
      </c>
      <c r="GC65" s="6" t="s">
        <v>453</v>
      </c>
      <c r="GD65" s="6"/>
      <c r="GE65" s="6" t="s">
        <v>642</v>
      </c>
      <c r="GF65" s="6" t="s">
        <v>1553</v>
      </c>
      <c r="GG65" s="6" t="s">
        <v>592</v>
      </c>
      <c r="GH65" s="15" t="s">
        <v>1554</v>
      </c>
      <c r="GI65" s="6" t="s">
        <v>458</v>
      </c>
      <c r="GJ65" s="6" t="s">
        <v>1555</v>
      </c>
      <c r="GK65" s="6" t="s">
        <v>460</v>
      </c>
      <c r="GL65" s="6" t="s">
        <v>461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1</v>
      </c>
      <c r="GS65" s="6">
        <v>0</v>
      </c>
      <c r="GT65" s="6"/>
      <c r="GU65" s="6" t="s">
        <v>534</v>
      </c>
      <c r="GV65" s="6" t="s">
        <v>595</v>
      </c>
      <c r="GW65" s="6" t="s">
        <v>464</v>
      </c>
      <c r="GX65" s="6">
        <v>1</v>
      </c>
      <c r="GY65" s="6">
        <v>0</v>
      </c>
      <c r="GZ65" s="6">
        <v>0</v>
      </c>
      <c r="HA65" s="6">
        <v>0</v>
      </c>
      <c r="HB65" s="6">
        <v>0</v>
      </c>
      <c r="HC65" s="6">
        <v>0</v>
      </c>
      <c r="HD65" s="6"/>
      <c r="HE65" s="6" t="s">
        <v>535</v>
      </c>
      <c r="HF65" s="6">
        <v>1</v>
      </c>
      <c r="HG65" s="6">
        <v>0</v>
      </c>
      <c r="HH65" s="6">
        <v>0</v>
      </c>
      <c r="HI65" s="6">
        <v>0</v>
      </c>
      <c r="HJ65" s="6">
        <v>0</v>
      </c>
      <c r="HK65" s="6">
        <v>0</v>
      </c>
      <c r="HL65" s="15"/>
      <c r="HM65" s="6" t="s">
        <v>505</v>
      </c>
      <c r="HN65" s="6"/>
      <c r="HO65" s="6" t="s">
        <v>1556</v>
      </c>
      <c r="HP65" s="6" t="s">
        <v>537</v>
      </c>
      <c r="HQ65" s="6" t="s">
        <v>1201</v>
      </c>
      <c r="HR65" s="6" t="s">
        <v>1557</v>
      </c>
      <c r="HS65" s="6" t="s">
        <v>508</v>
      </c>
      <c r="HT65" s="6">
        <v>0</v>
      </c>
      <c r="HU65" s="6">
        <v>0</v>
      </c>
      <c r="HV65" s="6">
        <v>1</v>
      </c>
      <c r="HW65" s="6">
        <v>0</v>
      </c>
      <c r="HX65" s="6">
        <v>0</v>
      </c>
      <c r="HY65" s="6">
        <v>0</v>
      </c>
      <c r="HZ65" s="6"/>
      <c r="IA65" s="6" t="s">
        <v>111</v>
      </c>
      <c r="IB65" s="6">
        <v>1</v>
      </c>
      <c r="IC65" s="6">
        <v>0</v>
      </c>
      <c r="ID65" s="6">
        <v>0</v>
      </c>
      <c r="IE65" s="6">
        <v>0</v>
      </c>
      <c r="IF65" s="6">
        <v>0</v>
      </c>
      <c r="IG65" s="6">
        <v>0</v>
      </c>
      <c r="IH65" s="15" t="s">
        <v>1558</v>
      </c>
      <c r="II65" s="6" t="s">
        <v>426</v>
      </c>
      <c r="IJ65" s="6" t="s">
        <v>602</v>
      </c>
      <c r="IK65" s="6">
        <v>1</v>
      </c>
      <c r="IL65" s="6">
        <v>1</v>
      </c>
      <c r="IM65" s="6">
        <v>0</v>
      </c>
      <c r="IN65" s="6"/>
      <c r="IO65" s="6" t="s">
        <v>473</v>
      </c>
      <c r="IP65" s="6">
        <v>1</v>
      </c>
      <c r="IQ65" s="6">
        <v>0</v>
      </c>
      <c r="IR65" s="6">
        <v>0</v>
      </c>
      <c r="IS65" s="6">
        <v>0</v>
      </c>
      <c r="IT65" s="6">
        <v>0</v>
      </c>
      <c r="IU65" s="6">
        <v>0</v>
      </c>
      <c r="IV65" s="6"/>
      <c r="IW65" s="6" t="s">
        <v>426</v>
      </c>
      <c r="IX65" s="6">
        <v>1</v>
      </c>
      <c r="IY65" s="6" t="s">
        <v>510</v>
      </c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 t="s">
        <v>453</v>
      </c>
      <c r="JL65" s="6"/>
      <c r="JM65" s="6"/>
      <c r="JN65" s="6"/>
      <c r="JO65" s="6"/>
      <c r="JP65" s="6"/>
      <c r="JQ65" s="6"/>
      <c r="JR65" s="6"/>
      <c r="JS65" s="6"/>
      <c r="JT65" s="6"/>
      <c r="JU65" s="6" t="s">
        <v>477</v>
      </c>
      <c r="JV65" s="15"/>
      <c r="JW65" s="94" t="s">
        <v>1559</v>
      </c>
      <c r="JX65" s="6" t="s">
        <v>1560</v>
      </c>
      <c r="JY65" s="6">
        <v>0.8360744</v>
      </c>
      <c r="JZ65" s="6">
        <v>34.7707993</v>
      </c>
      <c r="KA65" s="6">
        <v>0</v>
      </c>
      <c r="KB65" s="15">
        <v>1799.999</v>
      </c>
      <c r="KC65" s="15"/>
    </row>
    <row r="66" spans="1:289">
      <c r="A66" s="6" t="s">
        <v>864</v>
      </c>
      <c r="B66" s="6" t="s">
        <v>420</v>
      </c>
      <c r="C66" s="6" t="s">
        <v>421</v>
      </c>
      <c r="D66" s="6" t="s">
        <v>1006</v>
      </c>
      <c r="E66" s="6" t="s">
        <v>1561</v>
      </c>
      <c r="F66" s="8" t="s">
        <v>483</v>
      </c>
      <c r="G66" s="6" t="s">
        <v>424</v>
      </c>
      <c r="H66" s="6" t="s">
        <v>425</v>
      </c>
      <c r="I66" s="15"/>
      <c r="J66" s="6" t="s">
        <v>426</v>
      </c>
      <c r="K66" s="6" t="s">
        <v>426</v>
      </c>
      <c r="L66" s="6" t="s">
        <v>426</v>
      </c>
      <c r="M66" s="6" t="s">
        <v>426</v>
      </c>
      <c r="N66" s="6" t="s">
        <v>426</v>
      </c>
      <c r="O66" s="6" t="s">
        <v>426</v>
      </c>
      <c r="P66" s="6" t="s">
        <v>426</v>
      </c>
      <c r="Q66" s="6" t="s">
        <v>426</v>
      </c>
      <c r="R66" s="6" t="s">
        <v>426</v>
      </c>
      <c r="S66" s="6" t="s">
        <v>426</v>
      </c>
      <c r="T66" s="6" t="s">
        <v>426</v>
      </c>
      <c r="U66" s="6" t="s">
        <v>426</v>
      </c>
      <c r="V66" s="6" t="s">
        <v>426</v>
      </c>
      <c r="W66" s="6" t="s">
        <v>426</v>
      </c>
      <c r="X66" s="6" t="s">
        <v>426</v>
      </c>
      <c r="Y66" s="6" t="s">
        <v>426</v>
      </c>
      <c r="Z66" s="6" t="s">
        <v>426</v>
      </c>
      <c r="AA66" s="6" t="s">
        <v>426</v>
      </c>
      <c r="AB66" s="6" t="s">
        <v>426</v>
      </c>
      <c r="AC66" s="15" t="s">
        <v>426</v>
      </c>
      <c r="AD66" s="6" t="s">
        <v>427</v>
      </c>
      <c r="AE66" s="6">
        <v>0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/>
      <c r="AN66" s="15"/>
      <c r="AO66" s="6" t="s">
        <v>426</v>
      </c>
      <c r="AP66" s="6" t="s">
        <v>683</v>
      </c>
      <c r="AQ66" s="6" t="s">
        <v>426</v>
      </c>
      <c r="AR66" s="6" t="s">
        <v>823</v>
      </c>
      <c r="AS66" s="6" t="s">
        <v>426</v>
      </c>
      <c r="AT66" s="6">
        <v>0.4</v>
      </c>
      <c r="AU66" s="6" t="s">
        <v>453</v>
      </c>
      <c r="AV66" s="6"/>
      <c r="AW66" s="6" t="s">
        <v>426</v>
      </c>
      <c r="AX66" s="6">
        <v>0.6</v>
      </c>
      <c r="AY66" s="6" t="s">
        <v>426</v>
      </c>
      <c r="AZ66" s="6">
        <v>1</v>
      </c>
      <c r="BA66" s="6" t="s">
        <v>426</v>
      </c>
      <c r="BB66" s="6">
        <v>0.2</v>
      </c>
      <c r="BC66" s="6" t="s">
        <v>426</v>
      </c>
      <c r="BD66" s="6">
        <v>0.2</v>
      </c>
      <c r="BE66" s="6" t="s">
        <v>426</v>
      </c>
      <c r="BF66" s="6">
        <v>50</v>
      </c>
      <c r="BG66" s="6" t="s">
        <v>426</v>
      </c>
      <c r="BH66" s="6">
        <v>0.2</v>
      </c>
      <c r="BI66" s="6" t="s">
        <v>426</v>
      </c>
      <c r="BJ66" s="6">
        <v>0.6</v>
      </c>
      <c r="BK66" s="6" t="s">
        <v>426</v>
      </c>
      <c r="BL66" s="6">
        <v>0.6</v>
      </c>
      <c r="BM66" s="6" t="s">
        <v>426</v>
      </c>
      <c r="BN66" s="6">
        <v>120</v>
      </c>
      <c r="BO66" s="6" t="s">
        <v>426</v>
      </c>
      <c r="BP66" s="6">
        <v>0.1</v>
      </c>
      <c r="BQ66" s="6" t="s">
        <v>426</v>
      </c>
      <c r="BR66" s="6">
        <v>20</v>
      </c>
      <c r="BS66" s="6" t="s">
        <v>453</v>
      </c>
      <c r="BT66" s="6"/>
      <c r="BU66" s="6" t="s">
        <v>426</v>
      </c>
      <c r="BV66" s="15">
        <v>0.2</v>
      </c>
      <c r="BW66" s="15" t="s">
        <v>428</v>
      </c>
      <c r="BX66" s="15" t="s">
        <v>429</v>
      </c>
      <c r="BY66" s="6" t="s">
        <v>430</v>
      </c>
      <c r="BZ66" s="6" t="s">
        <v>430</v>
      </c>
      <c r="CA66" s="6" t="s">
        <v>430</v>
      </c>
      <c r="CB66" s="6" t="s">
        <v>487</v>
      </c>
      <c r="CC66" s="6" t="s">
        <v>430</v>
      </c>
      <c r="CD66" s="6" t="s">
        <v>430</v>
      </c>
      <c r="CE66" s="6" t="s">
        <v>430</v>
      </c>
      <c r="CF66" s="6" t="s">
        <v>430</v>
      </c>
      <c r="CG66" s="6" t="s">
        <v>430</v>
      </c>
      <c r="CH66" s="6" t="s">
        <v>431</v>
      </c>
      <c r="CI66" s="6" t="s">
        <v>430</v>
      </c>
      <c r="CJ66" s="6" t="s">
        <v>486</v>
      </c>
      <c r="CK66" s="6" t="s">
        <v>430</v>
      </c>
      <c r="CL66" s="6" t="s">
        <v>430</v>
      </c>
      <c r="CM66" s="6" t="s">
        <v>430</v>
      </c>
      <c r="CN66" s="6" t="s">
        <v>487</v>
      </c>
      <c r="CO66" s="15" t="s">
        <v>430</v>
      </c>
      <c r="CP66" s="15" t="s">
        <v>636</v>
      </c>
      <c r="CQ66" s="6" t="s">
        <v>686</v>
      </c>
      <c r="CR66" s="15"/>
      <c r="CS66" s="6" t="s">
        <v>426</v>
      </c>
      <c r="CT66" s="6" t="s">
        <v>1562</v>
      </c>
      <c r="CU66" s="6" t="s">
        <v>1563</v>
      </c>
      <c r="CV66" s="6" t="s">
        <v>1564</v>
      </c>
      <c r="CW66" s="6" t="s">
        <v>1565</v>
      </c>
      <c r="CX66" s="15" t="s">
        <v>426</v>
      </c>
      <c r="CY66" s="6" t="s">
        <v>426</v>
      </c>
      <c r="CZ66" s="6" t="s">
        <v>569</v>
      </c>
      <c r="DA66" s="6" t="s">
        <v>1566</v>
      </c>
      <c r="DB66" s="6" t="s">
        <v>1567</v>
      </c>
      <c r="DC66" s="6" t="s">
        <v>1568</v>
      </c>
      <c r="DD66" s="15" t="s">
        <v>1569</v>
      </c>
      <c r="DE66" s="15" t="s">
        <v>436</v>
      </c>
      <c r="DF66" s="6" t="s">
        <v>489</v>
      </c>
      <c r="DG66" s="6">
        <v>1</v>
      </c>
      <c r="DH66" s="6">
        <v>1</v>
      </c>
      <c r="DI66" s="6">
        <v>1</v>
      </c>
      <c r="DJ66" s="6">
        <v>0</v>
      </c>
      <c r="DK66" s="6">
        <v>0</v>
      </c>
      <c r="DL66" s="6">
        <v>0</v>
      </c>
      <c r="DM66" s="6"/>
      <c r="DN66" s="6"/>
      <c r="DO66" s="6"/>
      <c r="DP66" s="6"/>
      <c r="DQ66" s="6"/>
      <c r="DR66" s="6"/>
      <c r="DS66" s="6"/>
      <c r="DT66" s="66"/>
      <c r="DU66" s="6" t="s">
        <v>438</v>
      </c>
      <c r="DV66" s="6" t="s">
        <v>426</v>
      </c>
      <c r="DW66" s="6" t="s">
        <v>439</v>
      </c>
      <c r="DX66" s="6" t="s">
        <v>491</v>
      </c>
      <c r="DY66" s="6"/>
      <c r="DZ66" s="6" t="s">
        <v>768</v>
      </c>
      <c r="EA66" s="6">
        <v>1</v>
      </c>
      <c r="EB66" s="6">
        <v>1</v>
      </c>
      <c r="EC66" s="6">
        <v>1</v>
      </c>
      <c r="ED66" s="6">
        <v>1</v>
      </c>
      <c r="EE66" s="6">
        <v>1</v>
      </c>
      <c r="EF66" s="6">
        <v>0</v>
      </c>
      <c r="EG66" s="6">
        <v>0</v>
      </c>
      <c r="EH66" s="6">
        <v>0</v>
      </c>
      <c r="EI66" s="6"/>
      <c r="EJ66" s="6" t="s">
        <v>851</v>
      </c>
      <c r="EK66" s="6">
        <v>1</v>
      </c>
      <c r="EL66" s="6">
        <v>1</v>
      </c>
      <c r="EM66" s="6">
        <v>1</v>
      </c>
      <c r="EN66" s="6">
        <v>1</v>
      </c>
      <c r="EO66" s="6">
        <v>1</v>
      </c>
      <c r="EP66" s="6">
        <v>0</v>
      </c>
      <c r="EQ66" s="6">
        <v>0</v>
      </c>
      <c r="ER66" s="6">
        <v>0</v>
      </c>
      <c r="ES66" s="6">
        <v>0</v>
      </c>
      <c r="ET66" s="6"/>
      <c r="EU66" s="6" t="s">
        <v>443</v>
      </c>
      <c r="EV66" s="6" t="s">
        <v>588</v>
      </c>
      <c r="EW66" s="6"/>
      <c r="EX66" s="6" t="s">
        <v>1570</v>
      </c>
      <c r="EY66" s="6">
        <v>0</v>
      </c>
      <c r="EZ66" s="6">
        <v>0</v>
      </c>
      <c r="FA66" s="6">
        <v>1</v>
      </c>
      <c r="FB66" s="6">
        <v>1</v>
      </c>
      <c r="FC66" s="6">
        <v>1</v>
      </c>
      <c r="FD66" s="6">
        <v>0</v>
      </c>
      <c r="FE66" s="6">
        <v>0</v>
      </c>
      <c r="FF66" s="6">
        <v>0</v>
      </c>
      <c r="FG66" s="6"/>
      <c r="FH66" s="6" t="s">
        <v>537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1</v>
      </c>
      <c r="FS66" s="6" t="s">
        <v>1571</v>
      </c>
      <c r="FT66" s="6" t="s">
        <v>556</v>
      </c>
      <c r="FU66" s="6" t="s">
        <v>448</v>
      </c>
      <c r="FV66" s="6"/>
      <c r="FW66" s="6" t="s">
        <v>449</v>
      </c>
      <c r="FX66" s="15" t="s">
        <v>450</v>
      </c>
      <c r="FY66" s="6" t="s">
        <v>451</v>
      </c>
      <c r="FZ66" s="6"/>
      <c r="GA66" s="6" t="s">
        <v>450</v>
      </c>
      <c r="GB66" s="6" t="s">
        <v>501</v>
      </c>
      <c r="GC66" s="6" t="s">
        <v>453</v>
      </c>
      <c r="GD66" s="6"/>
      <c r="GE66" s="6" t="s">
        <v>454</v>
      </c>
      <c r="GF66" s="6" t="s">
        <v>1572</v>
      </c>
      <c r="GG66" s="6" t="s">
        <v>456</v>
      </c>
      <c r="GH66" s="15" t="s">
        <v>1573</v>
      </c>
      <c r="GI66" s="6" t="s">
        <v>458</v>
      </c>
      <c r="GJ66" s="6" t="s">
        <v>1574</v>
      </c>
      <c r="GK66" s="6" t="s">
        <v>460</v>
      </c>
      <c r="GL66" s="6" t="s">
        <v>461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1</v>
      </c>
      <c r="GS66" s="6">
        <v>0</v>
      </c>
      <c r="GT66" s="6"/>
      <c r="GU66" s="6" t="s">
        <v>534</v>
      </c>
      <c r="GV66" s="6" t="s">
        <v>595</v>
      </c>
      <c r="GW66" s="6" t="s">
        <v>464</v>
      </c>
      <c r="GX66" s="6">
        <v>1</v>
      </c>
      <c r="GY66" s="6">
        <v>0</v>
      </c>
      <c r="GZ66" s="6">
        <v>0</v>
      </c>
      <c r="HA66" s="6">
        <v>0</v>
      </c>
      <c r="HB66" s="6">
        <v>0</v>
      </c>
      <c r="HC66" s="6">
        <v>0</v>
      </c>
      <c r="HD66" s="6"/>
      <c r="HE66" s="6" t="s">
        <v>1076</v>
      </c>
      <c r="HF66" s="6">
        <v>1</v>
      </c>
      <c r="HG66" s="6">
        <v>1</v>
      </c>
      <c r="HH66" s="6">
        <v>1</v>
      </c>
      <c r="HI66" s="6">
        <v>0</v>
      </c>
      <c r="HJ66" s="6">
        <v>0</v>
      </c>
      <c r="HK66" s="6">
        <v>0</v>
      </c>
      <c r="HL66" s="15"/>
      <c r="HM66" s="6" t="s">
        <v>1016</v>
      </c>
      <c r="HN66" s="6"/>
      <c r="HO66" s="6" t="s">
        <v>1575</v>
      </c>
      <c r="HP66" s="6" t="s">
        <v>537</v>
      </c>
      <c r="HQ66" s="6" t="s">
        <v>1201</v>
      </c>
      <c r="HR66" s="6" t="s">
        <v>1201</v>
      </c>
      <c r="HS66" s="6" t="s">
        <v>508</v>
      </c>
      <c r="HT66" s="6">
        <v>0</v>
      </c>
      <c r="HU66" s="6">
        <v>0</v>
      </c>
      <c r="HV66" s="6">
        <v>1</v>
      </c>
      <c r="HW66" s="6">
        <v>0</v>
      </c>
      <c r="HX66" s="6">
        <v>0</v>
      </c>
      <c r="HY66" s="6">
        <v>0</v>
      </c>
      <c r="HZ66" s="6"/>
      <c r="IA66" s="6" t="s">
        <v>726</v>
      </c>
      <c r="IB66" s="6">
        <v>1</v>
      </c>
      <c r="IC66" s="6">
        <v>1</v>
      </c>
      <c r="ID66" s="6">
        <v>1</v>
      </c>
      <c r="IE66" s="6">
        <v>0</v>
      </c>
      <c r="IF66" s="6">
        <v>0</v>
      </c>
      <c r="IG66" s="6">
        <v>0</v>
      </c>
      <c r="IH66" s="15" t="s">
        <v>1576</v>
      </c>
      <c r="II66" s="6" t="s">
        <v>426</v>
      </c>
      <c r="IJ66" s="6" t="s">
        <v>602</v>
      </c>
      <c r="IK66" s="6">
        <v>1</v>
      </c>
      <c r="IL66" s="6">
        <v>1</v>
      </c>
      <c r="IM66" s="6">
        <v>0</v>
      </c>
      <c r="IN66" s="6"/>
      <c r="IO66" s="6" t="s">
        <v>1577</v>
      </c>
      <c r="IP66" s="6">
        <v>1</v>
      </c>
      <c r="IQ66" s="6">
        <v>0</v>
      </c>
      <c r="IR66" s="6">
        <v>0</v>
      </c>
      <c r="IS66" s="6">
        <v>1</v>
      </c>
      <c r="IT66" s="6">
        <v>0</v>
      </c>
      <c r="IU66" s="6">
        <v>0</v>
      </c>
      <c r="IV66" s="6"/>
      <c r="IW66" s="6" t="s">
        <v>426</v>
      </c>
      <c r="IX66" s="6">
        <v>1</v>
      </c>
      <c r="IY66" s="6" t="s">
        <v>474</v>
      </c>
      <c r="IZ66" s="6" t="s">
        <v>475</v>
      </c>
      <c r="JA66" s="6" t="s">
        <v>426</v>
      </c>
      <c r="JB66" s="6" t="s">
        <v>651</v>
      </c>
      <c r="JC66" s="6"/>
      <c r="JD66" s="6"/>
      <c r="JE66" s="6"/>
      <c r="JF66" s="6"/>
      <c r="JG66" s="6"/>
      <c r="JH66" s="6"/>
      <c r="JI66" s="6"/>
      <c r="JJ66" s="6"/>
      <c r="JK66" s="6" t="s">
        <v>453</v>
      </c>
      <c r="JL66" s="6"/>
      <c r="JM66" s="6"/>
      <c r="JN66" s="6"/>
      <c r="JO66" s="6"/>
      <c r="JP66" s="6"/>
      <c r="JQ66" s="6"/>
      <c r="JR66" s="6"/>
      <c r="JS66" s="6"/>
      <c r="JT66" s="6"/>
      <c r="JU66" s="6" t="s">
        <v>477</v>
      </c>
      <c r="JV66" s="15"/>
      <c r="JW66" s="94" t="s">
        <v>1578</v>
      </c>
      <c r="JX66" s="6" t="s">
        <v>1579</v>
      </c>
      <c r="JY66" s="6">
        <v>0.8362537</v>
      </c>
      <c r="JZ66" s="6">
        <v>34.751189</v>
      </c>
      <c r="KA66" s="6">
        <v>1719.04</v>
      </c>
      <c r="KB66" s="15">
        <v>1.78</v>
      </c>
      <c r="KC66" s="15"/>
    </row>
    <row r="67" spans="1:289">
      <c r="A67" s="6" t="s">
        <v>755</v>
      </c>
      <c r="B67" s="6" t="s">
        <v>420</v>
      </c>
      <c r="C67" s="6" t="s">
        <v>421</v>
      </c>
      <c r="D67" s="6" t="s">
        <v>1348</v>
      </c>
      <c r="E67" s="6" t="s">
        <v>1580</v>
      </c>
      <c r="F67" s="8" t="s">
        <v>423</v>
      </c>
      <c r="G67" s="6" t="s">
        <v>424</v>
      </c>
      <c r="H67" s="6" t="s">
        <v>517</v>
      </c>
      <c r="I67" s="15"/>
      <c r="J67" s="6" t="s">
        <v>426</v>
      </c>
      <c r="K67" s="6" t="s">
        <v>426</v>
      </c>
      <c r="L67" s="6" t="s">
        <v>426</v>
      </c>
      <c r="M67" s="6" t="s">
        <v>426</v>
      </c>
      <c r="N67" s="6" t="s">
        <v>426</v>
      </c>
      <c r="O67" s="6" t="s">
        <v>426</v>
      </c>
      <c r="P67" s="6" t="s">
        <v>426</v>
      </c>
      <c r="Q67" s="6" t="s">
        <v>426</v>
      </c>
      <c r="R67" s="6" t="s">
        <v>426</v>
      </c>
      <c r="S67" s="6" t="s">
        <v>426</v>
      </c>
      <c r="T67" s="6" t="s">
        <v>426</v>
      </c>
      <c r="U67" s="6" t="s">
        <v>426</v>
      </c>
      <c r="V67" s="6" t="s">
        <v>453</v>
      </c>
      <c r="W67" s="6" t="s">
        <v>453</v>
      </c>
      <c r="X67" s="6" t="s">
        <v>426</v>
      </c>
      <c r="Y67" s="6" t="s">
        <v>426</v>
      </c>
      <c r="Z67" s="6" t="s">
        <v>426</v>
      </c>
      <c r="AA67" s="6" t="s">
        <v>426</v>
      </c>
      <c r="AB67" s="6" t="s">
        <v>426</v>
      </c>
      <c r="AC67" s="15" t="s">
        <v>426</v>
      </c>
      <c r="AD67" s="6" t="s">
        <v>427</v>
      </c>
      <c r="AE67" s="6">
        <v>0</v>
      </c>
      <c r="AF67" s="6">
        <v>0</v>
      </c>
      <c r="AG67" s="6">
        <v>0</v>
      </c>
      <c r="AH67" s="6">
        <v>1</v>
      </c>
      <c r="AI67" s="6">
        <v>0</v>
      </c>
      <c r="AJ67" s="6">
        <v>0</v>
      </c>
      <c r="AK67" s="6">
        <v>0</v>
      </c>
      <c r="AL67" s="6">
        <v>0</v>
      </c>
      <c r="AM67" s="6"/>
      <c r="AN67" s="15"/>
      <c r="AO67" s="6" t="s">
        <v>426</v>
      </c>
      <c r="AP67" s="6" t="s">
        <v>809</v>
      </c>
      <c r="AQ67" s="6" t="s">
        <v>426</v>
      </c>
      <c r="AR67" s="6" t="s">
        <v>809</v>
      </c>
      <c r="AS67" s="6" t="s">
        <v>426</v>
      </c>
      <c r="AT67" s="6">
        <v>0.5</v>
      </c>
      <c r="AU67" s="6" t="s">
        <v>453</v>
      </c>
      <c r="AV67" s="6"/>
      <c r="AW67" s="6" t="s">
        <v>426</v>
      </c>
      <c r="AX67" s="6">
        <v>0.2</v>
      </c>
      <c r="AY67" s="6" t="s">
        <v>426</v>
      </c>
      <c r="AZ67" s="6">
        <v>5</v>
      </c>
      <c r="BA67" s="6" t="s">
        <v>453</v>
      </c>
      <c r="BB67" s="6"/>
      <c r="BC67" s="6" t="s">
        <v>426</v>
      </c>
      <c r="BD67" s="6">
        <v>0.5</v>
      </c>
      <c r="BE67" s="6" t="s">
        <v>453</v>
      </c>
      <c r="BF67" s="6"/>
      <c r="BG67" s="6" t="s">
        <v>426</v>
      </c>
      <c r="BH67" s="6">
        <v>0.4</v>
      </c>
      <c r="BI67" s="6" t="s">
        <v>426</v>
      </c>
      <c r="BJ67" s="6">
        <v>0.5</v>
      </c>
      <c r="BK67" s="6" t="s">
        <v>426</v>
      </c>
      <c r="BL67" s="6">
        <v>0.2</v>
      </c>
      <c r="BM67" s="6" t="s">
        <v>426</v>
      </c>
      <c r="BN67" s="6">
        <v>120</v>
      </c>
      <c r="BO67" s="6" t="s">
        <v>426</v>
      </c>
      <c r="BP67" s="6">
        <v>0.2</v>
      </c>
      <c r="BQ67" s="6" t="s">
        <v>426</v>
      </c>
      <c r="BR67" s="6">
        <v>40</v>
      </c>
      <c r="BS67" s="6" t="s">
        <v>426</v>
      </c>
      <c r="BT67" s="6">
        <v>2</v>
      </c>
      <c r="BU67" s="6" t="s">
        <v>426</v>
      </c>
      <c r="BV67" s="15">
        <v>0.2</v>
      </c>
      <c r="BW67" s="15" t="s">
        <v>428</v>
      </c>
      <c r="BX67" s="15" t="s">
        <v>429</v>
      </c>
      <c r="BY67" s="6" t="s">
        <v>430</v>
      </c>
      <c r="BZ67" s="6" t="s">
        <v>430</v>
      </c>
      <c r="CA67" s="6" t="s">
        <v>430</v>
      </c>
      <c r="CB67" s="6" t="s">
        <v>487</v>
      </c>
      <c r="CC67" s="6" t="s">
        <v>430</v>
      </c>
      <c r="CD67" s="6" t="s">
        <v>430</v>
      </c>
      <c r="CE67" s="6" t="s">
        <v>487</v>
      </c>
      <c r="CF67" s="6" t="s">
        <v>430</v>
      </c>
      <c r="CG67" s="6" t="s">
        <v>487</v>
      </c>
      <c r="CH67" s="6" t="s">
        <v>430</v>
      </c>
      <c r="CI67" s="6" t="s">
        <v>430</v>
      </c>
      <c r="CJ67" s="6" t="s">
        <v>430</v>
      </c>
      <c r="CK67" s="6" t="s">
        <v>430</v>
      </c>
      <c r="CL67" s="6" t="s">
        <v>430</v>
      </c>
      <c r="CM67" s="6" t="s">
        <v>430</v>
      </c>
      <c r="CN67" s="6" t="s">
        <v>431</v>
      </c>
      <c r="CO67" s="15" t="s">
        <v>430</v>
      </c>
      <c r="CP67" s="15" t="s">
        <v>432</v>
      </c>
      <c r="CQ67" s="6" t="s">
        <v>433</v>
      </c>
      <c r="CR67" s="15"/>
      <c r="CS67" s="6" t="s">
        <v>426</v>
      </c>
      <c r="CT67" s="6" t="s">
        <v>1581</v>
      </c>
      <c r="CU67" s="6" t="s">
        <v>766</v>
      </c>
      <c r="CV67" s="6" t="s">
        <v>662</v>
      </c>
      <c r="CW67" s="6" t="s">
        <v>1582</v>
      </c>
      <c r="CX67" s="15" t="s">
        <v>426</v>
      </c>
      <c r="CY67" s="6" t="s">
        <v>426</v>
      </c>
      <c r="CZ67" s="6" t="s">
        <v>1352</v>
      </c>
      <c r="DA67" s="6" t="s">
        <v>738</v>
      </c>
      <c r="DB67" s="6" t="s">
        <v>683</v>
      </c>
      <c r="DC67" s="6" t="s">
        <v>1088</v>
      </c>
      <c r="DD67" s="15" t="s">
        <v>738</v>
      </c>
      <c r="DE67" s="15" t="s">
        <v>436</v>
      </c>
      <c r="DF67" s="6" t="s">
        <v>522</v>
      </c>
      <c r="DG67" s="6">
        <v>0</v>
      </c>
      <c r="DH67" s="6">
        <v>1</v>
      </c>
      <c r="DI67" s="6">
        <v>0</v>
      </c>
      <c r="DJ67" s="6">
        <v>0</v>
      </c>
      <c r="DK67" s="6">
        <v>0</v>
      </c>
      <c r="DL67" s="6">
        <v>0</v>
      </c>
      <c r="DM67" s="6"/>
      <c r="DN67" s="6"/>
      <c r="DO67" s="6"/>
      <c r="DP67" s="6"/>
      <c r="DQ67" s="6"/>
      <c r="DR67" s="6"/>
      <c r="DS67" s="6"/>
      <c r="DT67" s="66"/>
      <c r="DU67" s="6" t="s">
        <v>438</v>
      </c>
      <c r="DV67" s="6" t="s">
        <v>426</v>
      </c>
      <c r="DW67" s="6" t="s">
        <v>439</v>
      </c>
      <c r="DX67" s="6" t="s">
        <v>440</v>
      </c>
      <c r="DY67" s="6"/>
      <c r="DZ67" s="6" t="s">
        <v>586</v>
      </c>
      <c r="EA67" s="6">
        <v>1</v>
      </c>
      <c r="EB67" s="6">
        <v>1</v>
      </c>
      <c r="EC67" s="6">
        <v>1</v>
      </c>
      <c r="ED67" s="6">
        <v>1</v>
      </c>
      <c r="EE67" s="6">
        <v>1</v>
      </c>
      <c r="EF67" s="6">
        <v>1</v>
      </c>
      <c r="EG67" s="6">
        <v>0</v>
      </c>
      <c r="EH67" s="6">
        <v>0</v>
      </c>
      <c r="EI67" s="6"/>
      <c r="EJ67" s="6" t="s">
        <v>1276</v>
      </c>
      <c r="EK67" s="6">
        <v>1</v>
      </c>
      <c r="EL67" s="6">
        <v>1</v>
      </c>
      <c r="EM67" s="6">
        <v>1</v>
      </c>
      <c r="EN67" s="6">
        <v>1</v>
      </c>
      <c r="EO67" s="6">
        <v>1</v>
      </c>
      <c r="EP67" s="6">
        <v>1</v>
      </c>
      <c r="EQ67" s="6">
        <v>1</v>
      </c>
      <c r="ER67" s="6">
        <v>0</v>
      </c>
      <c r="ES67" s="6">
        <v>0</v>
      </c>
      <c r="ET67" s="6"/>
      <c r="EU67" s="6" t="s">
        <v>443</v>
      </c>
      <c r="EV67" s="6" t="s">
        <v>588</v>
      </c>
      <c r="EW67" s="6"/>
      <c r="EX67" s="6" t="s">
        <v>1123</v>
      </c>
      <c r="EY67" s="6">
        <v>1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/>
      <c r="FH67" s="6" t="s">
        <v>1243</v>
      </c>
      <c r="FI67" s="6">
        <v>0</v>
      </c>
      <c r="FJ67" s="6">
        <v>0</v>
      </c>
      <c r="FK67" s="6">
        <v>1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/>
      <c r="FT67" s="6" t="s">
        <v>447</v>
      </c>
      <c r="FU67" s="6" t="s">
        <v>499</v>
      </c>
      <c r="FV67" s="6"/>
      <c r="FW67" s="6" t="s">
        <v>449</v>
      </c>
      <c r="FX67" s="15" t="s">
        <v>450</v>
      </c>
      <c r="FY67" s="6" t="s">
        <v>529</v>
      </c>
      <c r="FZ67" s="6"/>
      <c r="GA67" s="6" t="s">
        <v>450</v>
      </c>
      <c r="GB67" s="6" t="s">
        <v>501</v>
      </c>
      <c r="GC67" s="6" t="s">
        <v>426</v>
      </c>
      <c r="GD67" s="6" t="s">
        <v>1583</v>
      </c>
      <c r="GE67" s="6" t="s">
        <v>642</v>
      </c>
      <c r="GF67" s="6" t="s">
        <v>1584</v>
      </c>
      <c r="GG67" s="6" t="s">
        <v>456</v>
      </c>
      <c r="GH67" s="15" t="s">
        <v>1585</v>
      </c>
      <c r="GI67" s="6" t="s">
        <v>458</v>
      </c>
      <c r="GJ67" s="6" t="s">
        <v>1374</v>
      </c>
      <c r="GK67" s="6" t="s">
        <v>460</v>
      </c>
      <c r="GL67" s="6" t="s">
        <v>461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1</v>
      </c>
      <c r="GS67" s="6">
        <v>0</v>
      </c>
      <c r="GT67" s="6"/>
      <c r="GU67" s="6" t="s">
        <v>534</v>
      </c>
      <c r="GV67" s="6" t="s">
        <v>595</v>
      </c>
      <c r="GW67" s="6" t="s">
        <v>464</v>
      </c>
      <c r="GX67" s="6">
        <v>1</v>
      </c>
      <c r="GY67" s="6">
        <v>0</v>
      </c>
      <c r="GZ67" s="6">
        <v>0</v>
      </c>
      <c r="HA67" s="6">
        <v>0</v>
      </c>
      <c r="HB67" s="6">
        <v>0</v>
      </c>
      <c r="HC67" s="6">
        <v>0</v>
      </c>
      <c r="HD67" s="6"/>
      <c r="HE67" s="6" t="s">
        <v>596</v>
      </c>
      <c r="HF67" s="6">
        <v>1</v>
      </c>
      <c r="HG67" s="6">
        <v>1</v>
      </c>
      <c r="HH67" s="6">
        <v>1</v>
      </c>
      <c r="HI67" s="6">
        <v>1</v>
      </c>
      <c r="HJ67" s="6">
        <v>0</v>
      </c>
      <c r="HK67" s="6">
        <v>0</v>
      </c>
      <c r="HL67" s="15"/>
      <c r="HM67" s="6" t="s">
        <v>505</v>
      </c>
      <c r="HN67" s="6"/>
      <c r="HO67" s="6" t="s">
        <v>1586</v>
      </c>
      <c r="HP67" s="6" t="s">
        <v>561</v>
      </c>
      <c r="HQ67" s="6"/>
      <c r="HR67" s="6" t="s">
        <v>1587</v>
      </c>
      <c r="HS67" s="6" t="s">
        <v>1315</v>
      </c>
      <c r="HT67" s="6">
        <v>0</v>
      </c>
      <c r="HU67" s="6">
        <v>0</v>
      </c>
      <c r="HV67" s="6">
        <v>1</v>
      </c>
      <c r="HW67" s="6">
        <v>0</v>
      </c>
      <c r="HX67" s="6">
        <v>1</v>
      </c>
      <c r="HY67" s="6">
        <v>1</v>
      </c>
      <c r="HZ67" s="6"/>
      <c r="IA67" s="6" t="s">
        <v>798</v>
      </c>
      <c r="IB67" s="6">
        <v>1</v>
      </c>
      <c r="IC67" s="6">
        <v>1</v>
      </c>
      <c r="ID67" s="6">
        <v>1</v>
      </c>
      <c r="IE67" s="6">
        <v>1</v>
      </c>
      <c r="IF67" s="6">
        <v>1</v>
      </c>
      <c r="IG67" s="6">
        <v>0</v>
      </c>
      <c r="IH67" s="15" t="s">
        <v>1588</v>
      </c>
      <c r="II67" s="6" t="s">
        <v>426</v>
      </c>
      <c r="IJ67" s="6" t="s">
        <v>472</v>
      </c>
      <c r="IK67" s="6">
        <v>1</v>
      </c>
      <c r="IL67" s="6">
        <v>0</v>
      </c>
      <c r="IM67" s="6">
        <v>0</v>
      </c>
      <c r="IN67" s="6"/>
      <c r="IO67" s="6" t="s">
        <v>473</v>
      </c>
      <c r="IP67" s="6">
        <v>1</v>
      </c>
      <c r="IQ67" s="6">
        <v>0</v>
      </c>
      <c r="IR67" s="6">
        <v>0</v>
      </c>
      <c r="IS67" s="6">
        <v>0</v>
      </c>
      <c r="IT67" s="6">
        <v>0</v>
      </c>
      <c r="IU67" s="6">
        <v>0</v>
      </c>
      <c r="IV67" s="6"/>
      <c r="IW67" s="6" t="s">
        <v>453</v>
      </c>
      <c r="IX67" s="6"/>
      <c r="IY67" s="6" t="s">
        <v>510</v>
      </c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 t="s">
        <v>426</v>
      </c>
      <c r="JK67" s="6" t="s">
        <v>453</v>
      </c>
      <c r="JL67" s="6"/>
      <c r="JM67" s="6"/>
      <c r="JN67" s="6"/>
      <c r="JO67" s="6"/>
      <c r="JP67" s="6"/>
      <c r="JQ67" s="6"/>
      <c r="JR67" s="6"/>
      <c r="JS67" s="6"/>
      <c r="JT67" s="6"/>
      <c r="JU67" s="6" t="s">
        <v>544</v>
      </c>
      <c r="JV67" s="15"/>
      <c r="JW67" s="94" t="s">
        <v>1589</v>
      </c>
      <c r="JX67" s="6" t="s">
        <v>1590</v>
      </c>
      <c r="JY67" s="6">
        <v>0.8472098</v>
      </c>
      <c r="JZ67" s="6">
        <v>34.7356565</v>
      </c>
      <c r="KA67" s="6">
        <v>1885.201</v>
      </c>
      <c r="KB67" s="15">
        <v>3.907</v>
      </c>
      <c r="KC67" s="15"/>
    </row>
    <row r="68" s="9" customFormat="1" spans="1:289">
      <c r="A68" s="9" t="s">
        <v>514</v>
      </c>
      <c r="B68" s="9" t="s">
        <v>420</v>
      </c>
      <c r="C68" s="9" t="s">
        <v>421</v>
      </c>
      <c r="D68" s="9" t="s">
        <v>634</v>
      </c>
      <c r="E68" s="9" t="s">
        <v>1591</v>
      </c>
      <c r="F68" s="9" t="s">
        <v>483</v>
      </c>
      <c r="G68" s="9" t="s">
        <v>567</v>
      </c>
      <c r="H68" s="9" t="s">
        <v>517</v>
      </c>
      <c r="L68" s="9" t="s">
        <v>426</v>
      </c>
      <c r="M68" s="9" t="s">
        <v>426</v>
      </c>
      <c r="O68" s="9" t="s">
        <v>426</v>
      </c>
      <c r="P68" s="9" t="s">
        <v>426</v>
      </c>
      <c r="R68" s="9" t="s">
        <v>426</v>
      </c>
      <c r="S68" s="9" t="s">
        <v>426</v>
      </c>
      <c r="U68" s="9" t="s">
        <v>426</v>
      </c>
      <c r="V68" s="9" t="s">
        <v>426</v>
      </c>
      <c r="X68" s="9" t="s">
        <v>426</v>
      </c>
      <c r="Y68" s="9" t="s">
        <v>426</v>
      </c>
      <c r="Z68" s="16" t="s">
        <v>426</v>
      </c>
      <c r="AA68" s="16" t="s">
        <v>426</v>
      </c>
      <c r="AB68" s="16" t="s">
        <v>426</v>
      </c>
      <c r="AC68" s="42" t="s">
        <v>426</v>
      </c>
      <c r="AD68" s="16" t="s">
        <v>1592</v>
      </c>
      <c r="AE68" s="16">
        <v>0</v>
      </c>
      <c r="AF68" s="16">
        <v>0</v>
      </c>
      <c r="AG68" s="16">
        <v>1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 t="s">
        <v>1593</v>
      </c>
      <c r="AN68" s="42"/>
      <c r="AO68" s="16" t="s">
        <v>426</v>
      </c>
      <c r="AP68" s="16" t="s">
        <v>683</v>
      </c>
      <c r="AQ68" s="16" t="s">
        <v>426</v>
      </c>
      <c r="AR68" s="16" t="s">
        <v>1188</v>
      </c>
      <c r="AS68" s="16" t="s">
        <v>426</v>
      </c>
      <c r="AT68" s="16">
        <v>0.5</v>
      </c>
      <c r="AU68" s="16" t="s">
        <v>426</v>
      </c>
      <c r="AV68" s="16">
        <v>0.5</v>
      </c>
      <c r="AW68" s="16" t="s">
        <v>453</v>
      </c>
      <c r="AX68" s="16"/>
      <c r="AY68" s="16" t="s">
        <v>426</v>
      </c>
      <c r="AZ68" s="16">
        <v>1</v>
      </c>
      <c r="BA68" s="16" t="s">
        <v>453</v>
      </c>
      <c r="BB68" s="16"/>
      <c r="BC68" s="16" t="s">
        <v>426</v>
      </c>
      <c r="BD68" s="16">
        <v>0.5</v>
      </c>
      <c r="BE68" s="16" t="s">
        <v>453</v>
      </c>
      <c r="BF68" s="16"/>
      <c r="BG68" s="16" t="s">
        <v>426</v>
      </c>
      <c r="BH68" s="16">
        <v>0.25</v>
      </c>
      <c r="BI68" s="16" t="s">
        <v>426</v>
      </c>
      <c r="BJ68" s="16">
        <v>0.25</v>
      </c>
      <c r="BK68" s="16" t="s">
        <v>426</v>
      </c>
      <c r="BL68" s="16">
        <v>0.25</v>
      </c>
      <c r="BM68" s="16" t="s">
        <v>426</v>
      </c>
      <c r="BN68" s="16">
        <v>20</v>
      </c>
      <c r="BO68" s="16" t="s">
        <v>426</v>
      </c>
      <c r="BP68" s="16">
        <v>0.25</v>
      </c>
      <c r="BQ68" s="16" t="s">
        <v>426</v>
      </c>
      <c r="BR68" s="16">
        <v>20</v>
      </c>
      <c r="BS68" s="16" t="s">
        <v>426</v>
      </c>
      <c r="BT68" s="16">
        <v>50</v>
      </c>
      <c r="BU68" s="16" t="s">
        <v>453</v>
      </c>
      <c r="BV68" s="42"/>
      <c r="BW68" s="42" t="s">
        <v>880</v>
      </c>
      <c r="BX68" s="42" t="s">
        <v>1064</v>
      </c>
      <c r="BY68" s="16" t="s">
        <v>430</v>
      </c>
      <c r="BZ68" s="16" t="s">
        <v>430</v>
      </c>
      <c r="CA68" s="16" t="s">
        <v>430</v>
      </c>
      <c r="CB68" s="16" t="s">
        <v>430</v>
      </c>
      <c r="CC68" s="16" t="s">
        <v>430</v>
      </c>
      <c r="CD68" s="16" t="s">
        <v>430</v>
      </c>
      <c r="CE68" s="16" t="s">
        <v>487</v>
      </c>
      <c r="CF68" s="16" t="s">
        <v>430</v>
      </c>
      <c r="CG68" s="16" t="s">
        <v>430</v>
      </c>
      <c r="CH68" s="16" t="s">
        <v>430</v>
      </c>
      <c r="CI68" s="16" t="s">
        <v>430</v>
      </c>
      <c r="CJ68" s="16" t="s">
        <v>430</v>
      </c>
      <c r="CK68" s="16" t="s">
        <v>430</v>
      </c>
      <c r="CL68" s="16" t="s">
        <v>430</v>
      </c>
      <c r="CM68" s="16" t="s">
        <v>430</v>
      </c>
      <c r="CN68" s="16" t="s">
        <v>430</v>
      </c>
      <c r="CO68" s="42" t="s">
        <v>430</v>
      </c>
      <c r="CP68" s="42" t="s">
        <v>636</v>
      </c>
      <c r="CQ68" s="16" t="s">
        <v>433</v>
      </c>
      <c r="CR68" s="42"/>
      <c r="CS68" s="16" t="s">
        <v>426</v>
      </c>
      <c r="CT68" s="16" t="s">
        <v>1594</v>
      </c>
      <c r="CU68" s="16" t="s">
        <v>660</v>
      </c>
      <c r="CV68" s="16" t="s">
        <v>660</v>
      </c>
      <c r="CW68" s="16" t="s">
        <v>1090</v>
      </c>
      <c r="CX68" s="42" t="s">
        <v>426</v>
      </c>
      <c r="CY68" s="16" t="s">
        <v>426</v>
      </c>
      <c r="CZ68" s="16" t="s">
        <v>1595</v>
      </c>
      <c r="DA68" s="16" t="s">
        <v>1091</v>
      </c>
      <c r="DB68" s="16" t="s">
        <v>733</v>
      </c>
      <c r="DC68" s="16" t="s">
        <v>660</v>
      </c>
      <c r="DD68" s="42" t="s">
        <v>736</v>
      </c>
      <c r="DE68" s="42" t="s">
        <v>436</v>
      </c>
      <c r="DF68" s="16" t="s">
        <v>611</v>
      </c>
      <c r="DG68" s="16">
        <v>1</v>
      </c>
      <c r="DH68" s="16">
        <v>1</v>
      </c>
      <c r="DI68" s="16">
        <v>0</v>
      </c>
      <c r="DJ68" s="16">
        <v>0</v>
      </c>
      <c r="DK68" s="16">
        <v>0</v>
      </c>
      <c r="DL68" s="16">
        <v>0</v>
      </c>
      <c r="DM68" s="16"/>
      <c r="DN68" s="16"/>
      <c r="DO68" s="16"/>
      <c r="DP68" s="16"/>
      <c r="DQ68" s="16"/>
      <c r="DR68" s="16"/>
      <c r="DS68" s="16"/>
      <c r="DT68" s="67"/>
      <c r="DU68" s="16" t="s">
        <v>523</v>
      </c>
      <c r="DV68" s="16" t="s">
        <v>426</v>
      </c>
      <c r="DW68" s="16" t="s">
        <v>439</v>
      </c>
      <c r="DX68" s="16" t="s">
        <v>440</v>
      </c>
      <c r="DY68" s="16"/>
      <c r="DZ68" s="16" t="s">
        <v>714</v>
      </c>
      <c r="EA68" s="16">
        <v>1</v>
      </c>
      <c r="EB68" s="16">
        <v>1</v>
      </c>
      <c r="EC68" s="16">
        <v>1</v>
      </c>
      <c r="ED68" s="16">
        <v>0</v>
      </c>
      <c r="EE68" s="16">
        <v>0</v>
      </c>
      <c r="EF68" s="16">
        <v>0</v>
      </c>
      <c r="EG68" s="16">
        <v>0</v>
      </c>
      <c r="EH68" s="16">
        <v>0</v>
      </c>
      <c r="EI68" s="16"/>
      <c r="EJ68" s="16" t="s">
        <v>1050</v>
      </c>
      <c r="EK68" s="16">
        <v>1</v>
      </c>
      <c r="EL68" s="16">
        <v>1</v>
      </c>
      <c r="EM68" s="16">
        <v>1</v>
      </c>
      <c r="EN68" s="16">
        <v>1</v>
      </c>
      <c r="EO68" s="16">
        <v>0</v>
      </c>
      <c r="EP68" s="16">
        <v>0</v>
      </c>
      <c r="EQ68" s="16">
        <v>0</v>
      </c>
      <c r="ER68" s="16">
        <v>0</v>
      </c>
      <c r="ES68" s="16">
        <v>0</v>
      </c>
      <c r="ET68" s="16"/>
      <c r="EU68" s="16" t="s">
        <v>443</v>
      </c>
      <c r="EV68" s="16" t="s">
        <v>444</v>
      </c>
      <c r="EW68" s="16"/>
      <c r="EX68" s="16" t="s">
        <v>445</v>
      </c>
      <c r="EY68" s="16">
        <v>0</v>
      </c>
      <c r="EZ68" s="16">
        <v>0</v>
      </c>
      <c r="FA68" s="16">
        <v>1</v>
      </c>
      <c r="FB68" s="16">
        <v>0</v>
      </c>
      <c r="FC68" s="16">
        <v>0</v>
      </c>
      <c r="FD68" s="16">
        <v>0</v>
      </c>
      <c r="FE68" s="16">
        <v>0</v>
      </c>
      <c r="FF68" s="16">
        <v>0</v>
      </c>
      <c r="FG68" s="16"/>
      <c r="FH68" s="16" t="s">
        <v>909</v>
      </c>
      <c r="FI68" s="16">
        <v>0</v>
      </c>
      <c r="FJ68" s="16">
        <v>0</v>
      </c>
      <c r="FK68" s="16">
        <v>0</v>
      </c>
      <c r="FL68" s="16">
        <v>0</v>
      </c>
      <c r="FM68" s="16">
        <v>1</v>
      </c>
      <c r="FN68" s="16">
        <v>0</v>
      </c>
      <c r="FO68" s="16">
        <v>0</v>
      </c>
      <c r="FP68" s="16">
        <v>0</v>
      </c>
      <c r="FQ68" s="16">
        <v>0</v>
      </c>
      <c r="FR68" s="16">
        <v>0</v>
      </c>
      <c r="FS68" s="16"/>
      <c r="FT68" s="16" t="s">
        <v>447</v>
      </c>
      <c r="FU68" s="16" t="s">
        <v>448</v>
      </c>
      <c r="FV68" s="16"/>
      <c r="FW68" s="16" t="s">
        <v>449</v>
      </c>
      <c r="FX68" s="42" t="s">
        <v>528</v>
      </c>
      <c r="FY68" s="16" t="s">
        <v>1012</v>
      </c>
      <c r="FZ68" s="16"/>
      <c r="GA68" s="16" t="s">
        <v>450</v>
      </c>
      <c r="GB68" s="16" t="s">
        <v>501</v>
      </c>
      <c r="GC68" s="16" t="s">
        <v>426</v>
      </c>
      <c r="GD68" s="16" t="s">
        <v>1596</v>
      </c>
      <c r="GE68" s="16" t="s">
        <v>642</v>
      </c>
      <c r="GF68" s="16" t="s">
        <v>1597</v>
      </c>
      <c r="GG68" s="16" t="s">
        <v>456</v>
      </c>
      <c r="GH68" s="42" t="s">
        <v>1598</v>
      </c>
      <c r="GI68" s="16" t="s">
        <v>458</v>
      </c>
      <c r="GJ68" s="16" t="s">
        <v>1599</v>
      </c>
      <c r="GK68" s="16" t="s">
        <v>460</v>
      </c>
      <c r="GL68" s="16" t="s">
        <v>857</v>
      </c>
      <c r="GM68" s="16">
        <v>0</v>
      </c>
      <c r="GN68" s="16">
        <v>1</v>
      </c>
      <c r="GO68" s="16">
        <v>0</v>
      </c>
      <c r="GP68" s="16">
        <v>0</v>
      </c>
      <c r="GQ68" s="16">
        <v>0</v>
      </c>
      <c r="GR68" s="16">
        <v>0</v>
      </c>
      <c r="GS68" s="16">
        <v>0</v>
      </c>
      <c r="GT68" s="16"/>
      <c r="GU68" s="16" t="s">
        <v>534</v>
      </c>
      <c r="GV68" s="16" t="s">
        <v>595</v>
      </c>
      <c r="GW68" s="16" t="s">
        <v>464</v>
      </c>
      <c r="GX68" s="16">
        <v>1</v>
      </c>
      <c r="GY68" s="16">
        <v>0</v>
      </c>
      <c r="GZ68" s="16">
        <v>0</v>
      </c>
      <c r="HA68" s="16">
        <v>0</v>
      </c>
      <c r="HB68" s="16">
        <v>0</v>
      </c>
      <c r="HC68" s="16">
        <v>0</v>
      </c>
      <c r="HD68" s="16"/>
      <c r="HE68" s="16" t="s">
        <v>962</v>
      </c>
      <c r="HF68" s="16">
        <v>1</v>
      </c>
      <c r="HG68" s="16">
        <v>0</v>
      </c>
      <c r="HH68" s="16">
        <v>0</v>
      </c>
      <c r="HI68" s="16">
        <v>1</v>
      </c>
      <c r="HJ68" s="16">
        <v>0</v>
      </c>
      <c r="HK68" s="16">
        <v>0</v>
      </c>
      <c r="HL68" s="42"/>
      <c r="HM68" s="16" t="s">
        <v>466</v>
      </c>
      <c r="HN68" s="16"/>
      <c r="HO68" s="16" t="s">
        <v>1600</v>
      </c>
      <c r="HP68" s="16" t="s">
        <v>561</v>
      </c>
      <c r="HQ68" s="16"/>
      <c r="HR68" s="16" t="s">
        <v>1601</v>
      </c>
      <c r="HS68" s="16" t="s">
        <v>470</v>
      </c>
      <c r="HT68" s="16">
        <v>0</v>
      </c>
      <c r="HU68" s="16">
        <v>0</v>
      </c>
      <c r="HV68" s="16">
        <v>0</v>
      </c>
      <c r="HW68" s="16">
        <v>0</v>
      </c>
      <c r="HX68" s="16">
        <v>1</v>
      </c>
      <c r="HY68" s="16">
        <v>0</v>
      </c>
      <c r="HZ68" s="16"/>
      <c r="IA68" s="16" t="s">
        <v>1602</v>
      </c>
      <c r="IB68" s="16">
        <v>1</v>
      </c>
      <c r="IC68" s="16">
        <v>1</v>
      </c>
      <c r="ID68" s="16">
        <v>0</v>
      </c>
      <c r="IE68" s="16">
        <v>1</v>
      </c>
      <c r="IF68" s="16">
        <v>0</v>
      </c>
      <c r="IG68" s="16">
        <v>0</v>
      </c>
      <c r="IH68" s="42" t="s">
        <v>1603</v>
      </c>
      <c r="II68" s="16" t="s">
        <v>426</v>
      </c>
      <c r="IJ68" s="16" t="s">
        <v>602</v>
      </c>
      <c r="IK68" s="16">
        <v>1</v>
      </c>
      <c r="IL68" s="16">
        <v>1</v>
      </c>
      <c r="IM68" s="16">
        <v>0</v>
      </c>
      <c r="IN68" s="16"/>
      <c r="IO68" s="16" t="s">
        <v>1604</v>
      </c>
      <c r="IP68" s="16">
        <v>1</v>
      </c>
      <c r="IQ68" s="16">
        <v>0</v>
      </c>
      <c r="IR68" s="16">
        <v>1</v>
      </c>
      <c r="IS68" s="16">
        <v>1</v>
      </c>
      <c r="IT68" s="16">
        <v>0</v>
      </c>
      <c r="IU68" s="16">
        <v>0</v>
      </c>
      <c r="IV68" s="16"/>
      <c r="IW68" s="16" t="s">
        <v>426</v>
      </c>
      <c r="IX68" s="16">
        <v>1</v>
      </c>
      <c r="IY68" s="16" t="s">
        <v>474</v>
      </c>
      <c r="IZ68" s="16" t="s">
        <v>604</v>
      </c>
      <c r="JA68" s="16" t="s">
        <v>426</v>
      </c>
      <c r="JB68" s="16" t="s">
        <v>476</v>
      </c>
      <c r="JC68" s="16"/>
      <c r="JD68" s="16"/>
      <c r="JE68" s="16"/>
      <c r="JF68" s="16"/>
      <c r="JG68" s="16"/>
      <c r="JH68" s="16"/>
      <c r="JI68" s="16"/>
      <c r="JJ68" s="16"/>
      <c r="JK68" s="16" t="s">
        <v>453</v>
      </c>
      <c r="JL68" s="16"/>
      <c r="JM68" s="16"/>
      <c r="JN68" s="16"/>
      <c r="JO68" s="16"/>
      <c r="JP68" s="16"/>
      <c r="JQ68" s="16"/>
      <c r="JR68" s="16"/>
      <c r="JS68" s="16"/>
      <c r="JT68" s="16"/>
      <c r="JU68" s="16" t="s">
        <v>511</v>
      </c>
      <c r="JV68" s="42"/>
      <c r="JW68" s="95" t="s">
        <v>1605</v>
      </c>
      <c r="JX68" s="16" t="s">
        <v>1606</v>
      </c>
      <c r="JY68" s="16">
        <v>0.8535858</v>
      </c>
      <c r="JZ68" s="16">
        <v>34.7429298</v>
      </c>
      <c r="KA68" s="16">
        <v>1917.6</v>
      </c>
      <c r="KB68" s="42">
        <v>3.95</v>
      </c>
      <c r="KC68" s="42"/>
    </row>
    <row r="69" spans="1:289">
      <c r="A69" s="6" t="s">
        <v>1301</v>
      </c>
      <c r="B69" s="6" t="s">
        <v>420</v>
      </c>
      <c r="C69" s="6" t="s">
        <v>421</v>
      </c>
      <c r="D69" s="6" t="s">
        <v>515</v>
      </c>
      <c r="E69" s="6" t="s">
        <v>1607</v>
      </c>
      <c r="F69" s="8" t="s">
        <v>483</v>
      </c>
      <c r="G69" s="6" t="s">
        <v>424</v>
      </c>
      <c r="H69" s="6" t="s">
        <v>517</v>
      </c>
      <c r="I69" s="15"/>
      <c r="J69" s="6" t="s">
        <v>426</v>
      </c>
      <c r="K69" s="6" t="s">
        <v>426</v>
      </c>
      <c r="L69" s="6" t="s">
        <v>426</v>
      </c>
      <c r="M69" s="6" t="s">
        <v>426</v>
      </c>
      <c r="N69" s="6" t="s">
        <v>426</v>
      </c>
      <c r="O69" s="6" t="s">
        <v>426</v>
      </c>
      <c r="P69" s="6" t="s">
        <v>426</v>
      </c>
      <c r="Q69" s="6" t="s">
        <v>426</v>
      </c>
      <c r="R69" s="6" t="s">
        <v>426</v>
      </c>
      <c r="S69" s="6" t="s">
        <v>426</v>
      </c>
      <c r="T69" s="6" t="s">
        <v>426</v>
      </c>
      <c r="U69" s="6" t="s">
        <v>426</v>
      </c>
      <c r="V69" s="6" t="s">
        <v>426</v>
      </c>
      <c r="W69" s="6" t="s">
        <v>426</v>
      </c>
      <c r="X69" s="6" t="s">
        <v>426</v>
      </c>
      <c r="Y69" s="6" t="s">
        <v>426</v>
      </c>
      <c r="Z69" s="6" t="s">
        <v>426</v>
      </c>
      <c r="AA69" s="6" t="s">
        <v>426</v>
      </c>
      <c r="AB69" s="6" t="s">
        <v>426</v>
      </c>
      <c r="AC69" s="15" t="s">
        <v>426</v>
      </c>
      <c r="AD69" s="6" t="s">
        <v>1592</v>
      </c>
      <c r="AE69" s="6">
        <v>0</v>
      </c>
      <c r="AF69" s="6">
        <v>0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 t="s">
        <v>1593</v>
      </c>
      <c r="AN69" s="15"/>
      <c r="AO69" s="6" t="s">
        <v>426</v>
      </c>
      <c r="AP69" s="6" t="s">
        <v>683</v>
      </c>
      <c r="AQ69" s="6" t="s">
        <v>426</v>
      </c>
      <c r="AR69" s="6" t="s">
        <v>1188</v>
      </c>
      <c r="AS69" s="6" t="s">
        <v>426</v>
      </c>
      <c r="AT69" s="6">
        <v>0.5</v>
      </c>
      <c r="AU69" s="6" t="s">
        <v>426</v>
      </c>
      <c r="AV69" s="6">
        <v>0.5</v>
      </c>
      <c r="AW69" s="6" t="s">
        <v>453</v>
      </c>
      <c r="AX69" s="6"/>
      <c r="AY69" s="6" t="s">
        <v>426</v>
      </c>
      <c r="AZ69" s="6">
        <v>1</v>
      </c>
      <c r="BA69" s="6" t="s">
        <v>453</v>
      </c>
      <c r="BB69" s="6"/>
      <c r="BC69" s="6" t="s">
        <v>426</v>
      </c>
      <c r="BD69" s="6">
        <v>0.5</v>
      </c>
      <c r="BE69" s="6" t="s">
        <v>453</v>
      </c>
      <c r="BF69" s="6"/>
      <c r="BG69" s="6" t="s">
        <v>426</v>
      </c>
      <c r="BH69" s="6">
        <v>0.25</v>
      </c>
      <c r="BI69" s="6" t="s">
        <v>426</v>
      </c>
      <c r="BJ69" s="6">
        <v>0.25</v>
      </c>
      <c r="BK69" s="6" t="s">
        <v>426</v>
      </c>
      <c r="BL69" s="6">
        <v>0.25</v>
      </c>
      <c r="BM69" s="6" t="s">
        <v>426</v>
      </c>
      <c r="BN69" s="6">
        <v>20</v>
      </c>
      <c r="BO69" s="6" t="s">
        <v>426</v>
      </c>
      <c r="BP69" s="6">
        <v>0.25</v>
      </c>
      <c r="BQ69" s="6" t="s">
        <v>426</v>
      </c>
      <c r="BR69" s="6">
        <v>20</v>
      </c>
      <c r="BS69" s="6" t="s">
        <v>426</v>
      </c>
      <c r="BT69" s="6">
        <v>50</v>
      </c>
      <c r="BU69" s="6" t="s">
        <v>453</v>
      </c>
      <c r="BV69" s="15"/>
      <c r="BW69" s="15" t="s">
        <v>880</v>
      </c>
      <c r="BX69" s="15" t="s">
        <v>1064</v>
      </c>
      <c r="BY69" s="6" t="s">
        <v>430</v>
      </c>
      <c r="BZ69" s="6" t="s">
        <v>430</v>
      </c>
      <c r="CA69" s="6" t="s">
        <v>430</v>
      </c>
      <c r="CB69" s="6" t="s">
        <v>430</v>
      </c>
      <c r="CC69" s="6" t="s">
        <v>430</v>
      </c>
      <c r="CD69" s="6" t="s">
        <v>430</v>
      </c>
      <c r="CE69" s="6" t="s">
        <v>487</v>
      </c>
      <c r="CF69" s="6" t="s">
        <v>430</v>
      </c>
      <c r="CG69" s="6" t="s">
        <v>430</v>
      </c>
      <c r="CH69" s="6" t="s">
        <v>430</v>
      </c>
      <c r="CI69" s="6" t="s">
        <v>430</v>
      </c>
      <c r="CJ69" s="6" t="s">
        <v>430</v>
      </c>
      <c r="CK69" s="6" t="s">
        <v>430</v>
      </c>
      <c r="CL69" s="6" t="s">
        <v>430</v>
      </c>
      <c r="CM69" s="6" t="s">
        <v>430</v>
      </c>
      <c r="CN69" s="6" t="s">
        <v>430</v>
      </c>
      <c r="CO69" s="15" t="s">
        <v>430</v>
      </c>
      <c r="CP69" s="15" t="s">
        <v>636</v>
      </c>
      <c r="CQ69" s="6" t="s">
        <v>433</v>
      </c>
      <c r="CR69" s="15"/>
      <c r="CS69" s="6" t="s">
        <v>426</v>
      </c>
      <c r="CT69" s="6" t="s">
        <v>1594</v>
      </c>
      <c r="CU69" s="6" t="s">
        <v>660</v>
      </c>
      <c r="CV69" s="6" t="s">
        <v>660</v>
      </c>
      <c r="CW69" s="6" t="s">
        <v>1090</v>
      </c>
      <c r="CX69" s="15" t="s">
        <v>426</v>
      </c>
      <c r="CY69" s="6" t="s">
        <v>426</v>
      </c>
      <c r="CZ69" s="6" t="s">
        <v>1595</v>
      </c>
      <c r="DA69" s="6" t="s">
        <v>1091</v>
      </c>
      <c r="DB69" s="6" t="s">
        <v>733</v>
      </c>
      <c r="DC69" s="6" t="s">
        <v>660</v>
      </c>
      <c r="DD69" s="15" t="s">
        <v>736</v>
      </c>
      <c r="DE69" s="15" t="s">
        <v>436</v>
      </c>
      <c r="DF69" s="6" t="s">
        <v>611</v>
      </c>
      <c r="DG69" s="6">
        <v>1</v>
      </c>
      <c r="DH69" s="6">
        <v>1</v>
      </c>
      <c r="DI69" s="6">
        <v>0</v>
      </c>
      <c r="DJ69" s="6">
        <v>0</v>
      </c>
      <c r="DK69" s="6">
        <v>0</v>
      </c>
      <c r="DL69" s="6">
        <v>0</v>
      </c>
      <c r="DM69" s="6"/>
      <c r="DN69" s="6"/>
      <c r="DO69" s="6"/>
      <c r="DP69" s="6"/>
      <c r="DQ69" s="6"/>
      <c r="DR69" s="6"/>
      <c r="DS69" s="6"/>
      <c r="DT69" s="66"/>
      <c r="DU69" s="6" t="s">
        <v>523</v>
      </c>
      <c r="DV69" s="6" t="s">
        <v>426</v>
      </c>
      <c r="DW69" s="6" t="s">
        <v>439</v>
      </c>
      <c r="DX69" s="6" t="s">
        <v>440</v>
      </c>
      <c r="DY69" s="6"/>
      <c r="DZ69" s="6" t="s">
        <v>714</v>
      </c>
      <c r="EA69" s="6">
        <v>1</v>
      </c>
      <c r="EB69" s="6">
        <v>1</v>
      </c>
      <c r="EC69" s="6">
        <v>1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/>
      <c r="EJ69" s="6" t="s">
        <v>1050</v>
      </c>
      <c r="EK69" s="6">
        <v>1</v>
      </c>
      <c r="EL69" s="6">
        <v>1</v>
      </c>
      <c r="EM69" s="6">
        <v>1</v>
      </c>
      <c r="EN69" s="6">
        <v>1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/>
      <c r="EU69" s="6" t="s">
        <v>443</v>
      </c>
      <c r="EV69" s="6" t="s">
        <v>444</v>
      </c>
      <c r="EW69" s="6"/>
      <c r="EX69" s="6" t="s">
        <v>445</v>
      </c>
      <c r="EY69" s="6">
        <v>0</v>
      </c>
      <c r="EZ69" s="6">
        <v>0</v>
      </c>
      <c r="FA69" s="6">
        <v>1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/>
      <c r="FH69" s="6" t="s">
        <v>909</v>
      </c>
      <c r="FI69" s="6">
        <v>0</v>
      </c>
      <c r="FJ69" s="6">
        <v>0</v>
      </c>
      <c r="FK69" s="6">
        <v>0</v>
      </c>
      <c r="FL69" s="6">
        <v>0</v>
      </c>
      <c r="FM69" s="6">
        <v>1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/>
      <c r="FT69" s="6" t="s">
        <v>447</v>
      </c>
      <c r="FU69" s="6" t="s">
        <v>448</v>
      </c>
      <c r="FV69" s="6"/>
      <c r="FW69" s="6" t="s">
        <v>449</v>
      </c>
      <c r="FX69" s="15" t="s">
        <v>528</v>
      </c>
      <c r="FY69" s="6" t="s">
        <v>1012</v>
      </c>
      <c r="FZ69" s="6"/>
      <c r="GA69" s="6" t="s">
        <v>450</v>
      </c>
      <c r="GB69" s="6" t="s">
        <v>501</v>
      </c>
      <c r="GC69" s="6" t="s">
        <v>426</v>
      </c>
      <c r="GD69" s="6" t="s">
        <v>1596</v>
      </c>
      <c r="GE69" s="6" t="s">
        <v>642</v>
      </c>
      <c r="GF69" s="6" t="s">
        <v>1597</v>
      </c>
      <c r="GG69" s="6" t="s">
        <v>456</v>
      </c>
      <c r="GH69" s="15" t="s">
        <v>1598</v>
      </c>
      <c r="GI69" s="6" t="s">
        <v>458</v>
      </c>
      <c r="GJ69" s="6" t="s">
        <v>1599</v>
      </c>
      <c r="GK69" s="6" t="s">
        <v>460</v>
      </c>
      <c r="GL69" s="6" t="s">
        <v>857</v>
      </c>
      <c r="GM69" s="6">
        <v>0</v>
      </c>
      <c r="GN69" s="6">
        <v>1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/>
      <c r="GU69" s="6" t="s">
        <v>534</v>
      </c>
      <c r="GV69" s="6" t="s">
        <v>595</v>
      </c>
      <c r="GW69" s="6" t="s">
        <v>464</v>
      </c>
      <c r="GX69" s="6">
        <v>1</v>
      </c>
      <c r="GY69" s="6">
        <v>0</v>
      </c>
      <c r="GZ69" s="6">
        <v>0</v>
      </c>
      <c r="HA69" s="6">
        <v>0</v>
      </c>
      <c r="HB69" s="6">
        <v>0</v>
      </c>
      <c r="HC69" s="6">
        <v>0</v>
      </c>
      <c r="HD69" s="6"/>
      <c r="HE69" s="6" t="s">
        <v>962</v>
      </c>
      <c r="HF69" s="6">
        <v>1</v>
      </c>
      <c r="HG69" s="6">
        <v>0</v>
      </c>
      <c r="HH69" s="6">
        <v>0</v>
      </c>
      <c r="HI69" s="6">
        <v>1</v>
      </c>
      <c r="HJ69" s="6">
        <v>0</v>
      </c>
      <c r="HK69" s="6">
        <v>0</v>
      </c>
      <c r="HL69" s="15"/>
      <c r="HM69" s="6" t="s">
        <v>466</v>
      </c>
      <c r="HN69" s="6"/>
      <c r="HO69" s="6" t="s">
        <v>1600</v>
      </c>
      <c r="HP69" s="6" t="s">
        <v>561</v>
      </c>
      <c r="HQ69" s="6"/>
      <c r="HR69" s="6" t="s">
        <v>1601</v>
      </c>
      <c r="HS69" s="6" t="s">
        <v>470</v>
      </c>
      <c r="HT69" s="6">
        <v>0</v>
      </c>
      <c r="HU69" s="6">
        <v>0</v>
      </c>
      <c r="HV69" s="6">
        <v>0</v>
      </c>
      <c r="HW69" s="6">
        <v>0</v>
      </c>
      <c r="HX69" s="6">
        <v>1</v>
      </c>
      <c r="HY69" s="6">
        <v>0</v>
      </c>
      <c r="HZ69" s="6"/>
      <c r="IA69" s="6" t="s">
        <v>1602</v>
      </c>
      <c r="IB69" s="6">
        <v>1</v>
      </c>
      <c r="IC69" s="6">
        <v>1</v>
      </c>
      <c r="ID69" s="6">
        <v>0</v>
      </c>
      <c r="IE69" s="6">
        <v>1</v>
      </c>
      <c r="IF69" s="6">
        <v>0</v>
      </c>
      <c r="IG69" s="6">
        <v>0</v>
      </c>
      <c r="IH69" s="15" t="s">
        <v>1603</v>
      </c>
      <c r="II69" s="6" t="s">
        <v>426</v>
      </c>
      <c r="IJ69" s="6" t="s">
        <v>602</v>
      </c>
      <c r="IK69" s="6">
        <v>1</v>
      </c>
      <c r="IL69" s="6">
        <v>1</v>
      </c>
      <c r="IM69" s="6">
        <v>0</v>
      </c>
      <c r="IN69" s="6"/>
      <c r="IO69" s="6" t="s">
        <v>1604</v>
      </c>
      <c r="IP69" s="6">
        <v>1</v>
      </c>
      <c r="IQ69" s="6">
        <v>0</v>
      </c>
      <c r="IR69" s="6">
        <v>1</v>
      </c>
      <c r="IS69" s="6">
        <v>1</v>
      </c>
      <c r="IT69" s="6">
        <v>0</v>
      </c>
      <c r="IU69" s="6">
        <v>0</v>
      </c>
      <c r="IV69" s="6"/>
      <c r="IW69" s="6" t="s">
        <v>426</v>
      </c>
      <c r="IX69" s="6">
        <v>1</v>
      </c>
      <c r="IY69" s="6" t="s">
        <v>474</v>
      </c>
      <c r="IZ69" s="6" t="s">
        <v>604</v>
      </c>
      <c r="JA69" s="6" t="s">
        <v>426</v>
      </c>
      <c r="JB69" s="6" t="s">
        <v>476</v>
      </c>
      <c r="JC69" s="6"/>
      <c r="JD69" s="6"/>
      <c r="JE69" s="6"/>
      <c r="JF69" s="6"/>
      <c r="JG69" s="6"/>
      <c r="JH69" s="6"/>
      <c r="JI69" s="6"/>
      <c r="JJ69" s="6"/>
      <c r="JK69" s="6" t="s">
        <v>453</v>
      </c>
      <c r="JL69" s="6"/>
      <c r="JM69" s="6"/>
      <c r="JN69" s="6"/>
      <c r="JO69" s="6"/>
      <c r="JP69" s="6"/>
      <c r="JQ69" s="6"/>
      <c r="JR69" s="6"/>
      <c r="JS69" s="6"/>
      <c r="JT69" s="6"/>
      <c r="JU69" s="6" t="s">
        <v>511</v>
      </c>
      <c r="JV69" s="15"/>
      <c r="JW69" s="94" t="s">
        <v>1605</v>
      </c>
      <c r="JX69" s="6" t="s">
        <v>1606</v>
      </c>
      <c r="JY69" s="6">
        <v>0.8535858</v>
      </c>
      <c r="JZ69" s="6">
        <v>34.7429298</v>
      </c>
      <c r="KA69" s="6">
        <v>1917.6</v>
      </c>
      <c r="KB69" s="15">
        <v>3.95</v>
      </c>
      <c r="KC69" s="15"/>
    </row>
    <row r="70" spans="1:289">
      <c r="A70" s="6" t="s">
        <v>419</v>
      </c>
      <c r="B70" s="6" t="s">
        <v>420</v>
      </c>
      <c r="C70" s="6" t="s">
        <v>1608</v>
      </c>
      <c r="D70" s="6" t="s">
        <v>1609</v>
      </c>
      <c r="E70" s="6" t="s">
        <v>1610</v>
      </c>
      <c r="F70" s="8" t="s">
        <v>423</v>
      </c>
      <c r="G70" s="6" t="s">
        <v>731</v>
      </c>
      <c r="H70" s="6" t="s">
        <v>425</v>
      </c>
      <c r="I70" s="15"/>
      <c r="J70" s="6" t="s">
        <v>426</v>
      </c>
      <c r="K70" s="6" t="s">
        <v>426</v>
      </c>
      <c r="L70" s="6" t="s">
        <v>426</v>
      </c>
      <c r="M70" s="6" t="s">
        <v>426</v>
      </c>
      <c r="N70" s="6" t="s">
        <v>426</v>
      </c>
      <c r="O70" s="6" t="s">
        <v>426</v>
      </c>
      <c r="P70" s="6" t="s">
        <v>426</v>
      </c>
      <c r="Q70" s="6" t="s">
        <v>426</v>
      </c>
      <c r="R70" s="6" t="s">
        <v>426</v>
      </c>
      <c r="S70" s="6" t="s">
        <v>426</v>
      </c>
      <c r="T70" s="6" t="s">
        <v>426</v>
      </c>
      <c r="U70" s="6" t="s">
        <v>426</v>
      </c>
      <c r="V70" s="6" t="s">
        <v>426</v>
      </c>
      <c r="W70" s="6" t="s">
        <v>426</v>
      </c>
      <c r="X70" s="6" t="s">
        <v>426</v>
      </c>
      <c r="Y70" s="6" t="s">
        <v>426</v>
      </c>
      <c r="Z70" s="6" t="s">
        <v>426</v>
      </c>
      <c r="AA70" s="6" t="s">
        <v>426</v>
      </c>
      <c r="AB70" s="6" t="s">
        <v>426</v>
      </c>
      <c r="AC70" s="15" t="s">
        <v>426</v>
      </c>
      <c r="AD70" s="6" t="s">
        <v>1592</v>
      </c>
      <c r="AE70" s="6">
        <v>0</v>
      </c>
      <c r="AF70" s="6">
        <v>0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 t="s">
        <v>1611</v>
      </c>
      <c r="AN70" s="15"/>
      <c r="AO70" s="6" t="s">
        <v>426</v>
      </c>
      <c r="AP70" s="6" t="s">
        <v>683</v>
      </c>
      <c r="AQ70" s="6" t="s">
        <v>426</v>
      </c>
      <c r="AR70" s="6" t="s">
        <v>683</v>
      </c>
      <c r="AS70" s="6" t="s">
        <v>426</v>
      </c>
      <c r="AT70" s="6">
        <v>0.2</v>
      </c>
      <c r="AU70" s="6" t="s">
        <v>426</v>
      </c>
      <c r="AV70" s="6">
        <v>0.2</v>
      </c>
      <c r="AW70" s="6" t="s">
        <v>426</v>
      </c>
      <c r="AX70" s="6">
        <v>0.2</v>
      </c>
      <c r="AY70" s="6" t="s">
        <v>426</v>
      </c>
      <c r="AZ70" s="6">
        <v>1</v>
      </c>
      <c r="BA70" s="6" t="s">
        <v>426</v>
      </c>
      <c r="BB70" s="6">
        <v>0.8</v>
      </c>
      <c r="BC70" s="6" t="s">
        <v>426</v>
      </c>
      <c r="BD70" s="6">
        <v>0.2</v>
      </c>
      <c r="BE70" s="6" t="s">
        <v>426</v>
      </c>
      <c r="BF70" s="6">
        <v>6</v>
      </c>
      <c r="BG70" s="6" t="s">
        <v>426</v>
      </c>
      <c r="BH70" s="6">
        <v>1</v>
      </c>
      <c r="BI70" s="6" t="s">
        <v>426</v>
      </c>
      <c r="BJ70" s="6">
        <v>1</v>
      </c>
      <c r="BK70" s="6" t="s">
        <v>426</v>
      </c>
      <c r="BL70" s="6">
        <v>0.2</v>
      </c>
      <c r="BM70" s="6" t="s">
        <v>426</v>
      </c>
      <c r="BN70" s="6">
        <v>25</v>
      </c>
      <c r="BO70" s="6" t="s">
        <v>426</v>
      </c>
      <c r="BP70" s="6">
        <v>0.2</v>
      </c>
      <c r="BQ70" s="6" t="s">
        <v>426</v>
      </c>
      <c r="BR70" s="6">
        <v>120</v>
      </c>
      <c r="BS70" s="6" t="s">
        <v>426</v>
      </c>
      <c r="BT70" s="6">
        <v>5</v>
      </c>
      <c r="BU70" s="6" t="s">
        <v>426</v>
      </c>
      <c r="BV70" s="15">
        <v>0.2</v>
      </c>
      <c r="BW70" s="15" t="s">
        <v>428</v>
      </c>
      <c r="BX70" s="15" t="s">
        <v>429</v>
      </c>
      <c r="BY70" s="6" t="s">
        <v>430</v>
      </c>
      <c r="BZ70" s="6" t="s">
        <v>430</v>
      </c>
      <c r="CA70" s="6" t="s">
        <v>430</v>
      </c>
      <c r="CB70" s="6" t="s">
        <v>431</v>
      </c>
      <c r="CC70" s="6" t="s">
        <v>430</v>
      </c>
      <c r="CD70" s="6" t="s">
        <v>430</v>
      </c>
      <c r="CE70" s="6" t="s">
        <v>431</v>
      </c>
      <c r="CF70" s="6" t="s">
        <v>430</v>
      </c>
      <c r="CG70" s="6" t="s">
        <v>431</v>
      </c>
      <c r="CH70" s="6" t="s">
        <v>430</v>
      </c>
      <c r="CI70" s="6" t="s">
        <v>430</v>
      </c>
      <c r="CJ70" s="6" t="s">
        <v>430</v>
      </c>
      <c r="CK70" s="6" t="s">
        <v>430</v>
      </c>
      <c r="CL70" s="6" t="s">
        <v>430</v>
      </c>
      <c r="CM70" s="6" t="s">
        <v>430</v>
      </c>
      <c r="CN70" s="6" t="s">
        <v>431</v>
      </c>
      <c r="CO70" s="15" t="s">
        <v>430</v>
      </c>
      <c r="CP70" s="15" t="s">
        <v>432</v>
      </c>
      <c r="CQ70" s="6" t="s">
        <v>433</v>
      </c>
      <c r="CR70" s="15"/>
      <c r="CS70" s="6" t="s">
        <v>426</v>
      </c>
      <c r="CT70" s="6" t="s">
        <v>1562</v>
      </c>
      <c r="CU70" s="6" t="s">
        <v>766</v>
      </c>
      <c r="CV70" s="6" t="s">
        <v>733</v>
      </c>
      <c r="CW70" s="6" t="s">
        <v>1241</v>
      </c>
      <c r="CX70" s="15" t="s">
        <v>426</v>
      </c>
      <c r="CY70" s="6" t="s">
        <v>426</v>
      </c>
      <c r="CZ70" s="6" t="s">
        <v>1562</v>
      </c>
      <c r="DA70" s="6" t="s">
        <v>736</v>
      </c>
      <c r="DB70" s="6" t="s">
        <v>1188</v>
      </c>
      <c r="DC70" s="6" t="s">
        <v>733</v>
      </c>
      <c r="DD70" s="15" t="s">
        <v>1305</v>
      </c>
      <c r="DE70" s="15" t="s">
        <v>436</v>
      </c>
      <c r="DF70" s="6" t="s">
        <v>611</v>
      </c>
      <c r="DG70" s="6">
        <v>1</v>
      </c>
      <c r="DH70" s="6">
        <v>1</v>
      </c>
      <c r="DI70" s="6">
        <v>0</v>
      </c>
      <c r="DJ70" s="6">
        <v>0</v>
      </c>
      <c r="DK70" s="6">
        <v>0</v>
      </c>
      <c r="DL70" s="6">
        <v>0</v>
      </c>
      <c r="DM70" s="6"/>
      <c r="DN70" s="6"/>
      <c r="DO70" s="6"/>
      <c r="DP70" s="6"/>
      <c r="DQ70" s="6"/>
      <c r="DR70" s="6"/>
      <c r="DS70" s="6"/>
      <c r="DT70" s="66"/>
      <c r="DU70" s="6" t="s">
        <v>438</v>
      </c>
      <c r="DV70" s="6" t="s">
        <v>426</v>
      </c>
      <c r="DW70" s="6" t="s">
        <v>439</v>
      </c>
      <c r="DX70" s="6" t="s">
        <v>491</v>
      </c>
      <c r="DY70" s="6"/>
      <c r="DZ70" s="6" t="s">
        <v>940</v>
      </c>
      <c r="EA70" s="6">
        <v>1</v>
      </c>
      <c r="EB70" s="6">
        <v>1</v>
      </c>
      <c r="EC70" s="6">
        <v>1</v>
      </c>
      <c r="ED70" s="6">
        <v>1</v>
      </c>
      <c r="EE70" s="6">
        <v>0</v>
      </c>
      <c r="EF70" s="6">
        <v>0</v>
      </c>
      <c r="EG70" s="6">
        <v>0</v>
      </c>
      <c r="EH70" s="6">
        <v>0</v>
      </c>
      <c r="EI70" s="6"/>
      <c r="EJ70" s="6" t="s">
        <v>1612</v>
      </c>
      <c r="EK70" s="6">
        <v>1</v>
      </c>
      <c r="EL70" s="6">
        <v>1</v>
      </c>
      <c r="EM70" s="6">
        <v>1</v>
      </c>
      <c r="EN70" s="6">
        <v>1</v>
      </c>
      <c r="EO70" s="6">
        <v>1</v>
      </c>
      <c r="EP70" s="6">
        <v>0</v>
      </c>
      <c r="EQ70" s="6">
        <v>0</v>
      </c>
      <c r="ER70" s="6">
        <v>0</v>
      </c>
      <c r="ES70" s="6">
        <v>0</v>
      </c>
      <c r="ET70" s="6"/>
      <c r="EU70" s="6" t="s">
        <v>494</v>
      </c>
      <c r="EV70" s="6" t="s">
        <v>444</v>
      </c>
      <c r="EW70" s="6"/>
      <c r="EX70" s="6" t="s">
        <v>445</v>
      </c>
      <c r="EY70" s="6">
        <v>0</v>
      </c>
      <c r="EZ70" s="6">
        <v>0</v>
      </c>
      <c r="FA70" s="6">
        <v>1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/>
      <c r="FH70" s="6" t="s">
        <v>909</v>
      </c>
      <c r="FI70" s="6">
        <v>0</v>
      </c>
      <c r="FJ70" s="6">
        <v>0</v>
      </c>
      <c r="FK70" s="6">
        <v>0</v>
      </c>
      <c r="FL70" s="6">
        <v>0</v>
      </c>
      <c r="FM70" s="6">
        <v>1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/>
      <c r="FT70" s="6" t="s">
        <v>447</v>
      </c>
      <c r="FU70" s="6" t="s">
        <v>448</v>
      </c>
      <c r="FV70" s="6"/>
      <c r="FW70" s="6" t="s">
        <v>449</v>
      </c>
      <c r="FX70" s="15" t="s">
        <v>528</v>
      </c>
      <c r="FY70" s="6" t="s">
        <v>451</v>
      </c>
      <c r="FZ70" s="6"/>
      <c r="GA70" s="6" t="s">
        <v>450</v>
      </c>
      <c r="GB70" s="6" t="s">
        <v>452</v>
      </c>
      <c r="GC70" s="6" t="s">
        <v>453</v>
      </c>
      <c r="GD70" s="6"/>
      <c r="GE70" s="6" t="s">
        <v>454</v>
      </c>
      <c r="GF70" s="6" t="s">
        <v>1613</v>
      </c>
      <c r="GG70" s="6" t="s">
        <v>456</v>
      </c>
      <c r="GH70" s="15" t="s">
        <v>1614</v>
      </c>
      <c r="GI70" s="6" t="s">
        <v>458</v>
      </c>
      <c r="GJ70" s="6" t="s">
        <v>1144</v>
      </c>
      <c r="GK70" s="6" t="s">
        <v>460</v>
      </c>
      <c r="GL70" s="6" t="s">
        <v>461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1</v>
      </c>
      <c r="GS70" s="6">
        <v>0</v>
      </c>
      <c r="GT70" s="6"/>
      <c r="GU70" s="6" t="s">
        <v>462</v>
      </c>
      <c r="GV70" s="6" t="s">
        <v>463</v>
      </c>
      <c r="GW70" s="6" t="s">
        <v>464</v>
      </c>
      <c r="GX70" s="6">
        <v>1</v>
      </c>
      <c r="GY70" s="6">
        <v>0</v>
      </c>
      <c r="GZ70" s="6">
        <v>0</v>
      </c>
      <c r="HA70" s="6">
        <v>0</v>
      </c>
      <c r="HB70" s="6">
        <v>0</v>
      </c>
      <c r="HC70" s="6">
        <v>0</v>
      </c>
      <c r="HD70" s="6"/>
      <c r="HE70" s="6" t="s">
        <v>535</v>
      </c>
      <c r="HF70" s="6">
        <v>1</v>
      </c>
      <c r="HG70" s="6">
        <v>0</v>
      </c>
      <c r="HH70" s="6">
        <v>0</v>
      </c>
      <c r="HI70" s="6">
        <v>0</v>
      </c>
      <c r="HJ70" s="6">
        <v>0</v>
      </c>
      <c r="HK70" s="6">
        <v>0</v>
      </c>
      <c r="HL70" s="15"/>
      <c r="HM70" s="6" t="s">
        <v>466</v>
      </c>
      <c r="HN70" s="6"/>
      <c r="HO70" s="6" t="s">
        <v>1615</v>
      </c>
      <c r="HP70" s="6" t="s">
        <v>468</v>
      </c>
      <c r="HQ70" s="6"/>
      <c r="HR70" s="6" t="s">
        <v>1616</v>
      </c>
      <c r="HS70" s="6" t="s">
        <v>470</v>
      </c>
      <c r="HT70" s="6">
        <v>0</v>
      </c>
      <c r="HU70" s="6">
        <v>0</v>
      </c>
      <c r="HV70" s="6">
        <v>0</v>
      </c>
      <c r="HW70" s="6">
        <v>0</v>
      </c>
      <c r="HX70" s="6">
        <v>1</v>
      </c>
      <c r="HY70" s="6">
        <v>0</v>
      </c>
      <c r="HZ70" s="6"/>
      <c r="IA70" s="6" t="s">
        <v>541</v>
      </c>
      <c r="IB70" s="6">
        <v>0</v>
      </c>
      <c r="IC70" s="6">
        <v>0</v>
      </c>
      <c r="ID70" s="6">
        <v>1</v>
      </c>
      <c r="IE70" s="6">
        <v>0</v>
      </c>
      <c r="IF70" s="6">
        <v>0</v>
      </c>
      <c r="IG70" s="6">
        <v>0</v>
      </c>
      <c r="IH70" s="15" t="s">
        <v>1617</v>
      </c>
      <c r="II70" s="6" t="s">
        <v>426</v>
      </c>
      <c r="IJ70" s="6" t="s">
        <v>472</v>
      </c>
      <c r="IK70" s="6">
        <v>1</v>
      </c>
      <c r="IL70" s="6">
        <v>0</v>
      </c>
      <c r="IM70" s="6">
        <v>0</v>
      </c>
      <c r="IN70" s="6"/>
      <c r="IO70" s="6" t="s">
        <v>473</v>
      </c>
      <c r="IP70" s="6">
        <v>1</v>
      </c>
      <c r="IQ70" s="6">
        <v>0</v>
      </c>
      <c r="IR70" s="6">
        <v>0</v>
      </c>
      <c r="IS70" s="6">
        <v>0</v>
      </c>
      <c r="IT70" s="6">
        <v>0</v>
      </c>
      <c r="IU70" s="6">
        <v>0</v>
      </c>
      <c r="IV70" s="6"/>
      <c r="IW70" s="6" t="s">
        <v>426</v>
      </c>
      <c r="IX70" s="6">
        <v>1</v>
      </c>
      <c r="IY70" s="6" t="s">
        <v>474</v>
      </c>
      <c r="IZ70" s="6" t="s">
        <v>475</v>
      </c>
      <c r="JA70" s="6" t="s">
        <v>426</v>
      </c>
      <c r="JB70" s="6" t="s">
        <v>476</v>
      </c>
      <c r="JC70" s="6"/>
      <c r="JD70" s="6"/>
      <c r="JE70" s="6"/>
      <c r="JF70" s="6"/>
      <c r="JG70" s="6"/>
      <c r="JH70" s="6"/>
      <c r="JI70" s="6"/>
      <c r="JJ70" s="6"/>
      <c r="JK70" s="6" t="s">
        <v>426</v>
      </c>
      <c r="JL70" s="6" t="s">
        <v>426</v>
      </c>
      <c r="JM70" s="6"/>
      <c r="JN70" s="6"/>
      <c r="JO70" s="6"/>
      <c r="JP70" s="6"/>
      <c r="JQ70" s="6"/>
      <c r="JR70" s="6"/>
      <c r="JS70" s="6"/>
      <c r="JT70" s="6"/>
      <c r="JU70" s="6" t="s">
        <v>477</v>
      </c>
      <c r="JV70" s="15"/>
      <c r="JW70" s="94" t="s">
        <v>1618</v>
      </c>
      <c r="JX70" s="6" t="s">
        <v>1619</v>
      </c>
      <c r="JY70" s="6">
        <v>0.5870907</v>
      </c>
      <c r="JZ70" s="6">
        <v>34.4568252</v>
      </c>
      <c r="KA70" s="6">
        <v>1325</v>
      </c>
      <c r="KB70" s="15">
        <v>4.8</v>
      </c>
      <c r="KC70" s="15"/>
    </row>
    <row r="71" spans="1:289">
      <c r="A71" s="6" t="s">
        <v>581</v>
      </c>
      <c r="B71" s="6" t="s">
        <v>420</v>
      </c>
      <c r="C71" s="6" t="s">
        <v>1608</v>
      </c>
      <c r="D71" s="6" t="s">
        <v>1620</v>
      </c>
      <c r="E71" s="6" t="s">
        <v>1621</v>
      </c>
      <c r="F71" s="8" t="s">
        <v>483</v>
      </c>
      <c r="G71" s="6" t="s">
        <v>424</v>
      </c>
      <c r="H71" s="6" t="s">
        <v>425</v>
      </c>
      <c r="I71" s="15"/>
      <c r="J71" s="6" t="s">
        <v>426</v>
      </c>
      <c r="K71" s="6" t="s">
        <v>426</v>
      </c>
      <c r="L71" s="6" t="s">
        <v>426</v>
      </c>
      <c r="M71" s="6" t="s">
        <v>426</v>
      </c>
      <c r="N71" s="6" t="s">
        <v>426</v>
      </c>
      <c r="O71" s="6" t="s">
        <v>426</v>
      </c>
      <c r="P71" s="6" t="s">
        <v>426</v>
      </c>
      <c r="Q71" s="6" t="s">
        <v>426</v>
      </c>
      <c r="R71" s="6" t="s">
        <v>426</v>
      </c>
      <c r="S71" s="6" t="s">
        <v>426</v>
      </c>
      <c r="T71" s="6" t="s">
        <v>426</v>
      </c>
      <c r="U71" s="6" t="s">
        <v>426</v>
      </c>
      <c r="V71" s="6" t="s">
        <v>426</v>
      </c>
      <c r="W71" s="6" t="s">
        <v>453</v>
      </c>
      <c r="X71" s="6" t="s">
        <v>426</v>
      </c>
      <c r="Y71" s="6" t="s">
        <v>426</v>
      </c>
      <c r="Z71" s="6" t="s">
        <v>426</v>
      </c>
      <c r="AA71" s="6" t="s">
        <v>426</v>
      </c>
      <c r="AB71" s="6" t="s">
        <v>426</v>
      </c>
      <c r="AC71" s="15" t="s">
        <v>426</v>
      </c>
      <c r="AD71" s="6" t="s">
        <v>1622</v>
      </c>
      <c r="AE71" s="6">
        <v>1</v>
      </c>
      <c r="AF71" s="6">
        <v>1</v>
      </c>
      <c r="AG71" s="6">
        <v>0</v>
      </c>
      <c r="AH71" s="6">
        <v>1</v>
      </c>
      <c r="AI71" s="6">
        <v>0</v>
      </c>
      <c r="AJ71" s="6">
        <v>1</v>
      </c>
      <c r="AK71" s="6">
        <v>1</v>
      </c>
      <c r="AL71" s="6">
        <v>0</v>
      </c>
      <c r="AM71" s="6"/>
      <c r="AN71" s="15"/>
      <c r="AO71" s="6" t="s">
        <v>426</v>
      </c>
      <c r="AP71" s="6" t="s">
        <v>1367</v>
      </c>
      <c r="AQ71" s="6" t="s">
        <v>426</v>
      </c>
      <c r="AR71" s="6" t="s">
        <v>1367</v>
      </c>
      <c r="AS71" s="6" t="s">
        <v>426</v>
      </c>
      <c r="AT71" s="6">
        <v>1</v>
      </c>
      <c r="AU71" s="6" t="s">
        <v>426</v>
      </c>
      <c r="AV71" s="6">
        <v>1</v>
      </c>
      <c r="AW71" s="6" t="s">
        <v>426</v>
      </c>
      <c r="AX71" s="6">
        <v>1</v>
      </c>
      <c r="AY71" s="6" t="s">
        <v>426</v>
      </c>
      <c r="AZ71" s="6">
        <v>1</v>
      </c>
      <c r="BA71" s="6" t="s">
        <v>426</v>
      </c>
      <c r="BB71" s="6">
        <v>1</v>
      </c>
      <c r="BC71" s="6" t="s">
        <v>426</v>
      </c>
      <c r="BD71" s="6">
        <v>1</v>
      </c>
      <c r="BE71" s="6" t="s">
        <v>426</v>
      </c>
      <c r="BF71" s="6">
        <v>1</v>
      </c>
      <c r="BG71" s="6" t="s">
        <v>426</v>
      </c>
      <c r="BH71" s="6">
        <v>1</v>
      </c>
      <c r="BI71" s="6" t="s">
        <v>426</v>
      </c>
      <c r="BJ71" s="6">
        <v>1</v>
      </c>
      <c r="BK71" s="6" t="s">
        <v>426</v>
      </c>
      <c r="BL71" s="6">
        <v>1</v>
      </c>
      <c r="BM71" s="6" t="s">
        <v>426</v>
      </c>
      <c r="BN71" s="6">
        <v>50</v>
      </c>
      <c r="BO71" s="6" t="s">
        <v>426</v>
      </c>
      <c r="BP71" s="6">
        <v>1</v>
      </c>
      <c r="BQ71" s="6" t="s">
        <v>426</v>
      </c>
      <c r="BR71" s="6">
        <v>300</v>
      </c>
      <c r="BS71" s="6" t="s">
        <v>426</v>
      </c>
      <c r="BT71" s="6">
        <v>100</v>
      </c>
      <c r="BU71" s="6" t="s">
        <v>426</v>
      </c>
      <c r="BV71" s="15">
        <v>1</v>
      </c>
      <c r="BW71" s="15" t="s">
        <v>428</v>
      </c>
      <c r="BX71" s="15" t="s">
        <v>429</v>
      </c>
      <c r="BY71" s="6" t="s">
        <v>430</v>
      </c>
      <c r="BZ71" s="6" t="s">
        <v>430</v>
      </c>
      <c r="CA71" s="6" t="s">
        <v>430</v>
      </c>
      <c r="CB71" s="6" t="s">
        <v>431</v>
      </c>
      <c r="CC71" s="6" t="s">
        <v>430</v>
      </c>
      <c r="CD71" s="6" t="s">
        <v>430</v>
      </c>
      <c r="CE71" s="6" t="s">
        <v>486</v>
      </c>
      <c r="CF71" s="6" t="s">
        <v>430</v>
      </c>
      <c r="CG71" s="6" t="s">
        <v>430</v>
      </c>
      <c r="CH71" s="6" t="s">
        <v>430</v>
      </c>
      <c r="CI71" s="6" t="s">
        <v>430</v>
      </c>
      <c r="CJ71" s="6" t="s">
        <v>430</v>
      </c>
      <c r="CK71" s="6" t="s">
        <v>430</v>
      </c>
      <c r="CL71" s="6" t="s">
        <v>430</v>
      </c>
      <c r="CM71" s="6" t="s">
        <v>430</v>
      </c>
      <c r="CN71" s="6" t="s">
        <v>430</v>
      </c>
      <c r="CO71" s="15" t="s">
        <v>430</v>
      </c>
      <c r="CP71" s="15" t="s">
        <v>636</v>
      </c>
      <c r="CQ71" s="6" t="s">
        <v>433</v>
      </c>
      <c r="CR71" s="15"/>
      <c r="CS71" s="6" t="s">
        <v>426</v>
      </c>
      <c r="CT71" s="6" t="s">
        <v>1623</v>
      </c>
      <c r="CU71" s="6" t="s">
        <v>737</v>
      </c>
      <c r="CV71" s="6" t="s">
        <v>734</v>
      </c>
      <c r="CW71" s="6" t="s">
        <v>1624</v>
      </c>
      <c r="CX71" s="15" t="s">
        <v>426</v>
      </c>
      <c r="CY71" s="6" t="s">
        <v>426</v>
      </c>
      <c r="CZ71" s="6" t="s">
        <v>1625</v>
      </c>
      <c r="DA71" s="6" t="s">
        <v>1626</v>
      </c>
      <c r="DB71" s="6" t="s">
        <v>1273</v>
      </c>
      <c r="DC71" s="6" t="s">
        <v>1225</v>
      </c>
      <c r="DD71" s="15" t="s">
        <v>1627</v>
      </c>
      <c r="DE71" s="15" t="s">
        <v>436</v>
      </c>
      <c r="DF71" s="6" t="s">
        <v>1628</v>
      </c>
      <c r="DG71" s="6">
        <v>1</v>
      </c>
      <c r="DH71" s="6">
        <v>1</v>
      </c>
      <c r="DI71" s="6">
        <v>1</v>
      </c>
      <c r="DJ71" s="6">
        <v>0</v>
      </c>
      <c r="DK71" s="6">
        <v>1</v>
      </c>
      <c r="DL71" s="6">
        <v>0</v>
      </c>
      <c r="DM71" s="6"/>
      <c r="DN71" s="6"/>
      <c r="DO71" s="6"/>
      <c r="DP71" s="6"/>
      <c r="DQ71" s="6"/>
      <c r="DR71" s="6"/>
      <c r="DS71" s="6"/>
      <c r="DT71" s="66"/>
      <c r="DU71" s="6" t="s">
        <v>523</v>
      </c>
      <c r="DV71" s="6" t="s">
        <v>426</v>
      </c>
      <c r="DW71" s="6" t="s">
        <v>490</v>
      </c>
      <c r="DX71" s="6" t="s">
        <v>440</v>
      </c>
      <c r="DY71" s="6"/>
      <c r="DZ71" s="6" t="s">
        <v>586</v>
      </c>
      <c r="EA71" s="6">
        <v>1</v>
      </c>
      <c r="EB71" s="6">
        <v>1</v>
      </c>
      <c r="EC71" s="6">
        <v>1</v>
      </c>
      <c r="ED71" s="6">
        <v>1</v>
      </c>
      <c r="EE71" s="6">
        <v>1</v>
      </c>
      <c r="EF71" s="6">
        <v>1</v>
      </c>
      <c r="EG71" s="6">
        <v>0</v>
      </c>
      <c r="EH71" s="6">
        <v>0</v>
      </c>
      <c r="EI71" s="6"/>
      <c r="EJ71" s="6" t="s">
        <v>1276</v>
      </c>
      <c r="EK71" s="6">
        <v>1</v>
      </c>
      <c r="EL71" s="6">
        <v>1</v>
      </c>
      <c r="EM71" s="6">
        <v>1</v>
      </c>
      <c r="EN71" s="6">
        <v>1</v>
      </c>
      <c r="EO71" s="6">
        <v>1</v>
      </c>
      <c r="EP71" s="6">
        <v>1</v>
      </c>
      <c r="EQ71" s="6">
        <v>1</v>
      </c>
      <c r="ER71" s="6">
        <v>0</v>
      </c>
      <c r="ES71" s="6">
        <v>0</v>
      </c>
      <c r="ET71" s="6"/>
      <c r="EU71" s="6" t="s">
        <v>443</v>
      </c>
      <c r="EV71" s="6" t="s">
        <v>588</v>
      </c>
      <c r="EW71" s="6"/>
      <c r="EX71" s="6" t="s">
        <v>589</v>
      </c>
      <c r="EY71" s="6">
        <v>1</v>
      </c>
      <c r="EZ71" s="6">
        <v>1</v>
      </c>
      <c r="FA71" s="6">
        <v>1</v>
      </c>
      <c r="FB71" s="6">
        <v>1</v>
      </c>
      <c r="FC71" s="6">
        <v>1</v>
      </c>
      <c r="FD71" s="6">
        <v>1</v>
      </c>
      <c r="FE71" s="6">
        <v>0</v>
      </c>
      <c r="FF71" s="6">
        <v>0</v>
      </c>
      <c r="FG71" s="6"/>
      <c r="FH71" s="6" t="s">
        <v>555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1</v>
      </c>
      <c r="FR71" s="6">
        <v>0</v>
      </c>
      <c r="FS71" s="6"/>
      <c r="FT71" s="6" t="s">
        <v>556</v>
      </c>
      <c r="FU71" s="6" t="s">
        <v>1629</v>
      </c>
      <c r="FV71" s="6"/>
      <c r="FW71" s="6" t="s">
        <v>449</v>
      </c>
      <c r="FX71" s="15" t="s">
        <v>450</v>
      </c>
      <c r="FY71" s="6" t="s">
        <v>619</v>
      </c>
      <c r="FZ71" s="6"/>
      <c r="GA71" s="6" t="s">
        <v>450</v>
      </c>
      <c r="GB71" s="6" t="s">
        <v>501</v>
      </c>
      <c r="GC71" s="6" t="s">
        <v>453</v>
      </c>
      <c r="GD71" s="6"/>
      <c r="GE71" s="6" t="s">
        <v>454</v>
      </c>
      <c r="GF71" s="6" t="s">
        <v>1630</v>
      </c>
      <c r="GG71" s="6" t="s">
        <v>456</v>
      </c>
      <c r="GH71" s="15" t="s">
        <v>1176</v>
      </c>
      <c r="GI71" s="6" t="s">
        <v>458</v>
      </c>
      <c r="GJ71" s="6" t="s">
        <v>1631</v>
      </c>
      <c r="GK71" s="6" t="s">
        <v>460</v>
      </c>
      <c r="GL71" s="6" t="s">
        <v>461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1</v>
      </c>
      <c r="GS71" s="6">
        <v>0</v>
      </c>
      <c r="GT71" s="6"/>
      <c r="GU71" s="6" t="s">
        <v>534</v>
      </c>
      <c r="GV71" s="6" t="s">
        <v>595</v>
      </c>
      <c r="GW71" s="6" t="s">
        <v>721</v>
      </c>
      <c r="GX71" s="6">
        <v>1</v>
      </c>
      <c r="GY71" s="6">
        <v>0</v>
      </c>
      <c r="GZ71" s="6">
        <v>0</v>
      </c>
      <c r="HA71" s="6">
        <v>1</v>
      </c>
      <c r="HB71" s="6">
        <v>0</v>
      </c>
      <c r="HC71" s="6">
        <v>0</v>
      </c>
      <c r="HD71" s="6"/>
      <c r="HE71" s="6" t="s">
        <v>596</v>
      </c>
      <c r="HF71" s="6">
        <v>1</v>
      </c>
      <c r="HG71" s="6">
        <v>1</v>
      </c>
      <c r="HH71" s="6">
        <v>1</v>
      </c>
      <c r="HI71" s="6">
        <v>1</v>
      </c>
      <c r="HJ71" s="6">
        <v>0</v>
      </c>
      <c r="HK71" s="6">
        <v>0</v>
      </c>
      <c r="HL71" s="15"/>
      <c r="HM71" s="6" t="s">
        <v>505</v>
      </c>
      <c r="HN71" s="6"/>
      <c r="HO71" s="6" t="s">
        <v>1632</v>
      </c>
      <c r="HP71" s="6" t="s">
        <v>561</v>
      </c>
      <c r="HQ71" s="6"/>
      <c r="HR71" s="6" t="s">
        <v>1633</v>
      </c>
      <c r="HS71" s="6" t="s">
        <v>725</v>
      </c>
      <c r="HT71" s="6">
        <v>0</v>
      </c>
      <c r="HU71" s="6">
        <v>0</v>
      </c>
      <c r="HV71" s="6">
        <v>1</v>
      </c>
      <c r="HW71" s="6">
        <v>0</v>
      </c>
      <c r="HX71" s="6">
        <v>1</v>
      </c>
      <c r="HY71" s="6">
        <v>1</v>
      </c>
      <c r="HZ71" s="6"/>
      <c r="IA71" s="6" t="s">
        <v>1634</v>
      </c>
      <c r="IB71" s="6">
        <v>1</v>
      </c>
      <c r="IC71" s="6">
        <v>1</v>
      </c>
      <c r="ID71" s="6">
        <v>1</v>
      </c>
      <c r="IE71" s="6">
        <v>1</v>
      </c>
      <c r="IF71" s="6">
        <v>1</v>
      </c>
      <c r="IG71" s="6">
        <v>0</v>
      </c>
      <c r="IH71" s="15" t="s">
        <v>1635</v>
      </c>
      <c r="II71" s="6" t="s">
        <v>426</v>
      </c>
      <c r="IJ71" s="6" t="s">
        <v>602</v>
      </c>
      <c r="IK71" s="6">
        <v>1</v>
      </c>
      <c r="IL71" s="6">
        <v>1</v>
      </c>
      <c r="IM71" s="6">
        <v>0</v>
      </c>
      <c r="IN71" s="6"/>
      <c r="IO71" s="6" t="s">
        <v>893</v>
      </c>
      <c r="IP71" s="6">
        <v>1</v>
      </c>
      <c r="IQ71" s="6">
        <v>0</v>
      </c>
      <c r="IR71" s="6">
        <v>0</v>
      </c>
      <c r="IS71" s="6">
        <v>1</v>
      </c>
      <c r="IT71" s="6">
        <v>0</v>
      </c>
      <c r="IU71" s="6">
        <v>0</v>
      </c>
      <c r="IV71" s="6"/>
      <c r="IW71" s="6" t="s">
        <v>426</v>
      </c>
      <c r="IX71" s="6">
        <v>1</v>
      </c>
      <c r="IY71" s="6" t="s">
        <v>474</v>
      </c>
      <c r="IZ71" s="6" t="s">
        <v>604</v>
      </c>
      <c r="JA71" s="6" t="s">
        <v>426</v>
      </c>
      <c r="JB71" s="6" t="s">
        <v>651</v>
      </c>
      <c r="JC71" s="6"/>
      <c r="JD71" s="6"/>
      <c r="JE71" s="6"/>
      <c r="JF71" s="6"/>
      <c r="JG71" s="6"/>
      <c r="JH71" s="6"/>
      <c r="JI71" s="6"/>
      <c r="JJ71" s="6"/>
      <c r="JK71" s="6" t="s">
        <v>426</v>
      </c>
      <c r="JL71" s="6" t="s">
        <v>426</v>
      </c>
      <c r="JM71" s="6"/>
      <c r="JN71" s="6"/>
      <c r="JO71" s="6"/>
      <c r="JP71" s="6"/>
      <c r="JQ71" s="6"/>
      <c r="JR71" s="6"/>
      <c r="JS71" s="6"/>
      <c r="JT71" s="6"/>
      <c r="JU71" s="6" t="s">
        <v>511</v>
      </c>
      <c r="JV71" s="15"/>
      <c r="JW71" s="94" t="s">
        <v>1636</v>
      </c>
      <c r="JX71" s="6" t="s">
        <v>1637</v>
      </c>
      <c r="JY71" s="6">
        <v>0.5868817</v>
      </c>
      <c r="JZ71" s="6">
        <v>34.4564783</v>
      </c>
      <c r="KA71" s="6">
        <v>1249.4</v>
      </c>
      <c r="KB71" s="15">
        <v>2.95</v>
      </c>
      <c r="KC71" s="15"/>
    </row>
    <row r="72" spans="1:289">
      <c r="A72" s="6" t="s">
        <v>633</v>
      </c>
      <c r="B72" s="6" t="s">
        <v>420</v>
      </c>
      <c r="C72" s="6" t="s">
        <v>1608</v>
      </c>
      <c r="D72" s="6" t="s">
        <v>1609</v>
      </c>
      <c r="E72" s="6" t="s">
        <v>1638</v>
      </c>
      <c r="F72" s="8" t="s">
        <v>423</v>
      </c>
      <c r="G72" s="6" t="s">
        <v>484</v>
      </c>
      <c r="H72" s="6" t="s">
        <v>517</v>
      </c>
      <c r="I72" s="15"/>
      <c r="J72" s="6" t="s">
        <v>426</v>
      </c>
      <c r="K72" s="6" t="s">
        <v>426</v>
      </c>
      <c r="L72" s="6" t="s">
        <v>426</v>
      </c>
      <c r="M72" s="6" t="s">
        <v>426</v>
      </c>
      <c r="N72" s="6" t="s">
        <v>426</v>
      </c>
      <c r="O72" s="6" t="s">
        <v>426</v>
      </c>
      <c r="P72" s="6" t="s">
        <v>426</v>
      </c>
      <c r="Q72" s="6" t="s">
        <v>426</v>
      </c>
      <c r="R72" s="6" t="s">
        <v>426</v>
      </c>
      <c r="S72" s="6" t="s">
        <v>426</v>
      </c>
      <c r="T72" s="6" t="s">
        <v>426</v>
      </c>
      <c r="U72" s="6" t="s">
        <v>426</v>
      </c>
      <c r="V72" s="6" t="s">
        <v>426</v>
      </c>
      <c r="W72" s="6" t="s">
        <v>453</v>
      </c>
      <c r="X72" s="6" t="s">
        <v>426</v>
      </c>
      <c r="Y72" s="6" t="s">
        <v>426</v>
      </c>
      <c r="Z72" s="6" t="s">
        <v>426</v>
      </c>
      <c r="AA72" s="6" t="s">
        <v>426</v>
      </c>
      <c r="AB72" s="6" t="s">
        <v>426</v>
      </c>
      <c r="AC72" s="15" t="s">
        <v>426</v>
      </c>
      <c r="AD72" s="6" t="s">
        <v>427</v>
      </c>
      <c r="AE72" s="6">
        <v>0</v>
      </c>
      <c r="AF72" s="6">
        <v>0</v>
      </c>
      <c r="AG72" s="6">
        <v>0</v>
      </c>
      <c r="AH72" s="6">
        <v>1</v>
      </c>
      <c r="AI72" s="6">
        <v>0</v>
      </c>
      <c r="AJ72" s="6">
        <v>0</v>
      </c>
      <c r="AK72" s="6">
        <v>0</v>
      </c>
      <c r="AL72" s="6">
        <v>0</v>
      </c>
      <c r="AM72" s="6"/>
      <c r="AN72" s="15"/>
      <c r="AO72" s="6" t="s">
        <v>426</v>
      </c>
      <c r="AP72" s="6" t="s">
        <v>758</v>
      </c>
      <c r="AQ72" s="6" t="s">
        <v>426</v>
      </c>
      <c r="AR72" s="6" t="s">
        <v>758</v>
      </c>
      <c r="AS72" s="6" t="s">
        <v>426</v>
      </c>
      <c r="AT72" s="6">
        <v>0.1</v>
      </c>
      <c r="AU72" s="6" t="s">
        <v>426</v>
      </c>
      <c r="AV72" s="6">
        <v>0.2</v>
      </c>
      <c r="AW72" s="6" t="s">
        <v>426</v>
      </c>
      <c r="AX72" s="6">
        <v>0.5</v>
      </c>
      <c r="AY72" s="6" t="s">
        <v>426</v>
      </c>
      <c r="AZ72" s="6">
        <v>1</v>
      </c>
      <c r="BA72" s="6" t="s">
        <v>453</v>
      </c>
      <c r="BB72" s="6"/>
      <c r="BC72" s="6" t="s">
        <v>426</v>
      </c>
      <c r="BD72" s="6">
        <v>0.08</v>
      </c>
      <c r="BE72" s="6" t="s">
        <v>453</v>
      </c>
      <c r="BF72" s="6"/>
      <c r="BG72" s="6" t="s">
        <v>426</v>
      </c>
      <c r="BH72" s="6">
        <v>0.1</v>
      </c>
      <c r="BI72" s="6" t="s">
        <v>426</v>
      </c>
      <c r="BJ72" s="6">
        <v>0.1</v>
      </c>
      <c r="BK72" s="6" t="s">
        <v>426</v>
      </c>
      <c r="BL72" s="6">
        <v>0.1</v>
      </c>
      <c r="BM72" s="6" t="s">
        <v>426</v>
      </c>
      <c r="BN72" s="6">
        <v>20</v>
      </c>
      <c r="BO72" s="6" t="s">
        <v>426</v>
      </c>
      <c r="BP72" s="6">
        <v>0.08</v>
      </c>
      <c r="BQ72" s="6" t="s">
        <v>426</v>
      </c>
      <c r="BR72" s="6">
        <v>30</v>
      </c>
      <c r="BS72" s="6" t="s">
        <v>426</v>
      </c>
      <c r="BT72" s="6">
        <v>3</v>
      </c>
      <c r="BU72" s="6" t="s">
        <v>453</v>
      </c>
      <c r="BV72" s="15"/>
      <c r="BW72" s="15" t="s">
        <v>518</v>
      </c>
      <c r="BX72" s="15" t="s">
        <v>429</v>
      </c>
      <c r="BY72" s="6" t="s">
        <v>430</v>
      </c>
      <c r="BZ72" s="6" t="s">
        <v>430</v>
      </c>
      <c r="CA72" s="6" t="s">
        <v>430</v>
      </c>
      <c r="CB72" s="6" t="s">
        <v>430</v>
      </c>
      <c r="CC72" s="6" t="s">
        <v>430</v>
      </c>
      <c r="CD72" s="6" t="s">
        <v>430</v>
      </c>
      <c r="CE72" s="6" t="s">
        <v>486</v>
      </c>
      <c r="CF72" s="6" t="s">
        <v>430</v>
      </c>
      <c r="CG72" s="6" t="s">
        <v>486</v>
      </c>
      <c r="CH72" s="6" t="s">
        <v>430</v>
      </c>
      <c r="CI72" s="6" t="s">
        <v>430</v>
      </c>
      <c r="CJ72" s="6" t="s">
        <v>430</v>
      </c>
      <c r="CK72" s="6" t="s">
        <v>430</v>
      </c>
      <c r="CL72" s="6" t="s">
        <v>430</v>
      </c>
      <c r="CM72" s="6" t="s">
        <v>430</v>
      </c>
      <c r="CN72" s="6" t="s">
        <v>430</v>
      </c>
      <c r="CO72" s="15" t="s">
        <v>486</v>
      </c>
      <c r="CP72" s="15" t="s">
        <v>432</v>
      </c>
      <c r="CQ72" s="6" t="s">
        <v>433</v>
      </c>
      <c r="CR72" s="15"/>
      <c r="CS72" s="6" t="s">
        <v>426</v>
      </c>
      <c r="CT72" s="6" t="s">
        <v>1639</v>
      </c>
      <c r="CU72" s="6" t="s">
        <v>660</v>
      </c>
      <c r="CV72" s="6" t="s">
        <v>987</v>
      </c>
      <c r="CW72" s="6" t="s">
        <v>988</v>
      </c>
      <c r="CX72" s="15" t="s">
        <v>426</v>
      </c>
      <c r="CY72" s="6" t="s">
        <v>426</v>
      </c>
      <c r="CZ72" s="6" t="s">
        <v>1640</v>
      </c>
      <c r="DA72" s="6" t="s">
        <v>735</v>
      </c>
      <c r="DB72" s="6" t="s">
        <v>1641</v>
      </c>
      <c r="DC72" s="6" t="s">
        <v>1292</v>
      </c>
      <c r="DD72" s="15" t="s">
        <v>1642</v>
      </c>
      <c r="DE72" s="15" t="s">
        <v>436</v>
      </c>
      <c r="DF72" s="6" t="s">
        <v>522</v>
      </c>
      <c r="DG72" s="6">
        <v>0</v>
      </c>
      <c r="DH72" s="6">
        <v>1</v>
      </c>
      <c r="DI72" s="6">
        <v>0</v>
      </c>
      <c r="DJ72" s="6">
        <v>0</v>
      </c>
      <c r="DK72" s="6">
        <v>0</v>
      </c>
      <c r="DL72" s="6">
        <v>0</v>
      </c>
      <c r="DM72" s="6"/>
      <c r="DN72" s="6"/>
      <c r="DO72" s="6"/>
      <c r="DP72" s="6"/>
      <c r="DQ72" s="6"/>
      <c r="DR72" s="6"/>
      <c r="DS72" s="6"/>
      <c r="DT72" s="66"/>
      <c r="DU72" s="6" t="s">
        <v>523</v>
      </c>
      <c r="DV72" s="6" t="s">
        <v>426</v>
      </c>
      <c r="DW72" s="6" t="s">
        <v>490</v>
      </c>
      <c r="DX72" s="6" t="s">
        <v>440</v>
      </c>
      <c r="DY72" s="6"/>
      <c r="DZ72" s="6" t="s">
        <v>714</v>
      </c>
      <c r="EA72" s="6">
        <v>1</v>
      </c>
      <c r="EB72" s="6">
        <v>1</v>
      </c>
      <c r="EC72" s="6">
        <v>1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/>
      <c r="EJ72" s="6" t="s">
        <v>1397</v>
      </c>
      <c r="EK72" s="6">
        <v>1</v>
      </c>
      <c r="EL72" s="6">
        <v>0</v>
      </c>
      <c r="EM72" s="6">
        <v>1</v>
      </c>
      <c r="EN72" s="6">
        <v>1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/>
      <c r="EU72" s="6" t="s">
        <v>443</v>
      </c>
      <c r="EV72" s="6" t="s">
        <v>444</v>
      </c>
      <c r="EW72" s="6"/>
      <c r="EX72" s="6" t="s">
        <v>1123</v>
      </c>
      <c r="EY72" s="6">
        <v>1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/>
      <c r="FH72" s="6" t="s">
        <v>572</v>
      </c>
      <c r="FI72" s="6">
        <v>1</v>
      </c>
      <c r="FJ72" s="6">
        <v>0</v>
      </c>
      <c r="FK72" s="6">
        <v>0</v>
      </c>
      <c r="FL72" s="6">
        <v>1</v>
      </c>
      <c r="FM72" s="6">
        <v>1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/>
      <c r="FT72" s="6" t="s">
        <v>447</v>
      </c>
      <c r="FU72" s="6" t="s">
        <v>1629</v>
      </c>
      <c r="FV72" s="6"/>
      <c r="FW72" s="6" t="s">
        <v>1643</v>
      </c>
      <c r="FX72" s="15" t="s">
        <v>450</v>
      </c>
      <c r="FY72" s="6" t="s">
        <v>1012</v>
      </c>
      <c r="FZ72" s="6"/>
      <c r="GA72" s="6" t="s">
        <v>450</v>
      </c>
      <c r="GB72" s="6" t="s">
        <v>501</v>
      </c>
      <c r="GC72" s="6" t="s">
        <v>453</v>
      </c>
      <c r="GD72" s="6"/>
      <c r="GE72" s="6" t="s">
        <v>454</v>
      </c>
      <c r="GF72" s="6" t="s">
        <v>1644</v>
      </c>
      <c r="GG72" s="6" t="s">
        <v>456</v>
      </c>
      <c r="GH72" s="15" t="s">
        <v>1645</v>
      </c>
      <c r="GI72" s="6" t="s">
        <v>458</v>
      </c>
      <c r="GJ72" s="6" t="s">
        <v>1646</v>
      </c>
      <c r="GK72" s="6" t="s">
        <v>460</v>
      </c>
      <c r="GL72" s="6" t="s">
        <v>461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1</v>
      </c>
      <c r="GS72" s="6">
        <v>0</v>
      </c>
      <c r="GT72" s="6"/>
      <c r="GU72" s="6" t="s">
        <v>462</v>
      </c>
      <c r="GV72" s="6" t="s">
        <v>595</v>
      </c>
      <c r="GW72" s="6" t="s">
        <v>1647</v>
      </c>
      <c r="GX72" s="6">
        <v>0</v>
      </c>
      <c r="GY72" s="6">
        <v>0</v>
      </c>
      <c r="GZ72" s="6">
        <v>0</v>
      </c>
      <c r="HA72" s="6">
        <v>0</v>
      </c>
      <c r="HB72" s="6">
        <v>0</v>
      </c>
      <c r="HC72" s="6">
        <v>1</v>
      </c>
      <c r="HD72" s="6" t="s">
        <v>1500</v>
      </c>
      <c r="HE72" s="6" t="s">
        <v>1648</v>
      </c>
      <c r="HF72" s="6">
        <v>0</v>
      </c>
      <c r="HG72" s="6">
        <v>1</v>
      </c>
      <c r="HH72" s="6">
        <v>1</v>
      </c>
      <c r="HI72" s="6">
        <v>1</v>
      </c>
      <c r="HJ72" s="6">
        <v>0</v>
      </c>
      <c r="HK72" s="6">
        <v>0</v>
      </c>
      <c r="HL72" s="15"/>
      <c r="HM72" s="6" t="s">
        <v>505</v>
      </c>
      <c r="HN72" s="6"/>
      <c r="HO72" s="6" t="s">
        <v>1649</v>
      </c>
      <c r="HP72" s="6" t="s">
        <v>468</v>
      </c>
      <c r="HQ72" s="6"/>
      <c r="HR72" s="6" t="s">
        <v>1650</v>
      </c>
      <c r="HS72" s="6" t="s">
        <v>508</v>
      </c>
      <c r="HT72" s="6">
        <v>0</v>
      </c>
      <c r="HU72" s="6">
        <v>0</v>
      </c>
      <c r="HV72" s="6">
        <v>1</v>
      </c>
      <c r="HW72" s="6">
        <v>0</v>
      </c>
      <c r="HX72" s="6">
        <v>0</v>
      </c>
      <c r="HY72" s="6">
        <v>0</v>
      </c>
      <c r="HZ72" s="6"/>
      <c r="IA72" s="6" t="s">
        <v>1105</v>
      </c>
      <c r="IB72" s="6">
        <v>1</v>
      </c>
      <c r="IC72" s="6">
        <v>1</v>
      </c>
      <c r="ID72" s="6">
        <v>0</v>
      </c>
      <c r="IE72" s="6">
        <v>0</v>
      </c>
      <c r="IF72" s="6">
        <v>0</v>
      </c>
      <c r="IG72" s="6">
        <v>0</v>
      </c>
      <c r="IH72" s="15" t="s">
        <v>1651</v>
      </c>
      <c r="II72" s="6" t="s">
        <v>426</v>
      </c>
      <c r="IJ72" s="6" t="s">
        <v>472</v>
      </c>
      <c r="IK72" s="6">
        <v>1</v>
      </c>
      <c r="IL72" s="6">
        <v>0</v>
      </c>
      <c r="IM72" s="6">
        <v>0</v>
      </c>
      <c r="IN72" s="6"/>
      <c r="IO72" s="6" t="s">
        <v>1002</v>
      </c>
      <c r="IP72" s="6">
        <v>0</v>
      </c>
      <c r="IQ72" s="6">
        <v>0</v>
      </c>
      <c r="IR72" s="6">
        <v>0</v>
      </c>
      <c r="IS72" s="6">
        <v>0</v>
      </c>
      <c r="IT72" s="6">
        <v>0</v>
      </c>
      <c r="IU72" s="6">
        <v>1</v>
      </c>
      <c r="IV72" s="6" t="s">
        <v>1652</v>
      </c>
      <c r="IW72" s="6" t="s">
        <v>426</v>
      </c>
      <c r="IX72" s="6">
        <v>1</v>
      </c>
      <c r="IY72" s="6" t="s">
        <v>474</v>
      </c>
      <c r="IZ72" s="6" t="s">
        <v>475</v>
      </c>
      <c r="JA72" s="6" t="s">
        <v>426</v>
      </c>
      <c r="JB72" s="6" t="s">
        <v>651</v>
      </c>
      <c r="JC72" s="6"/>
      <c r="JD72" s="6"/>
      <c r="JE72" s="6"/>
      <c r="JF72" s="6"/>
      <c r="JG72" s="6"/>
      <c r="JH72" s="6"/>
      <c r="JI72" s="6"/>
      <c r="JJ72" s="6"/>
      <c r="JK72" s="6" t="s">
        <v>426</v>
      </c>
      <c r="JL72" s="6" t="s">
        <v>453</v>
      </c>
      <c r="JM72" s="6" t="s">
        <v>1042</v>
      </c>
      <c r="JN72" s="6">
        <v>0</v>
      </c>
      <c r="JO72" s="6">
        <v>0</v>
      </c>
      <c r="JP72" s="6">
        <v>1</v>
      </c>
      <c r="JQ72" s="6">
        <v>0</v>
      </c>
      <c r="JR72" s="6">
        <v>0</v>
      </c>
      <c r="JS72" s="6">
        <v>0</v>
      </c>
      <c r="JT72" s="6"/>
      <c r="JU72" s="6" t="s">
        <v>477</v>
      </c>
      <c r="JV72" s="15"/>
      <c r="JW72" s="94" t="s">
        <v>1653</v>
      </c>
      <c r="JX72" s="6" t="s">
        <v>1654</v>
      </c>
      <c r="JY72" s="6">
        <v>0.5870131</v>
      </c>
      <c r="JZ72" s="6">
        <v>34.4565693</v>
      </c>
      <c r="KA72" s="6">
        <v>1293</v>
      </c>
      <c r="KB72" s="15">
        <v>5</v>
      </c>
      <c r="KC72" s="15"/>
    </row>
    <row r="73" spans="1:289">
      <c r="A73" s="6" t="s">
        <v>480</v>
      </c>
      <c r="B73" s="6" t="s">
        <v>420</v>
      </c>
      <c r="C73" s="6" t="s">
        <v>1608</v>
      </c>
      <c r="D73" s="6" t="s">
        <v>1655</v>
      </c>
      <c r="E73" s="6" t="s">
        <v>1656</v>
      </c>
      <c r="F73" s="8" t="s">
        <v>483</v>
      </c>
      <c r="G73" s="6" t="s">
        <v>424</v>
      </c>
      <c r="H73" s="6" t="s">
        <v>425</v>
      </c>
      <c r="I73" s="15"/>
      <c r="J73" s="6" t="s">
        <v>426</v>
      </c>
      <c r="K73" s="6" t="s">
        <v>426</v>
      </c>
      <c r="L73" s="6" t="s">
        <v>426</v>
      </c>
      <c r="M73" s="6" t="s">
        <v>426</v>
      </c>
      <c r="N73" s="6" t="s">
        <v>426</v>
      </c>
      <c r="O73" s="6" t="s">
        <v>426</v>
      </c>
      <c r="P73" s="6" t="s">
        <v>426</v>
      </c>
      <c r="Q73" s="6" t="s">
        <v>426</v>
      </c>
      <c r="R73" s="6" t="s">
        <v>426</v>
      </c>
      <c r="S73" s="6" t="s">
        <v>426</v>
      </c>
      <c r="T73" s="6" t="s">
        <v>426</v>
      </c>
      <c r="U73" s="6" t="s">
        <v>426</v>
      </c>
      <c r="V73" s="6" t="s">
        <v>426</v>
      </c>
      <c r="W73" s="6" t="s">
        <v>426</v>
      </c>
      <c r="X73" s="6" t="s">
        <v>426</v>
      </c>
      <c r="Y73" s="6" t="s">
        <v>426</v>
      </c>
      <c r="Z73" s="6" t="s">
        <v>426</v>
      </c>
      <c r="AA73" s="6" t="s">
        <v>426</v>
      </c>
      <c r="AB73" s="6" t="s">
        <v>426</v>
      </c>
      <c r="AC73" s="15" t="s">
        <v>426</v>
      </c>
      <c r="AD73" s="6" t="s">
        <v>1592</v>
      </c>
      <c r="AE73" s="6">
        <v>0</v>
      </c>
      <c r="AF73" s="6">
        <v>0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 t="s">
        <v>1657</v>
      </c>
      <c r="AN73" s="15"/>
      <c r="AO73" s="6" t="s">
        <v>426</v>
      </c>
      <c r="AP73" s="6" t="s">
        <v>823</v>
      </c>
      <c r="AQ73" s="6" t="s">
        <v>426</v>
      </c>
      <c r="AR73" s="6" t="s">
        <v>809</v>
      </c>
      <c r="AS73" s="6" t="s">
        <v>426</v>
      </c>
      <c r="AT73" s="6">
        <v>0.2</v>
      </c>
      <c r="AU73" s="6" t="s">
        <v>453</v>
      </c>
      <c r="AV73" s="6"/>
      <c r="AW73" s="6" t="s">
        <v>426</v>
      </c>
      <c r="AX73" s="6">
        <v>0.2</v>
      </c>
      <c r="AY73" s="6" t="s">
        <v>426</v>
      </c>
      <c r="AZ73" s="6">
        <v>1</v>
      </c>
      <c r="BA73" s="6" t="s">
        <v>426</v>
      </c>
      <c r="BB73" s="6">
        <v>0.4</v>
      </c>
      <c r="BC73" s="6" t="s">
        <v>426</v>
      </c>
      <c r="BD73" s="6">
        <v>0.2</v>
      </c>
      <c r="BE73" s="6" t="s">
        <v>453</v>
      </c>
      <c r="BF73" s="6"/>
      <c r="BG73" s="6" t="s">
        <v>426</v>
      </c>
      <c r="BH73" s="6">
        <v>0.4</v>
      </c>
      <c r="BI73" s="6" t="s">
        <v>426</v>
      </c>
      <c r="BJ73" s="6">
        <v>0.4</v>
      </c>
      <c r="BK73" s="6" t="s">
        <v>426</v>
      </c>
      <c r="BL73" s="6">
        <v>0.2</v>
      </c>
      <c r="BM73" s="6" t="s">
        <v>426</v>
      </c>
      <c r="BN73" s="6">
        <v>9</v>
      </c>
      <c r="BO73" s="6" t="s">
        <v>426</v>
      </c>
      <c r="BP73" s="6">
        <v>0.8</v>
      </c>
      <c r="BQ73" s="6" t="s">
        <v>426</v>
      </c>
      <c r="BR73" s="6">
        <v>600</v>
      </c>
      <c r="BS73" s="6" t="s">
        <v>453</v>
      </c>
      <c r="BT73" s="6"/>
      <c r="BU73" s="6" t="s">
        <v>426</v>
      </c>
      <c r="BV73" s="15">
        <v>0.2</v>
      </c>
      <c r="BW73" s="15" t="s">
        <v>518</v>
      </c>
      <c r="BX73" s="15" t="s">
        <v>429</v>
      </c>
      <c r="BY73" s="6" t="s">
        <v>430</v>
      </c>
      <c r="BZ73" s="6" t="s">
        <v>430</v>
      </c>
      <c r="CA73" s="6" t="s">
        <v>430</v>
      </c>
      <c r="CB73" s="6" t="s">
        <v>487</v>
      </c>
      <c r="CC73" s="6" t="s">
        <v>431</v>
      </c>
      <c r="CD73" s="6" t="s">
        <v>430</v>
      </c>
      <c r="CE73" s="6" t="s">
        <v>430</v>
      </c>
      <c r="CF73" s="6" t="s">
        <v>430</v>
      </c>
      <c r="CG73" s="6" t="s">
        <v>487</v>
      </c>
      <c r="CH73" s="6" t="s">
        <v>430</v>
      </c>
      <c r="CI73" s="6" t="s">
        <v>430</v>
      </c>
      <c r="CJ73" s="6" t="s">
        <v>430</v>
      </c>
      <c r="CK73" s="6" t="s">
        <v>430</v>
      </c>
      <c r="CL73" s="6" t="s">
        <v>430</v>
      </c>
      <c r="CM73" s="6" t="s">
        <v>430</v>
      </c>
      <c r="CN73" s="6" t="s">
        <v>487</v>
      </c>
      <c r="CO73" s="15" t="s">
        <v>486</v>
      </c>
      <c r="CP73" s="15" t="s">
        <v>432</v>
      </c>
      <c r="CQ73" s="6" t="s">
        <v>433</v>
      </c>
      <c r="CR73" s="15"/>
      <c r="CS73" s="6" t="s">
        <v>426</v>
      </c>
      <c r="CT73" s="6" t="s">
        <v>1658</v>
      </c>
      <c r="CU73" s="6" t="s">
        <v>1225</v>
      </c>
      <c r="CV73" s="6" t="s">
        <v>1659</v>
      </c>
      <c r="CW73" s="6" t="s">
        <v>826</v>
      </c>
      <c r="CX73" s="15" t="s">
        <v>426</v>
      </c>
      <c r="CY73" s="6" t="s">
        <v>453</v>
      </c>
      <c r="CZ73" s="6"/>
      <c r="DA73" s="6"/>
      <c r="DB73" s="6"/>
      <c r="DC73" s="6"/>
      <c r="DD73" s="15"/>
      <c r="DE73" s="15" t="s">
        <v>436</v>
      </c>
      <c r="DF73" s="6" t="s">
        <v>611</v>
      </c>
      <c r="DG73" s="6">
        <v>1</v>
      </c>
      <c r="DH73" s="6">
        <v>1</v>
      </c>
      <c r="DI73" s="6">
        <v>0</v>
      </c>
      <c r="DJ73" s="6">
        <v>0</v>
      </c>
      <c r="DK73" s="6">
        <v>0</v>
      </c>
      <c r="DL73" s="6">
        <v>0</v>
      </c>
      <c r="DM73" s="6"/>
      <c r="DN73" s="6"/>
      <c r="DO73" s="6"/>
      <c r="DP73" s="6"/>
      <c r="DQ73" s="6"/>
      <c r="DR73" s="6"/>
      <c r="DS73" s="6"/>
      <c r="DT73" s="66"/>
      <c r="DU73" s="6" t="s">
        <v>438</v>
      </c>
      <c r="DV73" s="6" t="s">
        <v>426</v>
      </c>
      <c r="DW73" s="6" t="s">
        <v>439</v>
      </c>
      <c r="DX73" s="6" t="s">
        <v>440</v>
      </c>
      <c r="DY73" s="6"/>
      <c r="DZ73" s="6" t="s">
        <v>639</v>
      </c>
      <c r="EA73" s="6">
        <v>1</v>
      </c>
      <c r="EB73" s="6">
        <v>1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/>
      <c r="EJ73" s="6" t="s">
        <v>1660</v>
      </c>
      <c r="EK73" s="6">
        <v>1</v>
      </c>
      <c r="EL73" s="6">
        <v>1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/>
      <c r="EU73" s="6" t="s">
        <v>443</v>
      </c>
      <c r="EV73" s="6" t="s">
        <v>588</v>
      </c>
      <c r="EW73" s="6"/>
      <c r="EX73" s="6" t="s">
        <v>1661</v>
      </c>
      <c r="EY73" s="6">
        <v>1</v>
      </c>
      <c r="EZ73" s="6">
        <v>1</v>
      </c>
      <c r="FA73" s="6">
        <v>0</v>
      </c>
      <c r="FB73" s="6">
        <v>0</v>
      </c>
      <c r="FC73" s="6">
        <v>1</v>
      </c>
      <c r="FD73" s="6">
        <v>1</v>
      </c>
      <c r="FE73" s="6">
        <v>0</v>
      </c>
      <c r="FF73" s="6">
        <v>0</v>
      </c>
      <c r="FG73" s="6"/>
      <c r="FH73" s="6" t="s">
        <v>1662</v>
      </c>
      <c r="FI73" s="6">
        <v>1</v>
      </c>
      <c r="FJ73" s="6">
        <v>0</v>
      </c>
      <c r="FK73" s="6">
        <v>0</v>
      </c>
      <c r="FL73" s="6">
        <v>0</v>
      </c>
      <c r="FM73" s="6">
        <v>1</v>
      </c>
      <c r="FN73" s="6">
        <v>0</v>
      </c>
      <c r="FO73" s="6">
        <v>0</v>
      </c>
      <c r="FP73" s="6">
        <v>0</v>
      </c>
      <c r="FQ73" s="6">
        <v>1</v>
      </c>
      <c r="FR73" s="6">
        <v>0</v>
      </c>
      <c r="FS73" s="6"/>
      <c r="FT73" s="6" t="s">
        <v>717</v>
      </c>
      <c r="FU73" s="6" t="s">
        <v>499</v>
      </c>
      <c r="FV73" s="6"/>
      <c r="FW73" s="6" t="s">
        <v>449</v>
      </c>
      <c r="FX73" s="15" t="s">
        <v>450</v>
      </c>
      <c r="FY73" s="6" t="s">
        <v>529</v>
      </c>
      <c r="FZ73" s="6"/>
      <c r="GA73" s="6" t="s">
        <v>450</v>
      </c>
      <c r="GB73" s="6" t="s">
        <v>501</v>
      </c>
      <c r="GC73" s="6" t="s">
        <v>453</v>
      </c>
      <c r="GD73" s="6"/>
      <c r="GE73" s="6" t="s">
        <v>454</v>
      </c>
      <c r="GF73" s="6" t="s">
        <v>1663</v>
      </c>
      <c r="GG73" s="6" t="s">
        <v>456</v>
      </c>
      <c r="GH73" s="15" t="s">
        <v>1664</v>
      </c>
      <c r="GI73" s="6" t="s">
        <v>458</v>
      </c>
      <c r="GJ73" s="6" t="s">
        <v>1665</v>
      </c>
      <c r="GK73" s="6" t="s">
        <v>460</v>
      </c>
      <c r="GL73" s="6" t="s">
        <v>461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1</v>
      </c>
      <c r="GS73" s="6">
        <v>0</v>
      </c>
      <c r="GT73" s="6"/>
      <c r="GU73" s="6" t="s">
        <v>534</v>
      </c>
      <c r="GV73" s="6" t="s">
        <v>595</v>
      </c>
      <c r="GW73" s="6" t="s">
        <v>721</v>
      </c>
      <c r="GX73" s="6">
        <v>1</v>
      </c>
      <c r="GY73" s="6">
        <v>0</v>
      </c>
      <c r="GZ73" s="6">
        <v>0</v>
      </c>
      <c r="HA73" s="6">
        <v>1</v>
      </c>
      <c r="HB73" s="6">
        <v>0</v>
      </c>
      <c r="HC73" s="6">
        <v>0</v>
      </c>
      <c r="HD73" s="6"/>
      <c r="HE73" s="6" t="s">
        <v>1666</v>
      </c>
      <c r="HF73" s="6">
        <v>1</v>
      </c>
      <c r="HG73" s="6">
        <v>0</v>
      </c>
      <c r="HH73" s="6">
        <v>1</v>
      </c>
      <c r="HI73" s="6">
        <v>0</v>
      </c>
      <c r="HJ73" s="6">
        <v>1</v>
      </c>
      <c r="HK73" s="6">
        <v>0</v>
      </c>
      <c r="HL73" s="15"/>
      <c r="HM73" s="6" t="s">
        <v>505</v>
      </c>
      <c r="HN73" s="6"/>
      <c r="HO73" s="6" t="s">
        <v>1667</v>
      </c>
      <c r="HP73" s="6" t="s">
        <v>1668</v>
      </c>
      <c r="HQ73" s="6"/>
      <c r="HR73" s="6" t="s">
        <v>1669</v>
      </c>
      <c r="HS73" s="6" t="s">
        <v>1163</v>
      </c>
      <c r="HT73" s="6">
        <v>0</v>
      </c>
      <c r="HU73" s="6">
        <v>0</v>
      </c>
      <c r="HV73" s="6">
        <v>1</v>
      </c>
      <c r="HW73" s="6">
        <v>0</v>
      </c>
      <c r="HX73" s="6">
        <v>0</v>
      </c>
      <c r="HY73" s="6">
        <v>1</v>
      </c>
      <c r="HZ73" s="6"/>
      <c r="IA73" s="6" t="s">
        <v>1670</v>
      </c>
      <c r="IB73" s="6">
        <v>1</v>
      </c>
      <c r="IC73" s="6">
        <v>1</v>
      </c>
      <c r="ID73" s="6">
        <v>1</v>
      </c>
      <c r="IE73" s="6">
        <v>0</v>
      </c>
      <c r="IF73" s="6">
        <v>1</v>
      </c>
      <c r="IG73" s="6">
        <v>0</v>
      </c>
      <c r="IH73" s="15" t="s">
        <v>1671</v>
      </c>
      <c r="II73" s="6" t="s">
        <v>426</v>
      </c>
      <c r="IJ73" s="6" t="s">
        <v>602</v>
      </c>
      <c r="IK73" s="6">
        <v>1</v>
      </c>
      <c r="IL73" s="6">
        <v>1</v>
      </c>
      <c r="IM73" s="6">
        <v>0</v>
      </c>
      <c r="IN73" s="6"/>
      <c r="IO73" s="6" t="s">
        <v>893</v>
      </c>
      <c r="IP73" s="6">
        <v>1</v>
      </c>
      <c r="IQ73" s="6">
        <v>0</v>
      </c>
      <c r="IR73" s="6">
        <v>0</v>
      </c>
      <c r="IS73" s="6">
        <v>1</v>
      </c>
      <c r="IT73" s="6">
        <v>0</v>
      </c>
      <c r="IU73" s="6">
        <v>0</v>
      </c>
      <c r="IV73" s="6"/>
      <c r="IW73" s="6" t="s">
        <v>426</v>
      </c>
      <c r="IX73" s="6">
        <v>1</v>
      </c>
      <c r="IY73" s="6" t="s">
        <v>474</v>
      </c>
      <c r="IZ73" s="6" t="s">
        <v>475</v>
      </c>
      <c r="JA73" s="6" t="s">
        <v>426</v>
      </c>
      <c r="JB73" s="6" t="s">
        <v>476</v>
      </c>
      <c r="JC73" s="6"/>
      <c r="JD73" s="6"/>
      <c r="JE73" s="6"/>
      <c r="JF73" s="6"/>
      <c r="JG73" s="6"/>
      <c r="JH73" s="6"/>
      <c r="JI73" s="6"/>
      <c r="JJ73" s="6"/>
      <c r="JK73" s="6" t="s">
        <v>453</v>
      </c>
      <c r="JL73" s="6"/>
      <c r="JM73" s="6"/>
      <c r="JN73" s="6"/>
      <c r="JO73" s="6"/>
      <c r="JP73" s="6"/>
      <c r="JQ73" s="6"/>
      <c r="JR73" s="6"/>
      <c r="JS73" s="6"/>
      <c r="JT73" s="6"/>
      <c r="JU73" s="6" t="s">
        <v>477</v>
      </c>
      <c r="JV73" s="15"/>
      <c r="JW73" s="94" t="s">
        <v>1672</v>
      </c>
      <c r="JX73" s="6" t="s">
        <v>1673</v>
      </c>
      <c r="JY73" s="6">
        <v>0.5826539</v>
      </c>
      <c r="JZ73" s="6">
        <v>34.4694182</v>
      </c>
      <c r="KA73" s="6">
        <v>1298.12976074219</v>
      </c>
      <c r="KB73" s="15">
        <v>4.8</v>
      </c>
      <c r="KC73" s="15"/>
    </row>
    <row r="74" spans="1:289">
      <c r="A74" s="6" t="s">
        <v>419</v>
      </c>
      <c r="B74" s="6" t="s">
        <v>420</v>
      </c>
      <c r="C74" s="6" t="s">
        <v>1608</v>
      </c>
      <c r="D74" s="6" t="s">
        <v>1609</v>
      </c>
      <c r="E74" s="6" t="s">
        <v>1674</v>
      </c>
      <c r="F74" s="8" t="s">
        <v>423</v>
      </c>
      <c r="G74" s="6" t="s">
        <v>484</v>
      </c>
      <c r="H74" s="6" t="s">
        <v>425</v>
      </c>
      <c r="I74" s="15"/>
      <c r="J74" s="6" t="s">
        <v>426</v>
      </c>
      <c r="K74" s="6" t="s">
        <v>426</v>
      </c>
      <c r="L74" s="6" t="s">
        <v>426</v>
      </c>
      <c r="M74" s="6" t="s">
        <v>426</v>
      </c>
      <c r="N74" s="6" t="s">
        <v>426</v>
      </c>
      <c r="O74" s="6" t="s">
        <v>426</v>
      </c>
      <c r="P74" s="6" t="s">
        <v>426</v>
      </c>
      <c r="Q74" s="6" t="s">
        <v>426</v>
      </c>
      <c r="R74" s="6" t="s">
        <v>426</v>
      </c>
      <c r="S74" s="6" t="s">
        <v>426</v>
      </c>
      <c r="T74" s="6" t="s">
        <v>426</v>
      </c>
      <c r="U74" s="6" t="s">
        <v>426</v>
      </c>
      <c r="V74" s="6" t="s">
        <v>426</v>
      </c>
      <c r="W74" s="6" t="s">
        <v>426</v>
      </c>
      <c r="X74" s="6" t="s">
        <v>426</v>
      </c>
      <c r="Y74" s="6" t="s">
        <v>426</v>
      </c>
      <c r="Z74" s="6" t="s">
        <v>426</v>
      </c>
      <c r="AA74" s="6" t="s">
        <v>426</v>
      </c>
      <c r="AB74" s="6" t="s">
        <v>426</v>
      </c>
      <c r="AC74" s="15" t="s">
        <v>426</v>
      </c>
      <c r="AD74" s="6" t="s">
        <v>427</v>
      </c>
      <c r="AE74" s="6">
        <v>0</v>
      </c>
      <c r="AF74" s="6">
        <v>0</v>
      </c>
      <c r="AG74" s="6">
        <v>0</v>
      </c>
      <c r="AH74" s="6">
        <v>1</v>
      </c>
      <c r="AI74" s="6">
        <v>0</v>
      </c>
      <c r="AJ74" s="6">
        <v>0</v>
      </c>
      <c r="AK74" s="6">
        <v>0</v>
      </c>
      <c r="AL74" s="6">
        <v>0</v>
      </c>
      <c r="AM74" s="6"/>
      <c r="AN74" s="15"/>
      <c r="AO74" s="6" t="s">
        <v>426</v>
      </c>
      <c r="AP74" s="6" t="s">
        <v>683</v>
      </c>
      <c r="AQ74" s="6" t="s">
        <v>426</v>
      </c>
      <c r="AR74" s="6" t="s">
        <v>683</v>
      </c>
      <c r="AS74" s="6" t="s">
        <v>426</v>
      </c>
      <c r="AT74" s="6">
        <v>0.2</v>
      </c>
      <c r="AU74" s="6" t="s">
        <v>453</v>
      </c>
      <c r="AV74" s="6"/>
      <c r="AW74" s="6" t="s">
        <v>426</v>
      </c>
      <c r="AX74" s="6">
        <v>0.2</v>
      </c>
      <c r="AY74" s="6" t="s">
        <v>426</v>
      </c>
      <c r="AZ74" s="6">
        <v>1</v>
      </c>
      <c r="BA74" s="6" t="s">
        <v>426</v>
      </c>
      <c r="BB74" s="6">
        <v>0.2</v>
      </c>
      <c r="BC74" s="6" t="s">
        <v>426</v>
      </c>
      <c r="BD74" s="6">
        <v>1</v>
      </c>
      <c r="BE74" s="6" t="s">
        <v>426</v>
      </c>
      <c r="BF74" s="6">
        <v>7</v>
      </c>
      <c r="BG74" s="6" t="s">
        <v>426</v>
      </c>
      <c r="BH74" s="6">
        <v>0.2</v>
      </c>
      <c r="BI74" s="6" t="s">
        <v>426</v>
      </c>
      <c r="BJ74" s="6">
        <v>0.8</v>
      </c>
      <c r="BK74" s="6" t="s">
        <v>426</v>
      </c>
      <c r="BL74" s="6">
        <v>0.8</v>
      </c>
      <c r="BM74" s="6" t="s">
        <v>426</v>
      </c>
      <c r="BN74" s="6">
        <v>20</v>
      </c>
      <c r="BO74" s="6" t="s">
        <v>426</v>
      </c>
      <c r="BP74" s="6">
        <v>0.2</v>
      </c>
      <c r="BQ74" s="6" t="s">
        <v>426</v>
      </c>
      <c r="BR74" s="6">
        <v>200</v>
      </c>
      <c r="BS74" s="6" t="s">
        <v>426</v>
      </c>
      <c r="BT74" s="6">
        <v>5</v>
      </c>
      <c r="BU74" s="6" t="s">
        <v>426</v>
      </c>
      <c r="BV74" s="15">
        <v>0.2</v>
      </c>
      <c r="BW74" s="15" t="s">
        <v>428</v>
      </c>
      <c r="BX74" s="15" t="s">
        <v>429</v>
      </c>
      <c r="BY74" s="6" t="s">
        <v>430</v>
      </c>
      <c r="BZ74" s="6" t="s">
        <v>430</v>
      </c>
      <c r="CA74" s="6" t="s">
        <v>430</v>
      </c>
      <c r="CB74" s="6" t="s">
        <v>487</v>
      </c>
      <c r="CC74" s="6" t="s">
        <v>430</v>
      </c>
      <c r="CD74" s="6" t="s">
        <v>430</v>
      </c>
      <c r="CE74" s="6" t="s">
        <v>431</v>
      </c>
      <c r="CF74" s="6" t="s">
        <v>430</v>
      </c>
      <c r="CG74" s="6" t="s">
        <v>431</v>
      </c>
      <c r="CH74" s="6" t="s">
        <v>431</v>
      </c>
      <c r="CI74" s="6" t="s">
        <v>430</v>
      </c>
      <c r="CJ74" s="6" t="s">
        <v>430</v>
      </c>
      <c r="CK74" s="6" t="s">
        <v>430</v>
      </c>
      <c r="CL74" s="6" t="s">
        <v>430</v>
      </c>
      <c r="CM74" s="6" t="s">
        <v>430</v>
      </c>
      <c r="CN74" s="6" t="s">
        <v>431</v>
      </c>
      <c r="CO74" s="15" t="s">
        <v>431</v>
      </c>
      <c r="CP74" s="15" t="s">
        <v>432</v>
      </c>
      <c r="CQ74" s="6" t="s">
        <v>433</v>
      </c>
      <c r="CR74" s="15"/>
      <c r="CS74" s="6" t="s">
        <v>426</v>
      </c>
      <c r="CT74" s="6" t="s">
        <v>1675</v>
      </c>
      <c r="CU74" s="6" t="s">
        <v>1676</v>
      </c>
      <c r="CV74" s="6" t="s">
        <v>1091</v>
      </c>
      <c r="CW74" s="6" t="s">
        <v>1088</v>
      </c>
      <c r="CX74" s="15" t="s">
        <v>426</v>
      </c>
      <c r="CY74" s="6" t="s">
        <v>426</v>
      </c>
      <c r="CZ74" s="6" t="s">
        <v>1677</v>
      </c>
      <c r="DA74" s="6" t="s">
        <v>1678</v>
      </c>
      <c r="DB74" s="6" t="s">
        <v>766</v>
      </c>
      <c r="DC74" s="6" t="s">
        <v>736</v>
      </c>
      <c r="DD74" s="15" t="s">
        <v>1679</v>
      </c>
      <c r="DE74" s="15" t="s">
        <v>521</v>
      </c>
      <c r="DF74" s="6" t="s">
        <v>611</v>
      </c>
      <c r="DG74" s="6">
        <v>1</v>
      </c>
      <c r="DH74" s="6">
        <v>1</v>
      </c>
      <c r="DI74" s="6">
        <v>0</v>
      </c>
      <c r="DJ74" s="6">
        <v>0</v>
      </c>
      <c r="DK74" s="6">
        <v>0</v>
      </c>
      <c r="DL74" s="6">
        <v>0</v>
      </c>
      <c r="DM74" s="6"/>
      <c r="DN74" s="6"/>
      <c r="DO74" s="6"/>
      <c r="DP74" s="6"/>
      <c r="DQ74" s="6"/>
      <c r="DR74" s="6"/>
      <c r="DS74" s="6"/>
      <c r="DT74" s="66"/>
      <c r="DU74" s="6" t="s">
        <v>438</v>
      </c>
      <c r="DV74" s="6" t="s">
        <v>426</v>
      </c>
      <c r="DW74" s="6" t="s">
        <v>439</v>
      </c>
      <c r="DX74" s="6" t="s">
        <v>491</v>
      </c>
      <c r="DY74" s="6"/>
      <c r="DZ74" s="6" t="s">
        <v>940</v>
      </c>
      <c r="EA74" s="6">
        <v>1</v>
      </c>
      <c r="EB74" s="6">
        <v>1</v>
      </c>
      <c r="EC74" s="6">
        <v>1</v>
      </c>
      <c r="ED74" s="6">
        <v>1</v>
      </c>
      <c r="EE74" s="6">
        <v>0</v>
      </c>
      <c r="EF74" s="6">
        <v>0</v>
      </c>
      <c r="EG74" s="6">
        <v>0</v>
      </c>
      <c r="EH74" s="6">
        <v>0</v>
      </c>
      <c r="EI74" s="6"/>
      <c r="EJ74" s="6" t="s">
        <v>1680</v>
      </c>
      <c r="EK74" s="6">
        <v>1</v>
      </c>
      <c r="EL74" s="6">
        <v>1</v>
      </c>
      <c r="EM74" s="6">
        <v>1</v>
      </c>
      <c r="EN74" s="6">
        <v>1</v>
      </c>
      <c r="EO74" s="6">
        <v>1</v>
      </c>
      <c r="EP74" s="6">
        <v>0</v>
      </c>
      <c r="EQ74" s="6">
        <v>0</v>
      </c>
      <c r="ER74" s="6">
        <v>0</v>
      </c>
      <c r="ES74" s="6">
        <v>0</v>
      </c>
      <c r="ET74" s="6"/>
      <c r="EU74" s="6" t="s">
        <v>494</v>
      </c>
      <c r="EV74" s="6" t="s">
        <v>444</v>
      </c>
      <c r="EW74" s="6"/>
      <c r="EX74" s="6" t="s">
        <v>445</v>
      </c>
      <c r="EY74" s="6">
        <v>0</v>
      </c>
      <c r="EZ74" s="6">
        <v>0</v>
      </c>
      <c r="FA74" s="6">
        <v>1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/>
      <c r="FH74" s="6" t="s">
        <v>446</v>
      </c>
      <c r="FI74" s="6">
        <v>1</v>
      </c>
      <c r="FJ74" s="6">
        <v>0</v>
      </c>
      <c r="FK74" s="6">
        <v>0</v>
      </c>
      <c r="FL74" s="6">
        <v>0</v>
      </c>
      <c r="FM74" s="6">
        <v>1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/>
      <c r="FT74" s="6" t="s">
        <v>447</v>
      </c>
      <c r="FU74" s="6" t="s">
        <v>448</v>
      </c>
      <c r="FV74" s="6"/>
      <c r="FW74" s="6" t="s">
        <v>449</v>
      </c>
      <c r="FX74" s="15" t="s">
        <v>528</v>
      </c>
      <c r="FY74" s="6" t="s">
        <v>451</v>
      </c>
      <c r="FZ74" s="6"/>
      <c r="GA74" s="6" t="s">
        <v>528</v>
      </c>
      <c r="GB74" s="6" t="s">
        <v>452</v>
      </c>
      <c r="GC74" s="6" t="s">
        <v>453</v>
      </c>
      <c r="GD74" s="6"/>
      <c r="GE74" s="6" t="s">
        <v>454</v>
      </c>
      <c r="GF74" s="6" t="s">
        <v>1681</v>
      </c>
      <c r="GG74" s="6" t="s">
        <v>456</v>
      </c>
      <c r="GH74" s="15" t="s">
        <v>1682</v>
      </c>
      <c r="GI74" s="6" t="s">
        <v>458</v>
      </c>
      <c r="GJ74" s="6" t="s">
        <v>1144</v>
      </c>
      <c r="GK74" s="6" t="s">
        <v>460</v>
      </c>
      <c r="GL74" s="6" t="s">
        <v>461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1</v>
      </c>
      <c r="GS74" s="6">
        <v>0</v>
      </c>
      <c r="GT74" s="6"/>
      <c r="GU74" s="6" t="s">
        <v>462</v>
      </c>
      <c r="GV74" s="6" t="s">
        <v>463</v>
      </c>
      <c r="GW74" s="6" t="s">
        <v>464</v>
      </c>
      <c r="GX74" s="6">
        <v>1</v>
      </c>
      <c r="GY74" s="6">
        <v>0</v>
      </c>
      <c r="GZ74" s="6">
        <v>0</v>
      </c>
      <c r="HA74" s="6">
        <v>0</v>
      </c>
      <c r="HB74" s="6">
        <v>0</v>
      </c>
      <c r="HC74" s="6">
        <v>0</v>
      </c>
      <c r="HD74" s="6"/>
      <c r="HE74" s="6" t="s">
        <v>535</v>
      </c>
      <c r="HF74" s="6">
        <v>1</v>
      </c>
      <c r="HG74" s="6">
        <v>0</v>
      </c>
      <c r="HH74" s="6">
        <v>0</v>
      </c>
      <c r="HI74" s="6">
        <v>0</v>
      </c>
      <c r="HJ74" s="6">
        <v>0</v>
      </c>
      <c r="HK74" s="6">
        <v>0</v>
      </c>
      <c r="HL74" s="15"/>
      <c r="HM74" s="6" t="s">
        <v>466</v>
      </c>
      <c r="HN74" s="6"/>
      <c r="HO74" s="6" t="s">
        <v>1683</v>
      </c>
      <c r="HP74" s="6" t="s">
        <v>468</v>
      </c>
      <c r="HQ74" s="6"/>
      <c r="HR74" s="6" t="s">
        <v>1684</v>
      </c>
      <c r="HS74" s="6" t="s">
        <v>470</v>
      </c>
      <c r="HT74" s="6">
        <v>0</v>
      </c>
      <c r="HU74" s="6">
        <v>0</v>
      </c>
      <c r="HV74" s="6">
        <v>0</v>
      </c>
      <c r="HW74" s="6">
        <v>0</v>
      </c>
      <c r="HX74" s="6">
        <v>1</v>
      </c>
      <c r="HY74" s="6">
        <v>0</v>
      </c>
      <c r="HZ74" s="6"/>
      <c r="IA74" s="6" t="s">
        <v>1491</v>
      </c>
      <c r="IB74" s="6">
        <v>1</v>
      </c>
      <c r="IC74" s="6">
        <v>0</v>
      </c>
      <c r="ID74" s="6">
        <v>1</v>
      </c>
      <c r="IE74" s="6">
        <v>0</v>
      </c>
      <c r="IF74" s="6">
        <v>0</v>
      </c>
      <c r="IG74" s="6">
        <v>0</v>
      </c>
      <c r="IH74" s="15" t="s">
        <v>1685</v>
      </c>
      <c r="II74" s="6" t="s">
        <v>426</v>
      </c>
      <c r="IJ74" s="6" t="s">
        <v>472</v>
      </c>
      <c r="IK74" s="6">
        <v>1</v>
      </c>
      <c r="IL74" s="6">
        <v>0</v>
      </c>
      <c r="IM74" s="6">
        <v>0</v>
      </c>
      <c r="IN74" s="6"/>
      <c r="IO74" s="6" t="s">
        <v>473</v>
      </c>
      <c r="IP74" s="6">
        <v>1</v>
      </c>
      <c r="IQ74" s="6">
        <v>0</v>
      </c>
      <c r="IR74" s="6">
        <v>0</v>
      </c>
      <c r="IS74" s="6">
        <v>0</v>
      </c>
      <c r="IT74" s="6">
        <v>0</v>
      </c>
      <c r="IU74" s="6">
        <v>0</v>
      </c>
      <c r="IV74" s="6"/>
      <c r="IW74" s="6" t="s">
        <v>426</v>
      </c>
      <c r="IX74" s="6">
        <v>1</v>
      </c>
      <c r="IY74" s="6" t="s">
        <v>474</v>
      </c>
      <c r="IZ74" s="6" t="s">
        <v>475</v>
      </c>
      <c r="JA74" s="6" t="s">
        <v>426</v>
      </c>
      <c r="JB74" s="6" t="s">
        <v>476</v>
      </c>
      <c r="JC74" s="6"/>
      <c r="JD74" s="6"/>
      <c r="JE74" s="6"/>
      <c r="JF74" s="6"/>
      <c r="JG74" s="6"/>
      <c r="JH74" s="6"/>
      <c r="JI74" s="6"/>
      <c r="JJ74" s="6"/>
      <c r="JK74" s="6" t="s">
        <v>426</v>
      </c>
      <c r="JL74" s="6" t="s">
        <v>426</v>
      </c>
      <c r="JM74" s="6"/>
      <c r="JN74" s="6"/>
      <c r="JO74" s="6"/>
      <c r="JP74" s="6"/>
      <c r="JQ74" s="6"/>
      <c r="JR74" s="6"/>
      <c r="JS74" s="6"/>
      <c r="JT74" s="6"/>
      <c r="JU74" s="6" t="s">
        <v>477</v>
      </c>
      <c r="JV74" s="15"/>
      <c r="JW74" s="94" t="s">
        <v>1686</v>
      </c>
      <c r="JX74" s="6" t="s">
        <v>1687</v>
      </c>
      <c r="JY74" s="6">
        <v>0.5869767</v>
      </c>
      <c r="JZ74" s="6">
        <v>34.45659</v>
      </c>
      <c r="KA74" s="6">
        <v>1323.6</v>
      </c>
      <c r="KB74" s="15">
        <v>5</v>
      </c>
      <c r="KC74" s="15"/>
    </row>
    <row r="75" spans="1:289">
      <c r="A75" s="6" t="s">
        <v>547</v>
      </c>
      <c r="B75" s="6" t="s">
        <v>420</v>
      </c>
      <c r="C75" s="6" t="s">
        <v>1608</v>
      </c>
      <c r="D75" s="6" t="s">
        <v>1620</v>
      </c>
      <c r="E75" s="6" t="s">
        <v>1688</v>
      </c>
      <c r="F75" s="8" t="s">
        <v>483</v>
      </c>
      <c r="G75" s="6" t="s">
        <v>567</v>
      </c>
      <c r="H75" s="6" t="s">
        <v>517</v>
      </c>
      <c r="I75" s="15"/>
      <c r="J75" s="6" t="s">
        <v>426</v>
      </c>
      <c r="K75" s="6" t="s">
        <v>426</v>
      </c>
      <c r="L75" s="6" t="s">
        <v>426</v>
      </c>
      <c r="M75" s="6" t="s">
        <v>426</v>
      </c>
      <c r="N75" s="6" t="s">
        <v>426</v>
      </c>
      <c r="O75" s="6" t="s">
        <v>426</v>
      </c>
      <c r="P75" s="6" t="s">
        <v>426</v>
      </c>
      <c r="Q75" s="6" t="s">
        <v>426</v>
      </c>
      <c r="R75" s="6" t="s">
        <v>426</v>
      </c>
      <c r="S75" s="6" t="s">
        <v>426</v>
      </c>
      <c r="T75" s="6" t="s">
        <v>426</v>
      </c>
      <c r="U75" s="6" t="s">
        <v>426</v>
      </c>
      <c r="V75" s="6" t="s">
        <v>426</v>
      </c>
      <c r="W75" s="6" t="s">
        <v>426</v>
      </c>
      <c r="X75" s="6" t="s">
        <v>426</v>
      </c>
      <c r="Y75" s="6" t="s">
        <v>426</v>
      </c>
      <c r="Z75" s="6" t="s">
        <v>426</v>
      </c>
      <c r="AA75" s="6" t="s">
        <v>426</v>
      </c>
      <c r="AB75" s="6" t="s">
        <v>426</v>
      </c>
      <c r="AC75" s="15" t="s">
        <v>426</v>
      </c>
      <c r="AD75" s="6" t="s">
        <v>427</v>
      </c>
      <c r="AE75" s="6">
        <v>0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0</v>
      </c>
      <c r="AM75" s="6"/>
      <c r="AN75" s="15"/>
      <c r="AO75" s="6" t="s">
        <v>426</v>
      </c>
      <c r="AP75" s="6" t="s">
        <v>1367</v>
      </c>
      <c r="AQ75" s="6" t="s">
        <v>426</v>
      </c>
      <c r="AR75" s="6" t="s">
        <v>766</v>
      </c>
      <c r="AS75" s="6" t="s">
        <v>426</v>
      </c>
      <c r="AT75" s="6">
        <v>0.4</v>
      </c>
      <c r="AU75" s="6" t="s">
        <v>426</v>
      </c>
      <c r="AV75" s="6">
        <v>0.2</v>
      </c>
      <c r="AW75" s="6" t="s">
        <v>426</v>
      </c>
      <c r="AX75" s="6">
        <v>0.2</v>
      </c>
      <c r="AY75" s="6" t="s">
        <v>426</v>
      </c>
      <c r="AZ75" s="6">
        <v>1</v>
      </c>
      <c r="BA75" s="6" t="s">
        <v>426</v>
      </c>
      <c r="BB75" s="6">
        <v>0.8</v>
      </c>
      <c r="BC75" s="6" t="s">
        <v>426</v>
      </c>
      <c r="BD75" s="6">
        <v>0.2</v>
      </c>
      <c r="BE75" s="6" t="s">
        <v>426</v>
      </c>
      <c r="BF75" s="6">
        <v>5</v>
      </c>
      <c r="BG75" s="6" t="s">
        <v>426</v>
      </c>
      <c r="BH75" s="6">
        <v>0.4</v>
      </c>
      <c r="BI75" s="6" t="s">
        <v>426</v>
      </c>
      <c r="BJ75" s="6">
        <v>0.75</v>
      </c>
      <c r="BK75" s="6" t="s">
        <v>426</v>
      </c>
      <c r="BL75" s="6">
        <v>0.75</v>
      </c>
      <c r="BM75" s="6" t="s">
        <v>426</v>
      </c>
      <c r="BN75" s="6">
        <v>20</v>
      </c>
      <c r="BO75" s="6" t="s">
        <v>426</v>
      </c>
      <c r="BP75" s="6">
        <v>0.4</v>
      </c>
      <c r="BQ75" s="6" t="s">
        <v>426</v>
      </c>
      <c r="BR75" s="6">
        <v>100</v>
      </c>
      <c r="BS75" s="6" t="s">
        <v>426</v>
      </c>
      <c r="BT75" s="6">
        <v>40</v>
      </c>
      <c r="BU75" s="6" t="s">
        <v>426</v>
      </c>
      <c r="BV75" s="15">
        <v>0.4</v>
      </c>
      <c r="BW75" s="15" t="s">
        <v>1689</v>
      </c>
      <c r="BX75" s="15" t="s">
        <v>429</v>
      </c>
      <c r="BY75" s="6" t="s">
        <v>430</v>
      </c>
      <c r="BZ75" s="6" t="s">
        <v>430</v>
      </c>
      <c r="CA75" s="6" t="s">
        <v>430</v>
      </c>
      <c r="CB75" s="6" t="s">
        <v>430</v>
      </c>
      <c r="CC75" s="6" t="s">
        <v>430</v>
      </c>
      <c r="CD75" s="6" t="s">
        <v>430</v>
      </c>
      <c r="CE75" s="6" t="s">
        <v>430</v>
      </c>
      <c r="CF75" s="6" t="s">
        <v>430</v>
      </c>
      <c r="CG75" s="6" t="s">
        <v>430</v>
      </c>
      <c r="CH75" s="6" t="s">
        <v>430</v>
      </c>
      <c r="CI75" s="6" t="s">
        <v>430</v>
      </c>
      <c r="CJ75" s="6" t="s">
        <v>430</v>
      </c>
      <c r="CK75" s="6" t="s">
        <v>430</v>
      </c>
      <c r="CL75" s="6" t="s">
        <v>430</v>
      </c>
      <c r="CM75" s="6" t="s">
        <v>430</v>
      </c>
      <c r="CN75" s="6" t="s">
        <v>430</v>
      </c>
      <c r="CO75" s="15" t="s">
        <v>430</v>
      </c>
      <c r="CP75" s="15" t="s">
        <v>432</v>
      </c>
      <c r="CQ75" s="6" t="s">
        <v>433</v>
      </c>
      <c r="CR75" s="15"/>
      <c r="CS75" s="6" t="s">
        <v>426</v>
      </c>
      <c r="CT75" s="6" t="s">
        <v>1690</v>
      </c>
      <c r="CU75" s="6" t="s">
        <v>1087</v>
      </c>
      <c r="CV75" s="6" t="s">
        <v>789</v>
      </c>
      <c r="CW75" s="6" t="s">
        <v>1691</v>
      </c>
      <c r="CX75" s="15" t="s">
        <v>453</v>
      </c>
      <c r="CY75" s="6"/>
      <c r="CZ75" s="6"/>
      <c r="DA75" s="6"/>
      <c r="DB75" s="6"/>
      <c r="DC75" s="6"/>
      <c r="DD75" s="15"/>
      <c r="DE75" s="15" t="s">
        <v>436</v>
      </c>
      <c r="DF75" s="6" t="s">
        <v>522</v>
      </c>
      <c r="DG75" s="6">
        <v>0</v>
      </c>
      <c r="DH75" s="6">
        <v>1</v>
      </c>
      <c r="DI75" s="6">
        <v>0</v>
      </c>
      <c r="DJ75" s="6">
        <v>0</v>
      </c>
      <c r="DK75" s="6">
        <v>0</v>
      </c>
      <c r="DL75" s="6">
        <v>0</v>
      </c>
      <c r="DM75" s="6"/>
      <c r="DN75" s="6"/>
      <c r="DO75" s="6"/>
      <c r="DP75" s="6"/>
      <c r="DQ75" s="6"/>
      <c r="DR75" s="6"/>
      <c r="DS75" s="6"/>
      <c r="DT75" s="66"/>
      <c r="DU75" s="6" t="s">
        <v>438</v>
      </c>
      <c r="DV75" s="6" t="s">
        <v>426</v>
      </c>
      <c r="DW75" s="6" t="s">
        <v>490</v>
      </c>
      <c r="DX75" s="6" t="s">
        <v>440</v>
      </c>
      <c r="DY75" s="6"/>
      <c r="DZ75" s="6" t="s">
        <v>810</v>
      </c>
      <c r="EA75" s="6">
        <v>0</v>
      </c>
      <c r="EB75" s="6">
        <v>1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/>
      <c r="EJ75" s="6" t="s">
        <v>1692</v>
      </c>
      <c r="EK75" s="6">
        <v>0</v>
      </c>
      <c r="EL75" s="6">
        <v>0</v>
      </c>
      <c r="EM75" s="6">
        <v>1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/>
      <c r="EU75" s="6" t="s">
        <v>443</v>
      </c>
      <c r="EV75" s="6" t="s">
        <v>588</v>
      </c>
      <c r="EW75" s="6"/>
      <c r="EX75" s="6" t="s">
        <v>445</v>
      </c>
      <c r="EY75" s="6">
        <v>0</v>
      </c>
      <c r="EZ75" s="6">
        <v>0</v>
      </c>
      <c r="FA75" s="6">
        <v>1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/>
      <c r="FH75" s="6" t="s">
        <v>1693</v>
      </c>
      <c r="FI75" s="6">
        <v>1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1</v>
      </c>
      <c r="FP75" s="6">
        <v>0</v>
      </c>
      <c r="FQ75" s="6">
        <v>0</v>
      </c>
      <c r="FR75" s="6">
        <v>0</v>
      </c>
      <c r="FS75" s="6"/>
      <c r="FT75" s="6" t="s">
        <v>556</v>
      </c>
      <c r="FU75" s="6" t="s">
        <v>499</v>
      </c>
      <c r="FV75" s="6"/>
      <c r="FW75" s="6" t="s">
        <v>449</v>
      </c>
      <c r="FX75" s="15" t="s">
        <v>450</v>
      </c>
      <c r="FY75" s="6" t="s">
        <v>537</v>
      </c>
      <c r="FZ75" s="6" t="s">
        <v>1694</v>
      </c>
      <c r="GA75" s="6" t="s">
        <v>450</v>
      </c>
      <c r="GB75" s="6" t="s">
        <v>501</v>
      </c>
      <c r="GC75" s="6" t="s">
        <v>453</v>
      </c>
      <c r="GD75" s="6"/>
      <c r="GE75" s="6" t="s">
        <v>454</v>
      </c>
      <c r="GF75" s="6" t="s">
        <v>1695</v>
      </c>
      <c r="GG75" s="6" t="s">
        <v>456</v>
      </c>
      <c r="GH75" s="15" t="s">
        <v>1696</v>
      </c>
      <c r="GI75" s="6" t="s">
        <v>458</v>
      </c>
      <c r="GJ75" s="6" t="s">
        <v>1697</v>
      </c>
      <c r="GK75" s="6" t="s">
        <v>460</v>
      </c>
      <c r="GL75" s="6" t="s">
        <v>461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1</v>
      </c>
      <c r="GS75" s="6">
        <v>0</v>
      </c>
      <c r="GT75" s="6"/>
      <c r="GU75" s="6" t="s">
        <v>534</v>
      </c>
      <c r="GV75" s="6" t="s">
        <v>559</v>
      </c>
      <c r="GW75" s="6" t="s">
        <v>464</v>
      </c>
      <c r="GX75" s="6">
        <v>1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/>
      <c r="HE75" s="6" t="s">
        <v>111</v>
      </c>
      <c r="HF75" s="6">
        <v>0</v>
      </c>
      <c r="HG75" s="6">
        <v>0</v>
      </c>
      <c r="HH75" s="6">
        <v>0</v>
      </c>
      <c r="HI75" s="6">
        <v>1</v>
      </c>
      <c r="HJ75" s="6">
        <v>0</v>
      </c>
      <c r="HK75" s="6">
        <v>0</v>
      </c>
      <c r="HL75" s="15"/>
      <c r="HM75" s="6" t="s">
        <v>1016</v>
      </c>
      <c r="HN75" s="6"/>
      <c r="HO75" s="6" t="s">
        <v>1698</v>
      </c>
      <c r="HP75" s="6" t="s">
        <v>537</v>
      </c>
      <c r="HQ75" s="6" t="s">
        <v>817</v>
      </c>
      <c r="HR75" s="6" t="s">
        <v>817</v>
      </c>
      <c r="HS75" s="6" t="s">
        <v>470</v>
      </c>
      <c r="HT75" s="6">
        <v>0</v>
      </c>
      <c r="HU75" s="6">
        <v>0</v>
      </c>
      <c r="HV75" s="6">
        <v>0</v>
      </c>
      <c r="HW75" s="6">
        <v>0</v>
      </c>
      <c r="HX75" s="6">
        <v>1</v>
      </c>
      <c r="HY75" s="6">
        <v>0</v>
      </c>
      <c r="HZ75" s="6"/>
      <c r="IA75" s="6" t="s">
        <v>112</v>
      </c>
      <c r="IB75" s="6">
        <v>0</v>
      </c>
      <c r="IC75" s="6">
        <v>1</v>
      </c>
      <c r="ID75" s="6">
        <v>0</v>
      </c>
      <c r="IE75" s="6">
        <v>0</v>
      </c>
      <c r="IF75" s="6">
        <v>0</v>
      </c>
      <c r="IG75" s="6">
        <v>0</v>
      </c>
      <c r="IH75" s="15" t="s">
        <v>1699</v>
      </c>
      <c r="II75" s="6" t="s">
        <v>426</v>
      </c>
      <c r="IJ75" s="6" t="s">
        <v>472</v>
      </c>
      <c r="IK75" s="6">
        <v>1</v>
      </c>
      <c r="IL75" s="6">
        <v>0</v>
      </c>
      <c r="IM75" s="6">
        <v>0</v>
      </c>
      <c r="IN75" s="6"/>
      <c r="IO75" s="6" t="s">
        <v>473</v>
      </c>
      <c r="IP75" s="6">
        <v>1</v>
      </c>
      <c r="IQ75" s="6">
        <v>0</v>
      </c>
      <c r="IR75" s="6">
        <v>0</v>
      </c>
      <c r="IS75" s="6">
        <v>0</v>
      </c>
      <c r="IT75" s="6">
        <v>0</v>
      </c>
      <c r="IU75" s="6">
        <v>0</v>
      </c>
      <c r="IV75" s="6"/>
      <c r="IW75" s="6" t="s">
        <v>426</v>
      </c>
      <c r="IX75" s="6">
        <v>1</v>
      </c>
      <c r="IY75" s="6" t="s">
        <v>474</v>
      </c>
      <c r="IZ75" s="6" t="s">
        <v>475</v>
      </c>
      <c r="JA75" s="6" t="s">
        <v>426</v>
      </c>
      <c r="JB75" s="6" t="s">
        <v>476</v>
      </c>
      <c r="JC75" s="6"/>
      <c r="JD75" s="6"/>
      <c r="JE75" s="6"/>
      <c r="JF75" s="6"/>
      <c r="JG75" s="6"/>
      <c r="JH75" s="6"/>
      <c r="JI75" s="6"/>
      <c r="JJ75" s="6"/>
      <c r="JK75" s="6" t="s">
        <v>453</v>
      </c>
      <c r="JL75" s="6"/>
      <c r="JM75" s="6"/>
      <c r="JN75" s="6"/>
      <c r="JO75" s="6"/>
      <c r="JP75" s="6"/>
      <c r="JQ75" s="6"/>
      <c r="JR75" s="6"/>
      <c r="JS75" s="6"/>
      <c r="JT75" s="6"/>
      <c r="JU75" s="6" t="s">
        <v>477</v>
      </c>
      <c r="JV75" s="15"/>
      <c r="JW75" s="94" t="s">
        <v>1700</v>
      </c>
      <c r="JX75" s="6" t="s">
        <v>1701</v>
      </c>
      <c r="JY75" s="6">
        <v>0.5982188</v>
      </c>
      <c r="JZ75" s="6">
        <v>34.4679097</v>
      </c>
      <c r="KA75" s="6">
        <v>1337.4</v>
      </c>
      <c r="KB75" s="15">
        <v>4.775</v>
      </c>
      <c r="KC75" s="15"/>
    </row>
    <row r="76" spans="1:289">
      <c r="A76" s="6" t="s">
        <v>864</v>
      </c>
      <c r="B76" s="6" t="s">
        <v>420</v>
      </c>
      <c r="C76" s="6" t="s">
        <v>1608</v>
      </c>
      <c r="D76" s="6" t="s">
        <v>1702</v>
      </c>
      <c r="E76" s="6" t="s">
        <v>1703</v>
      </c>
      <c r="F76" s="8" t="s">
        <v>423</v>
      </c>
      <c r="G76" s="6" t="s">
        <v>567</v>
      </c>
      <c r="H76" s="6" t="s">
        <v>517</v>
      </c>
      <c r="I76" s="15"/>
      <c r="J76" s="6" t="s">
        <v>426</v>
      </c>
      <c r="K76" s="6" t="s">
        <v>426</v>
      </c>
      <c r="L76" s="6" t="s">
        <v>426</v>
      </c>
      <c r="M76" s="6" t="s">
        <v>426</v>
      </c>
      <c r="N76" s="6" t="s">
        <v>426</v>
      </c>
      <c r="O76" s="6" t="s">
        <v>426</v>
      </c>
      <c r="P76" s="6" t="s">
        <v>426</v>
      </c>
      <c r="Q76" s="6" t="s">
        <v>426</v>
      </c>
      <c r="R76" s="6" t="s">
        <v>426</v>
      </c>
      <c r="S76" s="6" t="s">
        <v>426</v>
      </c>
      <c r="T76" s="6" t="s">
        <v>426</v>
      </c>
      <c r="U76" s="6" t="s">
        <v>426</v>
      </c>
      <c r="V76" s="6" t="s">
        <v>426</v>
      </c>
      <c r="W76" s="6" t="s">
        <v>453</v>
      </c>
      <c r="X76" s="6" t="s">
        <v>426</v>
      </c>
      <c r="Y76" s="6" t="s">
        <v>426</v>
      </c>
      <c r="Z76" s="6" t="s">
        <v>426</v>
      </c>
      <c r="AA76" s="6" t="s">
        <v>426</v>
      </c>
      <c r="AB76" s="6" t="s">
        <v>426</v>
      </c>
      <c r="AC76" s="15" t="s">
        <v>426</v>
      </c>
      <c r="AD76" s="6" t="s">
        <v>952</v>
      </c>
      <c r="AE76" s="6">
        <v>0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</v>
      </c>
      <c r="AL76" s="6">
        <v>0</v>
      </c>
      <c r="AM76" s="6"/>
      <c r="AN76" s="15"/>
      <c r="AO76" s="6" t="s">
        <v>426</v>
      </c>
      <c r="AP76" s="6" t="s">
        <v>688</v>
      </c>
      <c r="AQ76" s="6" t="s">
        <v>426</v>
      </c>
      <c r="AR76" s="6" t="s">
        <v>766</v>
      </c>
      <c r="AS76" s="6" t="s">
        <v>426</v>
      </c>
      <c r="AT76" s="6">
        <v>0.4</v>
      </c>
      <c r="AU76" s="6" t="s">
        <v>426</v>
      </c>
      <c r="AV76" s="6">
        <v>0.2</v>
      </c>
      <c r="AW76" s="6" t="s">
        <v>426</v>
      </c>
      <c r="AX76" s="6">
        <v>0.6</v>
      </c>
      <c r="AY76" s="6" t="s">
        <v>426</v>
      </c>
      <c r="AZ76" s="6">
        <v>1</v>
      </c>
      <c r="BA76" s="6" t="s">
        <v>453</v>
      </c>
      <c r="BB76" s="6"/>
      <c r="BC76" s="6" t="s">
        <v>426</v>
      </c>
      <c r="BD76" s="6">
        <v>0.4</v>
      </c>
      <c r="BE76" s="6" t="s">
        <v>453</v>
      </c>
      <c r="BF76" s="6"/>
      <c r="BG76" s="6" t="s">
        <v>426</v>
      </c>
      <c r="BH76" s="6">
        <v>0.2</v>
      </c>
      <c r="BI76" s="6" t="s">
        <v>426</v>
      </c>
      <c r="BJ76" s="6">
        <v>0.4</v>
      </c>
      <c r="BK76" s="6" t="s">
        <v>426</v>
      </c>
      <c r="BL76" s="6">
        <v>0.4</v>
      </c>
      <c r="BM76" s="6" t="s">
        <v>426</v>
      </c>
      <c r="BN76" s="6">
        <v>30</v>
      </c>
      <c r="BO76" s="6" t="s">
        <v>426</v>
      </c>
      <c r="BP76" s="6">
        <v>0.1</v>
      </c>
      <c r="BQ76" s="6" t="s">
        <v>453</v>
      </c>
      <c r="BR76" s="6"/>
      <c r="BS76" s="6" t="s">
        <v>453</v>
      </c>
      <c r="BT76" s="6"/>
      <c r="BU76" s="6" t="s">
        <v>426</v>
      </c>
      <c r="BV76" s="15">
        <v>0.2</v>
      </c>
      <c r="BW76" s="15" t="s">
        <v>428</v>
      </c>
      <c r="BX76" s="15" t="s">
        <v>429</v>
      </c>
      <c r="BY76" s="6" t="s">
        <v>430</v>
      </c>
      <c r="BZ76" s="6" t="s">
        <v>430</v>
      </c>
      <c r="CA76" s="6" t="s">
        <v>430</v>
      </c>
      <c r="CB76" s="6" t="s">
        <v>430</v>
      </c>
      <c r="CC76" s="6" t="s">
        <v>430</v>
      </c>
      <c r="CD76" s="6" t="s">
        <v>430</v>
      </c>
      <c r="CE76" s="6" t="s">
        <v>487</v>
      </c>
      <c r="CF76" s="6" t="s">
        <v>430</v>
      </c>
      <c r="CG76" s="6" t="s">
        <v>487</v>
      </c>
      <c r="CH76" s="6" t="s">
        <v>430</v>
      </c>
      <c r="CI76" s="6" t="s">
        <v>430</v>
      </c>
      <c r="CJ76" s="6" t="s">
        <v>431</v>
      </c>
      <c r="CK76" s="6" t="s">
        <v>430</v>
      </c>
      <c r="CL76" s="6" t="s">
        <v>430</v>
      </c>
      <c r="CM76" s="6" t="s">
        <v>431</v>
      </c>
      <c r="CN76" s="6" t="s">
        <v>487</v>
      </c>
      <c r="CO76" s="15" t="s">
        <v>430</v>
      </c>
      <c r="CP76" s="15" t="s">
        <v>432</v>
      </c>
      <c r="CQ76" s="6" t="s">
        <v>686</v>
      </c>
      <c r="CR76" s="15"/>
      <c r="CS76" s="6" t="s">
        <v>426</v>
      </c>
      <c r="CT76" s="6" t="s">
        <v>1704</v>
      </c>
      <c r="CU76" s="6" t="s">
        <v>1705</v>
      </c>
      <c r="CV76" s="6" t="s">
        <v>1706</v>
      </c>
      <c r="CW76" s="6" t="s">
        <v>1707</v>
      </c>
      <c r="CX76" s="15" t="s">
        <v>453</v>
      </c>
      <c r="CY76" s="6"/>
      <c r="CZ76" s="6"/>
      <c r="DA76" s="6"/>
      <c r="DB76" s="6"/>
      <c r="DC76" s="6"/>
      <c r="DD76" s="15"/>
      <c r="DE76" s="15" t="s">
        <v>521</v>
      </c>
      <c r="DF76" s="6" t="s">
        <v>522</v>
      </c>
      <c r="DG76" s="6">
        <v>0</v>
      </c>
      <c r="DH76" s="6">
        <v>1</v>
      </c>
      <c r="DI76" s="6">
        <v>0</v>
      </c>
      <c r="DJ76" s="6">
        <v>0</v>
      </c>
      <c r="DK76" s="6">
        <v>0</v>
      </c>
      <c r="DL76" s="6">
        <v>0</v>
      </c>
      <c r="DM76" s="6"/>
      <c r="DN76" s="6"/>
      <c r="DO76" s="6"/>
      <c r="DP76" s="6"/>
      <c r="DQ76" s="6"/>
      <c r="DR76" s="6"/>
      <c r="DS76" s="6"/>
      <c r="DT76" s="66"/>
      <c r="DU76" s="6" t="s">
        <v>438</v>
      </c>
      <c r="DV76" s="6" t="s">
        <v>426</v>
      </c>
      <c r="DW76" s="6" t="s">
        <v>439</v>
      </c>
      <c r="DX76" s="6" t="s">
        <v>491</v>
      </c>
      <c r="DY76" s="6"/>
      <c r="DZ76" s="6" t="s">
        <v>441</v>
      </c>
      <c r="EA76" s="6">
        <v>1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/>
      <c r="EJ76" s="6" t="s">
        <v>811</v>
      </c>
      <c r="EK76" s="6">
        <v>1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/>
      <c r="EU76" s="6" t="s">
        <v>443</v>
      </c>
      <c r="EV76" s="6" t="s">
        <v>554</v>
      </c>
      <c r="EW76" s="6"/>
      <c r="EX76" s="6" t="s">
        <v>1708</v>
      </c>
      <c r="EY76" s="6">
        <v>0</v>
      </c>
      <c r="EZ76" s="6">
        <v>1</v>
      </c>
      <c r="FA76" s="6">
        <v>1</v>
      </c>
      <c r="FB76" s="6">
        <v>0</v>
      </c>
      <c r="FC76" s="6">
        <v>1</v>
      </c>
      <c r="FD76" s="6">
        <v>0</v>
      </c>
      <c r="FE76" s="6">
        <v>0</v>
      </c>
      <c r="FF76" s="6">
        <v>0</v>
      </c>
      <c r="FG76" s="6"/>
      <c r="FH76" s="6" t="s">
        <v>812</v>
      </c>
      <c r="FI76" s="6">
        <v>1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/>
      <c r="FT76" s="6" t="s">
        <v>556</v>
      </c>
      <c r="FU76" s="6" t="s">
        <v>448</v>
      </c>
      <c r="FV76" s="6"/>
      <c r="FW76" s="6" t="s">
        <v>1709</v>
      </c>
      <c r="FX76" s="15" t="s">
        <v>886</v>
      </c>
      <c r="FY76" s="6" t="s">
        <v>529</v>
      </c>
      <c r="FZ76" s="6"/>
      <c r="GA76" s="6" t="s">
        <v>528</v>
      </c>
      <c r="GB76" s="6" t="s">
        <v>501</v>
      </c>
      <c r="GC76" s="6" t="s">
        <v>453</v>
      </c>
      <c r="GD76" s="6"/>
      <c r="GE76" s="6" t="s">
        <v>454</v>
      </c>
      <c r="GF76" s="6" t="s">
        <v>1710</v>
      </c>
      <c r="GG76" s="6" t="s">
        <v>592</v>
      </c>
      <c r="GH76" s="15" t="s">
        <v>1711</v>
      </c>
      <c r="GI76" s="6" t="s">
        <v>458</v>
      </c>
      <c r="GJ76" s="6" t="s">
        <v>1712</v>
      </c>
      <c r="GK76" s="6" t="s">
        <v>460</v>
      </c>
      <c r="GL76" s="6" t="s">
        <v>720</v>
      </c>
      <c r="GM76" s="6">
        <v>1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/>
      <c r="GU76" s="6" t="s">
        <v>534</v>
      </c>
      <c r="GV76" s="6" t="s">
        <v>595</v>
      </c>
      <c r="GW76" s="6" t="s">
        <v>464</v>
      </c>
      <c r="GX76" s="6">
        <v>1</v>
      </c>
      <c r="GY76" s="6">
        <v>0</v>
      </c>
      <c r="GZ76" s="6">
        <v>0</v>
      </c>
      <c r="HA76" s="6">
        <v>0</v>
      </c>
      <c r="HB76" s="6">
        <v>0</v>
      </c>
      <c r="HC76" s="6">
        <v>0</v>
      </c>
      <c r="HD76" s="6"/>
      <c r="HE76" s="6" t="s">
        <v>646</v>
      </c>
      <c r="HF76" s="6">
        <v>0</v>
      </c>
      <c r="HG76" s="6">
        <v>0</v>
      </c>
      <c r="HH76" s="6">
        <v>1</v>
      </c>
      <c r="HI76" s="6">
        <v>0</v>
      </c>
      <c r="HJ76" s="6">
        <v>0</v>
      </c>
      <c r="HK76" s="6">
        <v>0</v>
      </c>
      <c r="HL76" s="15"/>
      <c r="HM76" s="6" t="s">
        <v>1016</v>
      </c>
      <c r="HN76" s="6"/>
      <c r="HO76" s="6" t="s">
        <v>1713</v>
      </c>
      <c r="HP76" s="6" t="s">
        <v>537</v>
      </c>
      <c r="HQ76" s="6" t="s">
        <v>1714</v>
      </c>
      <c r="HR76" s="6" t="s">
        <v>1715</v>
      </c>
      <c r="HS76" s="6" t="s">
        <v>508</v>
      </c>
      <c r="HT76" s="6">
        <v>0</v>
      </c>
      <c r="HU76" s="6">
        <v>0</v>
      </c>
      <c r="HV76" s="6">
        <v>1</v>
      </c>
      <c r="HW76" s="6">
        <v>0</v>
      </c>
      <c r="HX76" s="6">
        <v>0</v>
      </c>
      <c r="HY76" s="6">
        <v>0</v>
      </c>
      <c r="HZ76" s="6"/>
      <c r="IA76" s="6" t="s">
        <v>112</v>
      </c>
      <c r="IB76" s="6">
        <v>0</v>
      </c>
      <c r="IC76" s="6">
        <v>1</v>
      </c>
      <c r="ID76" s="6">
        <v>0</v>
      </c>
      <c r="IE76" s="6">
        <v>0</v>
      </c>
      <c r="IF76" s="6">
        <v>0</v>
      </c>
      <c r="IG76" s="6">
        <v>0</v>
      </c>
      <c r="IH76" s="15" t="s">
        <v>1716</v>
      </c>
      <c r="II76" s="6" t="s">
        <v>426</v>
      </c>
      <c r="IJ76" s="6" t="s">
        <v>472</v>
      </c>
      <c r="IK76" s="6">
        <v>1</v>
      </c>
      <c r="IL76" s="6">
        <v>0</v>
      </c>
      <c r="IM76" s="6">
        <v>0</v>
      </c>
      <c r="IN76" s="6"/>
      <c r="IO76" s="6" t="s">
        <v>473</v>
      </c>
      <c r="IP76" s="6">
        <v>1</v>
      </c>
      <c r="IQ76" s="6">
        <v>0</v>
      </c>
      <c r="IR76" s="6">
        <v>0</v>
      </c>
      <c r="IS76" s="6">
        <v>0</v>
      </c>
      <c r="IT76" s="6">
        <v>0</v>
      </c>
      <c r="IU76" s="6">
        <v>0</v>
      </c>
      <c r="IV76" s="6"/>
      <c r="IW76" s="6" t="s">
        <v>426</v>
      </c>
      <c r="IX76" s="6">
        <v>2</v>
      </c>
      <c r="IY76" s="6" t="s">
        <v>510</v>
      </c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 t="s">
        <v>426</v>
      </c>
      <c r="JL76" s="6" t="s">
        <v>426</v>
      </c>
      <c r="JM76" s="6"/>
      <c r="JN76" s="6"/>
      <c r="JO76" s="6"/>
      <c r="JP76" s="6"/>
      <c r="JQ76" s="6"/>
      <c r="JR76" s="6"/>
      <c r="JS76" s="6"/>
      <c r="JT76" s="6"/>
      <c r="JU76" s="6" t="s">
        <v>895</v>
      </c>
      <c r="JV76" s="15" t="s">
        <v>1717</v>
      </c>
      <c r="JW76" s="94" t="s">
        <v>1718</v>
      </c>
      <c r="JX76" s="6" t="s">
        <v>1719</v>
      </c>
      <c r="JY76" s="6">
        <v>0.5981517</v>
      </c>
      <c r="JZ76" s="6">
        <v>34.467866</v>
      </c>
      <c r="KA76" s="6">
        <v>1307.617</v>
      </c>
      <c r="KB76" s="15">
        <v>1.878</v>
      </c>
      <c r="KC76" s="15"/>
    </row>
    <row r="77" spans="1:289">
      <c r="A77" s="6" t="s">
        <v>581</v>
      </c>
      <c r="B77" s="6" t="s">
        <v>420</v>
      </c>
      <c r="C77" s="6" t="s">
        <v>1608</v>
      </c>
      <c r="D77" s="6" t="s">
        <v>1720</v>
      </c>
      <c r="E77" s="6" t="s">
        <v>1721</v>
      </c>
      <c r="F77" s="8" t="s">
        <v>483</v>
      </c>
      <c r="G77" s="6" t="s">
        <v>567</v>
      </c>
      <c r="H77" s="6" t="s">
        <v>517</v>
      </c>
      <c r="I77" s="15"/>
      <c r="J77" s="6" t="s">
        <v>426</v>
      </c>
      <c r="K77" s="6" t="s">
        <v>426</v>
      </c>
      <c r="L77" s="6" t="s">
        <v>426</v>
      </c>
      <c r="M77" s="6" t="s">
        <v>426</v>
      </c>
      <c r="N77" s="6" t="s">
        <v>426</v>
      </c>
      <c r="O77" s="6" t="s">
        <v>426</v>
      </c>
      <c r="P77" s="6" t="s">
        <v>426</v>
      </c>
      <c r="Q77" s="6" t="s">
        <v>426</v>
      </c>
      <c r="R77" s="6" t="s">
        <v>426</v>
      </c>
      <c r="S77" s="6" t="s">
        <v>426</v>
      </c>
      <c r="T77" s="6" t="s">
        <v>426</v>
      </c>
      <c r="U77" s="6" t="s">
        <v>426</v>
      </c>
      <c r="V77" s="6" t="s">
        <v>426</v>
      </c>
      <c r="W77" s="6" t="s">
        <v>426</v>
      </c>
      <c r="X77" s="6" t="s">
        <v>426</v>
      </c>
      <c r="Y77" s="6" t="s">
        <v>426</v>
      </c>
      <c r="Z77" s="6" t="s">
        <v>426</v>
      </c>
      <c r="AA77" s="6" t="s">
        <v>426</v>
      </c>
      <c r="AB77" s="6" t="s">
        <v>426</v>
      </c>
      <c r="AC77" s="15" t="s">
        <v>426</v>
      </c>
      <c r="AD77" s="6" t="s">
        <v>427</v>
      </c>
      <c r="AE77" s="6">
        <v>0</v>
      </c>
      <c r="AF77" s="6">
        <v>0</v>
      </c>
      <c r="AG77" s="6">
        <v>0</v>
      </c>
      <c r="AH77" s="6">
        <v>1</v>
      </c>
      <c r="AI77" s="6">
        <v>0</v>
      </c>
      <c r="AJ77" s="6">
        <v>0</v>
      </c>
      <c r="AK77" s="6">
        <v>0</v>
      </c>
      <c r="AL77" s="6">
        <v>0</v>
      </c>
      <c r="AM77" s="6"/>
      <c r="AN77" s="15"/>
      <c r="AO77" s="6" t="s">
        <v>426</v>
      </c>
      <c r="AP77" s="6" t="s">
        <v>683</v>
      </c>
      <c r="AQ77" s="6" t="s">
        <v>426</v>
      </c>
      <c r="AR77" s="6" t="s">
        <v>920</v>
      </c>
      <c r="AS77" s="6" t="s">
        <v>426</v>
      </c>
      <c r="AT77" s="6">
        <v>1</v>
      </c>
      <c r="AU77" s="6" t="s">
        <v>426</v>
      </c>
      <c r="AV77" s="6">
        <v>1</v>
      </c>
      <c r="AW77" s="6" t="s">
        <v>426</v>
      </c>
      <c r="AX77" s="6">
        <v>1</v>
      </c>
      <c r="AY77" s="6" t="s">
        <v>426</v>
      </c>
      <c r="AZ77" s="6">
        <v>1</v>
      </c>
      <c r="BA77" s="6" t="s">
        <v>426</v>
      </c>
      <c r="BB77" s="6">
        <v>1</v>
      </c>
      <c r="BC77" s="6" t="s">
        <v>426</v>
      </c>
      <c r="BD77" s="6">
        <v>1</v>
      </c>
      <c r="BE77" s="6" t="s">
        <v>426</v>
      </c>
      <c r="BF77" s="6">
        <v>10</v>
      </c>
      <c r="BG77" s="6" t="s">
        <v>426</v>
      </c>
      <c r="BH77" s="6">
        <v>1</v>
      </c>
      <c r="BI77" s="6" t="s">
        <v>426</v>
      </c>
      <c r="BJ77" s="6">
        <v>1</v>
      </c>
      <c r="BK77" s="6" t="s">
        <v>453</v>
      </c>
      <c r="BL77" s="6"/>
      <c r="BM77" s="6" t="s">
        <v>426</v>
      </c>
      <c r="BN77" s="6">
        <v>100</v>
      </c>
      <c r="BO77" s="6" t="s">
        <v>426</v>
      </c>
      <c r="BP77" s="6">
        <v>1</v>
      </c>
      <c r="BQ77" s="6" t="s">
        <v>426</v>
      </c>
      <c r="BR77" s="6">
        <v>600</v>
      </c>
      <c r="BS77" s="6" t="s">
        <v>426</v>
      </c>
      <c r="BT77" s="6">
        <v>20</v>
      </c>
      <c r="BU77" s="6" t="s">
        <v>426</v>
      </c>
      <c r="BV77" s="15">
        <v>1</v>
      </c>
      <c r="BW77" s="15" t="s">
        <v>518</v>
      </c>
      <c r="BX77" s="15" t="s">
        <v>429</v>
      </c>
      <c r="BY77" s="6" t="s">
        <v>430</v>
      </c>
      <c r="BZ77" s="6" t="s">
        <v>430</v>
      </c>
      <c r="CA77" s="6" t="s">
        <v>430</v>
      </c>
      <c r="CB77" s="6" t="s">
        <v>430</v>
      </c>
      <c r="CC77" s="6" t="s">
        <v>430</v>
      </c>
      <c r="CD77" s="6" t="s">
        <v>430</v>
      </c>
      <c r="CE77" s="6" t="s">
        <v>430</v>
      </c>
      <c r="CF77" s="6" t="s">
        <v>430</v>
      </c>
      <c r="CG77" s="6" t="s">
        <v>430</v>
      </c>
      <c r="CH77" s="6" t="s">
        <v>430</v>
      </c>
      <c r="CI77" s="6" t="s">
        <v>430</v>
      </c>
      <c r="CJ77" s="6" t="s">
        <v>430</v>
      </c>
      <c r="CK77" s="6" t="s">
        <v>430</v>
      </c>
      <c r="CL77" s="6" t="s">
        <v>430</v>
      </c>
      <c r="CM77" s="6" t="s">
        <v>430</v>
      </c>
      <c r="CN77" s="6" t="s">
        <v>430</v>
      </c>
      <c r="CO77" s="15" t="s">
        <v>430</v>
      </c>
      <c r="CP77" s="15" t="s">
        <v>432</v>
      </c>
      <c r="CQ77" s="6" t="s">
        <v>433</v>
      </c>
      <c r="CR77" s="15"/>
      <c r="CS77" s="6" t="s">
        <v>426</v>
      </c>
      <c r="CT77" s="6" t="s">
        <v>1722</v>
      </c>
      <c r="CU77" s="6" t="s">
        <v>733</v>
      </c>
      <c r="CV77" s="6" t="s">
        <v>737</v>
      </c>
      <c r="CW77" s="6" t="s">
        <v>906</v>
      </c>
      <c r="CX77" s="15" t="s">
        <v>426</v>
      </c>
      <c r="CY77" s="6" t="s">
        <v>453</v>
      </c>
      <c r="CZ77" s="6"/>
      <c r="DA77" s="6"/>
      <c r="DB77" s="6"/>
      <c r="DC77" s="6"/>
      <c r="DD77" s="15"/>
      <c r="DE77" s="15" t="s">
        <v>436</v>
      </c>
      <c r="DF77" s="6" t="s">
        <v>1171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1</v>
      </c>
      <c r="DM77" s="6" t="s">
        <v>1723</v>
      </c>
      <c r="DN77" s="6"/>
      <c r="DO77" s="6"/>
      <c r="DP77" s="6"/>
      <c r="DQ77" s="6"/>
      <c r="DR77" s="6"/>
      <c r="DS77" s="6"/>
      <c r="DT77" s="66"/>
      <c r="DU77" s="6" t="s">
        <v>523</v>
      </c>
      <c r="DV77" s="6" t="s">
        <v>426</v>
      </c>
      <c r="DW77" s="6" t="s">
        <v>490</v>
      </c>
      <c r="DX77" s="6" t="s">
        <v>440</v>
      </c>
      <c r="DY77" s="6"/>
      <c r="DZ77" s="6" t="s">
        <v>586</v>
      </c>
      <c r="EA77" s="6">
        <v>1</v>
      </c>
      <c r="EB77" s="6">
        <v>1</v>
      </c>
      <c r="EC77" s="6">
        <v>1</v>
      </c>
      <c r="ED77" s="6">
        <v>1</v>
      </c>
      <c r="EE77" s="6">
        <v>1</v>
      </c>
      <c r="EF77" s="6">
        <v>1</v>
      </c>
      <c r="EG77" s="6">
        <v>0</v>
      </c>
      <c r="EH77" s="6">
        <v>0</v>
      </c>
      <c r="EI77" s="6"/>
      <c r="EJ77" s="6" t="s">
        <v>1276</v>
      </c>
      <c r="EK77" s="6">
        <v>1</v>
      </c>
      <c r="EL77" s="6">
        <v>1</v>
      </c>
      <c r="EM77" s="6">
        <v>1</v>
      </c>
      <c r="EN77" s="6">
        <v>1</v>
      </c>
      <c r="EO77" s="6">
        <v>1</v>
      </c>
      <c r="EP77" s="6">
        <v>1</v>
      </c>
      <c r="EQ77" s="6">
        <v>1</v>
      </c>
      <c r="ER77" s="6">
        <v>0</v>
      </c>
      <c r="ES77" s="6">
        <v>0</v>
      </c>
      <c r="ET77" s="6"/>
      <c r="EU77" s="6" t="s">
        <v>443</v>
      </c>
      <c r="EV77" s="6" t="s">
        <v>588</v>
      </c>
      <c r="EW77" s="6"/>
      <c r="EX77" s="6" t="s">
        <v>589</v>
      </c>
      <c r="EY77" s="6">
        <v>1</v>
      </c>
      <c r="EZ77" s="6">
        <v>1</v>
      </c>
      <c r="FA77" s="6">
        <v>1</v>
      </c>
      <c r="FB77" s="6">
        <v>1</v>
      </c>
      <c r="FC77" s="6">
        <v>1</v>
      </c>
      <c r="FD77" s="6">
        <v>1</v>
      </c>
      <c r="FE77" s="6">
        <v>0</v>
      </c>
      <c r="FF77" s="6">
        <v>0</v>
      </c>
      <c r="FG77" s="6"/>
      <c r="FH77" s="6" t="s">
        <v>446</v>
      </c>
      <c r="FI77" s="6">
        <v>1</v>
      </c>
      <c r="FJ77" s="6">
        <v>0</v>
      </c>
      <c r="FK77" s="6">
        <v>0</v>
      </c>
      <c r="FL77" s="6">
        <v>0</v>
      </c>
      <c r="FM77" s="6">
        <v>1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/>
      <c r="FT77" s="6" t="s">
        <v>556</v>
      </c>
      <c r="FU77" s="6" t="s">
        <v>448</v>
      </c>
      <c r="FV77" s="6"/>
      <c r="FW77" s="6" t="s">
        <v>449</v>
      </c>
      <c r="FX77" s="15" t="s">
        <v>450</v>
      </c>
      <c r="FY77" s="6" t="s">
        <v>500</v>
      </c>
      <c r="FZ77" s="6"/>
      <c r="GA77" s="6" t="s">
        <v>450</v>
      </c>
      <c r="GB77" s="6" t="s">
        <v>501</v>
      </c>
      <c r="GC77" s="6" t="s">
        <v>453</v>
      </c>
      <c r="GD77" s="6"/>
      <c r="GE77" s="6" t="s">
        <v>454</v>
      </c>
      <c r="GF77" s="6" t="s">
        <v>1724</v>
      </c>
      <c r="GG77" s="6" t="s">
        <v>456</v>
      </c>
      <c r="GH77" s="15" t="s">
        <v>1176</v>
      </c>
      <c r="GI77" s="6" t="s">
        <v>458</v>
      </c>
      <c r="GJ77" s="6" t="s">
        <v>1725</v>
      </c>
      <c r="GK77" s="6" t="s">
        <v>460</v>
      </c>
      <c r="GL77" s="6" t="s">
        <v>461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1</v>
      </c>
      <c r="GS77" s="6">
        <v>0</v>
      </c>
      <c r="GT77" s="6"/>
      <c r="GU77" s="6" t="s">
        <v>534</v>
      </c>
      <c r="GV77" s="6" t="s">
        <v>595</v>
      </c>
      <c r="GW77" s="6" t="s">
        <v>721</v>
      </c>
      <c r="GX77" s="6">
        <v>1</v>
      </c>
      <c r="GY77" s="6">
        <v>0</v>
      </c>
      <c r="GZ77" s="6">
        <v>0</v>
      </c>
      <c r="HA77" s="6">
        <v>1</v>
      </c>
      <c r="HB77" s="6">
        <v>0</v>
      </c>
      <c r="HC77" s="6">
        <v>0</v>
      </c>
      <c r="HD77" s="6"/>
      <c r="HE77" s="6" t="s">
        <v>1076</v>
      </c>
      <c r="HF77" s="6">
        <v>1</v>
      </c>
      <c r="HG77" s="6">
        <v>1</v>
      </c>
      <c r="HH77" s="6">
        <v>1</v>
      </c>
      <c r="HI77" s="6">
        <v>0</v>
      </c>
      <c r="HJ77" s="6">
        <v>0</v>
      </c>
      <c r="HK77" s="6">
        <v>0</v>
      </c>
      <c r="HL77" s="15"/>
      <c r="HM77" s="6" t="s">
        <v>505</v>
      </c>
      <c r="HN77" s="6"/>
      <c r="HO77" s="6" t="s">
        <v>1726</v>
      </c>
      <c r="HP77" s="6" t="s">
        <v>561</v>
      </c>
      <c r="HQ77" s="6"/>
      <c r="HR77" s="6" t="s">
        <v>1727</v>
      </c>
      <c r="HS77" s="6" t="s">
        <v>1182</v>
      </c>
      <c r="HT77" s="6">
        <v>1</v>
      </c>
      <c r="HU77" s="6">
        <v>0</v>
      </c>
      <c r="HV77" s="6">
        <v>1</v>
      </c>
      <c r="HW77" s="6">
        <v>0</v>
      </c>
      <c r="HX77" s="6">
        <v>1</v>
      </c>
      <c r="HY77" s="6">
        <v>0</v>
      </c>
      <c r="HZ77" s="6"/>
      <c r="IA77" s="6" t="s">
        <v>1728</v>
      </c>
      <c r="IB77" s="6">
        <v>1</v>
      </c>
      <c r="IC77" s="6">
        <v>1</v>
      </c>
      <c r="ID77" s="6">
        <v>1</v>
      </c>
      <c r="IE77" s="6">
        <v>1</v>
      </c>
      <c r="IF77" s="6">
        <v>0</v>
      </c>
      <c r="IG77" s="6">
        <v>0</v>
      </c>
      <c r="IH77" s="15" t="s">
        <v>1729</v>
      </c>
      <c r="II77" s="6" t="s">
        <v>426</v>
      </c>
      <c r="IJ77" s="6" t="s">
        <v>602</v>
      </c>
      <c r="IK77" s="6">
        <v>1</v>
      </c>
      <c r="IL77" s="6">
        <v>1</v>
      </c>
      <c r="IM77" s="6">
        <v>0</v>
      </c>
      <c r="IN77" s="6"/>
      <c r="IO77" s="6" t="s">
        <v>893</v>
      </c>
      <c r="IP77" s="6">
        <v>1</v>
      </c>
      <c r="IQ77" s="6">
        <v>0</v>
      </c>
      <c r="IR77" s="6">
        <v>0</v>
      </c>
      <c r="IS77" s="6">
        <v>1</v>
      </c>
      <c r="IT77" s="6">
        <v>0</v>
      </c>
      <c r="IU77" s="6">
        <v>0</v>
      </c>
      <c r="IV77" s="6"/>
      <c r="IW77" s="6" t="s">
        <v>426</v>
      </c>
      <c r="IX77" s="6">
        <v>1</v>
      </c>
      <c r="IY77" s="6" t="s">
        <v>474</v>
      </c>
      <c r="IZ77" s="6" t="s">
        <v>604</v>
      </c>
      <c r="JA77" s="6" t="s">
        <v>426</v>
      </c>
      <c r="JB77" s="6" t="s">
        <v>651</v>
      </c>
      <c r="JC77" s="6"/>
      <c r="JD77" s="6"/>
      <c r="JE77" s="6"/>
      <c r="JF77" s="6"/>
      <c r="JG77" s="6"/>
      <c r="JH77" s="6"/>
      <c r="JI77" s="6"/>
      <c r="JJ77" s="6"/>
      <c r="JK77" s="6" t="s">
        <v>426</v>
      </c>
      <c r="JL77" s="6" t="s">
        <v>426</v>
      </c>
      <c r="JM77" s="6"/>
      <c r="JN77" s="6"/>
      <c r="JO77" s="6"/>
      <c r="JP77" s="6"/>
      <c r="JQ77" s="6"/>
      <c r="JR77" s="6"/>
      <c r="JS77" s="6"/>
      <c r="JT77" s="6"/>
      <c r="JU77" s="6" t="s">
        <v>895</v>
      </c>
      <c r="JV77" s="15" t="s">
        <v>1730</v>
      </c>
      <c r="JW77" s="94" t="s">
        <v>1731</v>
      </c>
      <c r="JX77" s="6" t="s">
        <v>1732</v>
      </c>
      <c r="JY77" s="6">
        <v>0.5870567</v>
      </c>
      <c r="JZ77" s="6">
        <v>34.4564183</v>
      </c>
      <c r="KA77" s="6">
        <v>1280</v>
      </c>
      <c r="KB77" s="15">
        <v>3.9</v>
      </c>
      <c r="KC77" s="15"/>
    </row>
    <row r="78" spans="1:289">
      <c r="A78" s="6" t="s">
        <v>480</v>
      </c>
      <c r="B78" s="6" t="s">
        <v>420</v>
      </c>
      <c r="C78" s="6" t="s">
        <v>1608</v>
      </c>
      <c r="D78" s="6" t="s">
        <v>1733</v>
      </c>
      <c r="E78" s="6" t="s">
        <v>1734</v>
      </c>
      <c r="F78" s="8" t="s">
        <v>483</v>
      </c>
      <c r="G78" s="6" t="s">
        <v>424</v>
      </c>
      <c r="H78" s="6" t="s">
        <v>425</v>
      </c>
      <c r="I78" s="15"/>
      <c r="J78" s="6" t="s">
        <v>426</v>
      </c>
      <c r="K78" s="6" t="s">
        <v>426</v>
      </c>
      <c r="L78" s="6" t="s">
        <v>426</v>
      </c>
      <c r="M78" s="6" t="s">
        <v>426</v>
      </c>
      <c r="N78" s="6" t="s">
        <v>426</v>
      </c>
      <c r="O78" s="6" t="s">
        <v>426</v>
      </c>
      <c r="P78" s="6" t="s">
        <v>426</v>
      </c>
      <c r="Q78" s="6" t="s">
        <v>426</v>
      </c>
      <c r="R78" s="6" t="s">
        <v>426</v>
      </c>
      <c r="S78" s="6" t="s">
        <v>426</v>
      </c>
      <c r="T78" s="6" t="s">
        <v>426</v>
      </c>
      <c r="U78" s="6" t="s">
        <v>426</v>
      </c>
      <c r="V78" s="6" t="s">
        <v>426</v>
      </c>
      <c r="W78" s="6" t="s">
        <v>426</v>
      </c>
      <c r="X78" s="6" t="s">
        <v>426</v>
      </c>
      <c r="Y78" s="6" t="s">
        <v>426</v>
      </c>
      <c r="Z78" s="6" t="s">
        <v>426</v>
      </c>
      <c r="AA78" s="6" t="s">
        <v>426</v>
      </c>
      <c r="AB78" s="6" t="s">
        <v>426</v>
      </c>
      <c r="AC78" s="15" t="s">
        <v>426</v>
      </c>
      <c r="AD78" s="6" t="s">
        <v>427</v>
      </c>
      <c r="AE78" s="6">
        <v>0</v>
      </c>
      <c r="AF78" s="6">
        <v>0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/>
      <c r="AN78" s="15"/>
      <c r="AO78" s="6" t="s">
        <v>426</v>
      </c>
      <c r="AP78" s="6" t="s">
        <v>901</v>
      </c>
      <c r="AQ78" s="6" t="s">
        <v>426</v>
      </c>
      <c r="AR78" s="6" t="s">
        <v>985</v>
      </c>
      <c r="AS78" s="6" t="s">
        <v>426</v>
      </c>
      <c r="AT78" s="6">
        <v>2</v>
      </c>
      <c r="AU78" s="6" t="s">
        <v>453</v>
      </c>
      <c r="AV78" s="6"/>
      <c r="AW78" s="6" t="s">
        <v>426</v>
      </c>
      <c r="AX78" s="6">
        <v>2</v>
      </c>
      <c r="AY78" s="6" t="s">
        <v>426</v>
      </c>
      <c r="AZ78" s="6">
        <v>1</v>
      </c>
      <c r="BA78" s="6" t="s">
        <v>426</v>
      </c>
      <c r="BB78" s="6">
        <v>0.4</v>
      </c>
      <c r="BC78" s="6" t="s">
        <v>426</v>
      </c>
      <c r="BD78" s="6">
        <v>0.2</v>
      </c>
      <c r="BE78" s="6" t="s">
        <v>453</v>
      </c>
      <c r="BF78" s="6"/>
      <c r="BG78" s="6" t="s">
        <v>453</v>
      </c>
      <c r="BH78" s="6"/>
      <c r="BI78" s="6" t="s">
        <v>426</v>
      </c>
      <c r="BJ78" s="6">
        <v>0.4</v>
      </c>
      <c r="BK78" s="6" t="s">
        <v>426</v>
      </c>
      <c r="BL78" s="6">
        <v>1</v>
      </c>
      <c r="BM78" s="6" t="s">
        <v>426</v>
      </c>
      <c r="BN78" s="6">
        <v>4</v>
      </c>
      <c r="BO78" s="6" t="s">
        <v>426</v>
      </c>
      <c r="BP78" s="6">
        <v>0.2</v>
      </c>
      <c r="BQ78" s="6" t="s">
        <v>426</v>
      </c>
      <c r="BR78" s="6">
        <v>15</v>
      </c>
      <c r="BS78" s="6" t="s">
        <v>453</v>
      </c>
      <c r="BT78" s="6"/>
      <c r="BU78" s="6" t="s">
        <v>453</v>
      </c>
      <c r="BV78" s="15"/>
      <c r="BW78" s="15" t="s">
        <v>428</v>
      </c>
      <c r="BX78" s="15" t="s">
        <v>1064</v>
      </c>
      <c r="BY78" s="6" t="s">
        <v>430</v>
      </c>
      <c r="BZ78" s="6" t="s">
        <v>430</v>
      </c>
      <c r="CA78" s="6" t="s">
        <v>430</v>
      </c>
      <c r="CB78" s="6" t="s">
        <v>487</v>
      </c>
      <c r="CC78" s="6" t="s">
        <v>431</v>
      </c>
      <c r="CD78" s="6" t="s">
        <v>430</v>
      </c>
      <c r="CE78" s="6" t="s">
        <v>430</v>
      </c>
      <c r="CF78" s="6" t="s">
        <v>430</v>
      </c>
      <c r="CG78" s="6" t="s">
        <v>487</v>
      </c>
      <c r="CH78" s="6" t="s">
        <v>487</v>
      </c>
      <c r="CI78" s="6" t="s">
        <v>431</v>
      </c>
      <c r="CJ78" s="6" t="s">
        <v>431</v>
      </c>
      <c r="CK78" s="6" t="s">
        <v>430</v>
      </c>
      <c r="CL78" s="6" t="s">
        <v>430</v>
      </c>
      <c r="CM78" s="6" t="s">
        <v>431</v>
      </c>
      <c r="CN78" s="6" t="s">
        <v>487</v>
      </c>
      <c r="CO78" s="15" t="s">
        <v>487</v>
      </c>
      <c r="CP78" s="15" t="s">
        <v>432</v>
      </c>
      <c r="CQ78" s="6" t="s">
        <v>433</v>
      </c>
      <c r="CR78" s="15"/>
      <c r="CS78" s="6" t="s">
        <v>453</v>
      </c>
      <c r="CT78" s="6"/>
      <c r="CU78" s="6"/>
      <c r="CV78" s="6"/>
      <c r="CW78" s="6"/>
      <c r="CX78" s="15" t="s">
        <v>453</v>
      </c>
      <c r="CY78" s="6"/>
      <c r="CZ78" s="6"/>
      <c r="DA78" s="6"/>
      <c r="DB78" s="6"/>
      <c r="DC78" s="6"/>
      <c r="DD78" s="15"/>
      <c r="DE78" s="15" t="s">
        <v>436</v>
      </c>
      <c r="DF78" s="6" t="s">
        <v>1093</v>
      </c>
      <c r="DG78" s="6">
        <v>1</v>
      </c>
      <c r="DH78" s="6">
        <v>1</v>
      </c>
      <c r="DI78" s="6">
        <v>0</v>
      </c>
      <c r="DJ78" s="6">
        <v>0</v>
      </c>
      <c r="DK78" s="6">
        <v>0</v>
      </c>
      <c r="DL78" s="6">
        <v>0</v>
      </c>
      <c r="DM78" s="6"/>
      <c r="DN78" s="6"/>
      <c r="DO78" s="6"/>
      <c r="DP78" s="6"/>
      <c r="DQ78" s="6"/>
      <c r="DR78" s="6"/>
      <c r="DS78" s="6"/>
      <c r="DT78" s="66"/>
      <c r="DU78" s="6" t="s">
        <v>438</v>
      </c>
      <c r="DV78" s="6" t="s">
        <v>426</v>
      </c>
      <c r="DW78" s="6" t="s">
        <v>439</v>
      </c>
      <c r="DX78" s="6" t="s">
        <v>440</v>
      </c>
      <c r="DY78" s="6"/>
      <c r="DZ78" s="6" t="s">
        <v>714</v>
      </c>
      <c r="EA78" s="6">
        <v>1</v>
      </c>
      <c r="EB78" s="6">
        <v>1</v>
      </c>
      <c r="EC78" s="6">
        <v>1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/>
      <c r="EJ78" s="6" t="s">
        <v>1735</v>
      </c>
      <c r="EK78" s="6">
        <v>1</v>
      </c>
      <c r="EL78" s="6">
        <v>1</v>
      </c>
      <c r="EM78" s="6">
        <v>0</v>
      </c>
      <c r="EN78" s="6">
        <v>0</v>
      </c>
      <c r="EO78" s="6">
        <v>0</v>
      </c>
      <c r="EP78" s="6">
        <v>0</v>
      </c>
      <c r="EQ78" s="6">
        <v>1</v>
      </c>
      <c r="ER78" s="6">
        <v>0</v>
      </c>
      <c r="ES78" s="6">
        <v>0</v>
      </c>
      <c r="ET78" s="6"/>
      <c r="EU78" s="6" t="s">
        <v>443</v>
      </c>
      <c r="EV78" s="6" t="s">
        <v>495</v>
      </c>
      <c r="EW78" s="6"/>
      <c r="EX78" s="6" t="s">
        <v>1736</v>
      </c>
      <c r="EY78" s="6">
        <v>0</v>
      </c>
      <c r="EZ78" s="6">
        <v>0</v>
      </c>
      <c r="FA78" s="6">
        <v>1</v>
      </c>
      <c r="FB78" s="6">
        <v>0</v>
      </c>
      <c r="FC78" s="6">
        <v>1</v>
      </c>
      <c r="FD78" s="6">
        <v>0</v>
      </c>
      <c r="FE78" s="6">
        <v>0</v>
      </c>
      <c r="FF78" s="6">
        <v>0</v>
      </c>
      <c r="FG78" s="6"/>
      <c r="FH78" s="6" t="s">
        <v>446</v>
      </c>
      <c r="FI78" s="6">
        <v>1</v>
      </c>
      <c r="FJ78" s="6">
        <v>0</v>
      </c>
      <c r="FK78" s="6">
        <v>0</v>
      </c>
      <c r="FL78" s="6">
        <v>0</v>
      </c>
      <c r="FM78" s="6">
        <v>1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/>
      <c r="FT78" s="6" t="s">
        <v>556</v>
      </c>
      <c r="FU78" s="6" t="s">
        <v>499</v>
      </c>
      <c r="FV78" s="6"/>
      <c r="FW78" s="6" t="s">
        <v>449</v>
      </c>
      <c r="FX78" s="15" t="s">
        <v>450</v>
      </c>
      <c r="FY78" s="6" t="s">
        <v>451</v>
      </c>
      <c r="FZ78" s="6"/>
      <c r="GA78" s="6" t="s">
        <v>450</v>
      </c>
      <c r="GB78" s="6" t="s">
        <v>501</v>
      </c>
      <c r="GC78" s="6" t="s">
        <v>453</v>
      </c>
      <c r="GD78" s="6"/>
      <c r="GE78" s="6" t="s">
        <v>454</v>
      </c>
      <c r="GF78" s="6" t="s">
        <v>1737</v>
      </c>
      <c r="GG78" s="6" t="s">
        <v>456</v>
      </c>
      <c r="GH78" s="15" t="s">
        <v>1738</v>
      </c>
      <c r="GI78" s="6" t="s">
        <v>458</v>
      </c>
      <c r="GJ78" s="6" t="s">
        <v>1739</v>
      </c>
      <c r="GK78" s="6" t="s">
        <v>460</v>
      </c>
      <c r="GL78" s="6" t="s">
        <v>461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1</v>
      </c>
      <c r="GS78" s="6">
        <v>0</v>
      </c>
      <c r="GT78" s="6"/>
      <c r="GU78" s="6" t="s">
        <v>534</v>
      </c>
      <c r="GV78" s="6" t="s">
        <v>595</v>
      </c>
      <c r="GW78" s="6" t="s">
        <v>721</v>
      </c>
      <c r="GX78" s="6">
        <v>1</v>
      </c>
      <c r="GY78" s="6">
        <v>0</v>
      </c>
      <c r="GZ78" s="6">
        <v>0</v>
      </c>
      <c r="HA78" s="6">
        <v>1</v>
      </c>
      <c r="HB78" s="6">
        <v>0</v>
      </c>
      <c r="HC78" s="6">
        <v>0</v>
      </c>
      <c r="HD78" s="6"/>
      <c r="HE78" s="6" t="s">
        <v>962</v>
      </c>
      <c r="HF78" s="6">
        <v>1</v>
      </c>
      <c r="HG78" s="6">
        <v>0</v>
      </c>
      <c r="HH78" s="6">
        <v>0</v>
      </c>
      <c r="HI78" s="6">
        <v>1</v>
      </c>
      <c r="HJ78" s="6">
        <v>0</v>
      </c>
      <c r="HK78" s="6">
        <v>0</v>
      </c>
      <c r="HL78" s="15"/>
      <c r="HM78" s="6" t="s">
        <v>466</v>
      </c>
      <c r="HN78" s="6"/>
      <c r="HO78" s="6" t="s">
        <v>1740</v>
      </c>
      <c r="HP78" s="6" t="s">
        <v>561</v>
      </c>
      <c r="HQ78" s="6"/>
      <c r="HR78" s="6" t="s">
        <v>1741</v>
      </c>
      <c r="HS78" s="6" t="s">
        <v>540</v>
      </c>
      <c r="HT78" s="6">
        <v>1</v>
      </c>
      <c r="HU78" s="6">
        <v>0</v>
      </c>
      <c r="HV78" s="6">
        <v>0</v>
      </c>
      <c r="HW78" s="6">
        <v>0</v>
      </c>
      <c r="HX78" s="6">
        <v>0</v>
      </c>
      <c r="HY78" s="6">
        <v>0</v>
      </c>
      <c r="HZ78" s="6"/>
      <c r="IA78" s="6" t="s">
        <v>1742</v>
      </c>
      <c r="IB78" s="6">
        <v>1</v>
      </c>
      <c r="IC78" s="6">
        <v>1</v>
      </c>
      <c r="ID78" s="6">
        <v>0</v>
      </c>
      <c r="IE78" s="6">
        <v>1</v>
      </c>
      <c r="IF78" s="6">
        <v>1</v>
      </c>
      <c r="IG78" s="6">
        <v>0</v>
      </c>
      <c r="IH78" s="15" t="s">
        <v>1743</v>
      </c>
      <c r="II78" s="6" t="s">
        <v>426</v>
      </c>
      <c r="IJ78" s="6" t="s">
        <v>602</v>
      </c>
      <c r="IK78" s="6">
        <v>1</v>
      </c>
      <c r="IL78" s="6">
        <v>1</v>
      </c>
      <c r="IM78" s="6">
        <v>0</v>
      </c>
      <c r="IN78" s="6"/>
      <c r="IO78" s="6" t="s">
        <v>1577</v>
      </c>
      <c r="IP78" s="6">
        <v>1</v>
      </c>
      <c r="IQ78" s="6">
        <v>0</v>
      </c>
      <c r="IR78" s="6">
        <v>0</v>
      </c>
      <c r="IS78" s="6">
        <v>1</v>
      </c>
      <c r="IT78" s="6">
        <v>0</v>
      </c>
      <c r="IU78" s="6">
        <v>0</v>
      </c>
      <c r="IV78" s="6"/>
      <c r="IW78" s="6" t="s">
        <v>426</v>
      </c>
      <c r="IX78" s="6">
        <v>1</v>
      </c>
      <c r="IY78" s="6" t="s">
        <v>474</v>
      </c>
      <c r="IZ78" s="6" t="s">
        <v>475</v>
      </c>
      <c r="JA78" s="6" t="s">
        <v>426</v>
      </c>
      <c r="JB78" s="6" t="s">
        <v>476</v>
      </c>
      <c r="JC78" s="6"/>
      <c r="JD78" s="6"/>
      <c r="JE78" s="6"/>
      <c r="JF78" s="6"/>
      <c r="JG78" s="6"/>
      <c r="JH78" s="6"/>
      <c r="JI78" s="6"/>
      <c r="JJ78" s="6"/>
      <c r="JK78" s="6" t="s">
        <v>453</v>
      </c>
      <c r="JL78" s="6"/>
      <c r="JM78" s="6"/>
      <c r="JN78" s="6"/>
      <c r="JO78" s="6"/>
      <c r="JP78" s="6"/>
      <c r="JQ78" s="6"/>
      <c r="JR78" s="6"/>
      <c r="JS78" s="6"/>
      <c r="JT78" s="6"/>
      <c r="JU78" s="6" t="s">
        <v>477</v>
      </c>
      <c r="JV78" s="15"/>
      <c r="JW78" s="94" t="s">
        <v>1744</v>
      </c>
      <c r="JX78" s="6" t="s">
        <v>1745</v>
      </c>
      <c r="JY78" s="6">
        <v>0.582651</v>
      </c>
      <c r="JZ78" s="6">
        <v>34.4694225</v>
      </c>
      <c r="KA78" s="6">
        <v>1305.40515136719</v>
      </c>
      <c r="KB78" s="15">
        <v>4.821</v>
      </c>
      <c r="KC78" s="15"/>
    </row>
    <row r="79" spans="1:289">
      <c r="A79" s="6" t="s">
        <v>633</v>
      </c>
      <c r="B79" s="6" t="s">
        <v>420</v>
      </c>
      <c r="C79" s="6" t="s">
        <v>1608</v>
      </c>
      <c r="D79" s="6" t="s">
        <v>1609</v>
      </c>
      <c r="E79" s="6" t="s">
        <v>1746</v>
      </c>
      <c r="F79" s="8" t="s">
        <v>483</v>
      </c>
      <c r="G79" s="6" t="s">
        <v>424</v>
      </c>
      <c r="H79" s="6" t="s">
        <v>517</v>
      </c>
      <c r="I79" s="15"/>
      <c r="J79" s="6" t="s">
        <v>426</v>
      </c>
      <c r="K79" s="6" t="s">
        <v>426</v>
      </c>
      <c r="L79" s="6" t="s">
        <v>426</v>
      </c>
      <c r="M79" s="6" t="s">
        <v>426</v>
      </c>
      <c r="N79" s="6" t="s">
        <v>426</v>
      </c>
      <c r="O79" s="6" t="s">
        <v>426</v>
      </c>
      <c r="P79" s="6" t="s">
        <v>426</v>
      </c>
      <c r="Q79" s="6" t="s">
        <v>426</v>
      </c>
      <c r="R79" s="6" t="s">
        <v>426</v>
      </c>
      <c r="S79" s="6" t="s">
        <v>426</v>
      </c>
      <c r="T79" s="6" t="s">
        <v>426</v>
      </c>
      <c r="U79" s="6" t="s">
        <v>426</v>
      </c>
      <c r="V79" s="6" t="s">
        <v>426</v>
      </c>
      <c r="W79" s="6" t="s">
        <v>426</v>
      </c>
      <c r="X79" s="6" t="s">
        <v>426</v>
      </c>
      <c r="Y79" s="6" t="s">
        <v>426</v>
      </c>
      <c r="Z79" s="6" t="s">
        <v>426</v>
      </c>
      <c r="AA79" s="6" t="s">
        <v>426</v>
      </c>
      <c r="AB79" s="6" t="s">
        <v>426</v>
      </c>
      <c r="AC79" s="15" t="s">
        <v>426</v>
      </c>
      <c r="AD79" s="6" t="s">
        <v>427</v>
      </c>
      <c r="AE79" s="6">
        <v>0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0</v>
      </c>
      <c r="AM79" s="6"/>
      <c r="AN79" s="15"/>
      <c r="AO79" s="6" t="s">
        <v>426</v>
      </c>
      <c r="AP79" s="6" t="s">
        <v>766</v>
      </c>
      <c r="AQ79" s="6" t="s">
        <v>426</v>
      </c>
      <c r="AR79" s="6" t="s">
        <v>758</v>
      </c>
      <c r="AS79" s="6" t="s">
        <v>426</v>
      </c>
      <c r="AT79" s="6">
        <v>0.5</v>
      </c>
      <c r="AU79" s="6" t="s">
        <v>453</v>
      </c>
      <c r="AV79" s="6"/>
      <c r="AW79" s="6" t="s">
        <v>426</v>
      </c>
      <c r="AX79" s="6">
        <v>0.5</v>
      </c>
      <c r="AY79" s="6" t="s">
        <v>426</v>
      </c>
      <c r="AZ79" s="6">
        <v>1</v>
      </c>
      <c r="BA79" s="6" t="s">
        <v>426</v>
      </c>
      <c r="BB79" s="6">
        <v>0.08</v>
      </c>
      <c r="BC79" s="6" t="s">
        <v>426</v>
      </c>
      <c r="BD79" s="6">
        <v>0.08</v>
      </c>
      <c r="BE79" s="6" t="s">
        <v>426</v>
      </c>
      <c r="BF79" s="6">
        <v>3</v>
      </c>
      <c r="BG79" s="6" t="s">
        <v>426</v>
      </c>
      <c r="BH79" s="6">
        <v>0.08</v>
      </c>
      <c r="BI79" s="6" t="s">
        <v>426</v>
      </c>
      <c r="BJ79" s="6">
        <v>0.5</v>
      </c>
      <c r="BK79" s="6" t="s">
        <v>426</v>
      </c>
      <c r="BL79" s="6">
        <v>0.5</v>
      </c>
      <c r="BM79" s="6" t="s">
        <v>426</v>
      </c>
      <c r="BN79" s="6">
        <v>20</v>
      </c>
      <c r="BO79" s="6" t="s">
        <v>426</v>
      </c>
      <c r="BP79" s="6">
        <v>0.08</v>
      </c>
      <c r="BQ79" s="6" t="s">
        <v>426</v>
      </c>
      <c r="BR79" s="6">
        <v>60</v>
      </c>
      <c r="BS79" s="6" t="s">
        <v>426</v>
      </c>
      <c r="BT79" s="6">
        <v>4</v>
      </c>
      <c r="BU79" s="6" t="s">
        <v>426</v>
      </c>
      <c r="BV79" s="15">
        <v>0.5</v>
      </c>
      <c r="BW79" s="15" t="s">
        <v>518</v>
      </c>
      <c r="BX79" s="15" t="s">
        <v>429</v>
      </c>
      <c r="BY79" s="6" t="s">
        <v>430</v>
      </c>
      <c r="BZ79" s="6" t="s">
        <v>430</v>
      </c>
      <c r="CA79" s="6" t="s">
        <v>430</v>
      </c>
      <c r="CB79" s="6" t="s">
        <v>430</v>
      </c>
      <c r="CC79" s="6" t="s">
        <v>430</v>
      </c>
      <c r="CD79" s="6" t="s">
        <v>430</v>
      </c>
      <c r="CE79" s="6" t="s">
        <v>430</v>
      </c>
      <c r="CF79" s="6" t="s">
        <v>430</v>
      </c>
      <c r="CG79" s="6" t="s">
        <v>430</v>
      </c>
      <c r="CH79" s="6" t="s">
        <v>430</v>
      </c>
      <c r="CI79" s="6" t="s">
        <v>430</v>
      </c>
      <c r="CJ79" s="6" t="s">
        <v>430</v>
      </c>
      <c r="CK79" s="6" t="s">
        <v>430</v>
      </c>
      <c r="CL79" s="6" t="s">
        <v>430</v>
      </c>
      <c r="CM79" s="6" t="s">
        <v>430</v>
      </c>
      <c r="CN79" s="6" t="s">
        <v>430</v>
      </c>
      <c r="CO79" s="15" t="s">
        <v>430</v>
      </c>
      <c r="CP79" s="15" t="s">
        <v>432</v>
      </c>
      <c r="CQ79" s="6" t="s">
        <v>433</v>
      </c>
      <c r="CR79" s="15"/>
      <c r="CS79" s="6" t="s">
        <v>426</v>
      </c>
      <c r="CT79" s="6" t="s">
        <v>1086</v>
      </c>
      <c r="CU79" s="6" t="s">
        <v>1087</v>
      </c>
      <c r="CV79" s="6" t="s">
        <v>987</v>
      </c>
      <c r="CW79" s="6" t="s">
        <v>1707</v>
      </c>
      <c r="CX79" s="15" t="s">
        <v>426</v>
      </c>
      <c r="CY79" s="6" t="s">
        <v>426</v>
      </c>
      <c r="CZ79" s="6" t="s">
        <v>1747</v>
      </c>
      <c r="DA79" s="6" t="s">
        <v>738</v>
      </c>
      <c r="DB79" s="6" t="s">
        <v>971</v>
      </c>
      <c r="DC79" s="6" t="s">
        <v>660</v>
      </c>
      <c r="DD79" s="15" t="s">
        <v>972</v>
      </c>
      <c r="DE79" s="15" t="s">
        <v>436</v>
      </c>
      <c r="DF79" s="6" t="s">
        <v>1093</v>
      </c>
      <c r="DG79" s="6">
        <v>1</v>
      </c>
      <c r="DH79" s="6">
        <v>1</v>
      </c>
      <c r="DI79" s="6">
        <v>0</v>
      </c>
      <c r="DJ79" s="6">
        <v>0</v>
      </c>
      <c r="DK79" s="6">
        <v>0</v>
      </c>
      <c r="DL79" s="6">
        <v>0</v>
      </c>
      <c r="DM79" s="6"/>
      <c r="DN79" s="6"/>
      <c r="DO79" s="6"/>
      <c r="DP79" s="6"/>
      <c r="DQ79" s="6"/>
      <c r="DR79" s="6"/>
      <c r="DS79" s="6"/>
      <c r="DT79" s="66"/>
      <c r="DU79" s="6" t="s">
        <v>523</v>
      </c>
      <c r="DV79" s="6" t="s">
        <v>426</v>
      </c>
      <c r="DW79" s="6" t="s">
        <v>490</v>
      </c>
      <c r="DX79" s="6" t="s">
        <v>440</v>
      </c>
      <c r="DY79" s="6"/>
      <c r="DZ79" s="6" t="s">
        <v>991</v>
      </c>
      <c r="EA79" s="6">
        <v>1</v>
      </c>
      <c r="EB79" s="6">
        <v>1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/>
      <c r="EJ79" s="6" t="s">
        <v>741</v>
      </c>
      <c r="EK79" s="6">
        <v>1</v>
      </c>
      <c r="EL79" s="6">
        <v>0</v>
      </c>
      <c r="EM79" s="6">
        <v>1</v>
      </c>
      <c r="EN79" s="6">
        <v>1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/>
      <c r="EU79" s="6" t="s">
        <v>443</v>
      </c>
      <c r="EV79" s="6" t="s">
        <v>444</v>
      </c>
      <c r="EW79" s="6"/>
      <c r="EX79" s="6" t="s">
        <v>1123</v>
      </c>
      <c r="EY79" s="6">
        <v>1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/>
      <c r="FH79" s="6" t="s">
        <v>1339</v>
      </c>
      <c r="FI79" s="6">
        <v>1</v>
      </c>
      <c r="FJ79" s="6">
        <v>0</v>
      </c>
      <c r="FK79" s="6">
        <v>1</v>
      </c>
      <c r="FL79" s="6">
        <v>1</v>
      </c>
      <c r="FM79" s="6">
        <v>1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/>
      <c r="FT79" s="6" t="s">
        <v>447</v>
      </c>
      <c r="FU79" s="6" t="s">
        <v>448</v>
      </c>
      <c r="FV79" s="6"/>
      <c r="FW79" s="6" t="s">
        <v>449</v>
      </c>
      <c r="FX79" s="15" t="s">
        <v>450</v>
      </c>
      <c r="FY79" s="6" t="s">
        <v>500</v>
      </c>
      <c r="FZ79" s="6"/>
      <c r="GA79" s="6" t="s">
        <v>450</v>
      </c>
      <c r="GB79" s="6" t="s">
        <v>501</v>
      </c>
      <c r="GC79" s="6" t="s">
        <v>453</v>
      </c>
      <c r="GD79" s="6"/>
      <c r="GE79" s="6" t="s">
        <v>454</v>
      </c>
      <c r="GF79" s="6" t="s">
        <v>1748</v>
      </c>
      <c r="GG79" s="6" t="s">
        <v>456</v>
      </c>
      <c r="GH79" s="15" t="s">
        <v>1749</v>
      </c>
      <c r="GI79" s="6" t="s">
        <v>458</v>
      </c>
      <c r="GJ79" s="6" t="s">
        <v>1750</v>
      </c>
      <c r="GK79" s="6" t="s">
        <v>460</v>
      </c>
      <c r="GL79" s="6" t="s">
        <v>461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1</v>
      </c>
      <c r="GS79" s="6">
        <v>0</v>
      </c>
      <c r="GT79" s="6"/>
      <c r="GU79" s="6" t="s">
        <v>462</v>
      </c>
      <c r="GV79" s="6" t="s">
        <v>595</v>
      </c>
      <c r="GW79" s="6" t="s">
        <v>1647</v>
      </c>
      <c r="GX79" s="6">
        <v>0</v>
      </c>
      <c r="GY79" s="6">
        <v>0</v>
      </c>
      <c r="GZ79" s="6">
        <v>0</v>
      </c>
      <c r="HA79" s="6">
        <v>0</v>
      </c>
      <c r="HB79" s="6">
        <v>0</v>
      </c>
      <c r="HC79" s="6">
        <v>1</v>
      </c>
      <c r="HD79" s="6" t="s">
        <v>1102</v>
      </c>
      <c r="HE79" s="6" t="s">
        <v>1751</v>
      </c>
      <c r="HF79" s="6">
        <v>0</v>
      </c>
      <c r="HG79" s="6">
        <v>1</v>
      </c>
      <c r="HH79" s="6">
        <v>1</v>
      </c>
      <c r="HI79" s="6">
        <v>1</v>
      </c>
      <c r="HJ79" s="6">
        <v>1</v>
      </c>
      <c r="HK79" s="6">
        <v>0</v>
      </c>
      <c r="HL79" s="15"/>
      <c r="HM79" s="6" t="s">
        <v>505</v>
      </c>
      <c r="HN79" s="6"/>
      <c r="HO79" s="6" t="s">
        <v>1752</v>
      </c>
      <c r="HP79" s="6" t="s">
        <v>468</v>
      </c>
      <c r="HQ79" s="6"/>
      <c r="HR79" s="6" t="s">
        <v>1753</v>
      </c>
      <c r="HS79" s="6" t="s">
        <v>508</v>
      </c>
      <c r="HT79" s="6">
        <v>0</v>
      </c>
      <c r="HU79" s="6">
        <v>0</v>
      </c>
      <c r="HV79" s="6">
        <v>1</v>
      </c>
      <c r="HW79" s="6">
        <v>0</v>
      </c>
      <c r="HX79" s="6">
        <v>0</v>
      </c>
      <c r="HY79" s="6">
        <v>0</v>
      </c>
      <c r="HZ79" s="6"/>
      <c r="IA79" s="6" t="s">
        <v>1105</v>
      </c>
      <c r="IB79" s="6">
        <v>1</v>
      </c>
      <c r="IC79" s="6">
        <v>1</v>
      </c>
      <c r="ID79" s="6">
        <v>0</v>
      </c>
      <c r="IE79" s="6">
        <v>0</v>
      </c>
      <c r="IF79" s="6">
        <v>0</v>
      </c>
      <c r="IG79" s="6">
        <v>0</v>
      </c>
      <c r="IH79" s="15" t="s">
        <v>1754</v>
      </c>
      <c r="II79" s="6" t="s">
        <v>426</v>
      </c>
      <c r="IJ79" s="6" t="s">
        <v>472</v>
      </c>
      <c r="IK79" s="6">
        <v>1</v>
      </c>
      <c r="IL79" s="6">
        <v>0</v>
      </c>
      <c r="IM79" s="6">
        <v>0</v>
      </c>
      <c r="IN79" s="6"/>
      <c r="IO79" s="6" t="s">
        <v>473</v>
      </c>
      <c r="IP79" s="6">
        <v>1</v>
      </c>
      <c r="IQ79" s="6">
        <v>0</v>
      </c>
      <c r="IR79" s="6">
        <v>0</v>
      </c>
      <c r="IS79" s="6">
        <v>0</v>
      </c>
      <c r="IT79" s="6">
        <v>0</v>
      </c>
      <c r="IU79" s="6">
        <v>0</v>
      </c>
      <c r="IV79" s="6"/>
      <c r="IW79" s="6" t="s">
        <v>426</v>
      </c>
      <c r="IX79" s="6">
        <v>1</v>
      </c>
      <c r="IY79" s="6" t="s">
        <v>474</v>
      </c>
      <c r="IZ79" s="6" t="s">
        <v>475</v>
      </c>
      <c r="JA79" s="6" t="s">
        <v>426</v>
      </c>
      <c r="JB79" s="6" t="s">
        <v>651</v>
      </c>
      <c r="JC79" s="6"/>
      <c r="JD79" s="6"/>
      <c r="JE79" s="6"/>
      <c r="JF79" s="6"/>
      <c r="JG79" s="6"/>
      <c r="JH79" s="6"/>
      <c r="JI79" s="6"/>
      <c r="JJ79" s="6"/>
      <c r="JK79" s="6" t="s">
        <v>426</v>
      </c>
      <c r="JL79" s="6" t="s">
        <v>453</v>
      </c>
      <c r="JM79" s="6" t="s">
        <v>913</v>
      </c>
      <c r="JN79" s="6">
        <v>1</v>
      </c>
      <c r="JO79" s="6">
        <v>0</v>
      </c>
      <c r="JP79" s="6">
        <v>0</v>
      </c>
      <c r="JQ79" s="6">
        <v>0</v>
      </c>
      <c r="JR79" s="6">
        <v>0</v>
      </c>
      <c r="JS79" s="6">
        <v>0</v>
      </c>
      <c r="JT79" s="6"/>
      <c r="JU79" s="6" t="s">
        <v>477</v>
      </c>
      <c r="JV79" s="15"/>
      <c r="JW79" s="94" t="s">
        <v>1755</v>
      </c>
      <c r="JX79" s="6" t="s">
        <v>1756</v>
      </c>
      <c r="JY79" s="6">
        <v>0.5870953</v>
      </c>
      <c r="JZ79" s="6">
        <v>34.4565999</v>
      </c>
      <c r="KA79" s="6">
        <v>1270</v>
      </c>
      <c r="KB79" s="15">
        <v>5</v>
      </c>
      <c r="KC79" s="15"/>
    </row>
    <row r="80" spans="1:289">
      <c r="A80" s="6" t="s">
        <v>419</v>
      </c>
      <c r="B80" s="6" t="s">
        <v>420</v>
      </c>
      <c r="C80" s="6" t="s">
        <v>1608</v>
      </c>
      <c r="D80" s="6" t="s">
        <v>1609</v>
      </c>
      <c r="E80" s="6" t="s">
        <v>1757</v>
      </c>
      <c r="F80" s="8" t="s">
        <v>483</v>
      </c>
      <c r="G80" s="6" t="s">
        <v>731</v>
      </c>
      <c r="H80" s="6" t="s">
        <v>425</v>
      </c>
      <c r="I80" s="15"/>
      <c r="J80" s="6" t="s">
        <v>426</v>
      </c>
      <c r="K80" s="6" t="s">
        <v>426</v>
      </c>
      <c r="L80" s="6" t="s">
        <v>426</v>
      </c>
      <c r="M80" s="6" t="s">
        <v>426</v>
      </c>
      <c r="N80" s="6" t="s">
        <v>426</v>
      </c>
      <c r="O80" s="6" t="s">
        <v>426</v>
      </c>
      <c r="P80" s="6" t="s">
        <v>426</v>
      </c>
      <c r="Q80" s="6" t="s">
        <v>426</v>
      </c>
      <c r="R80" s="6" t="s">
        <v>426</v>
      </c>
      <c r="S80" s="6" t="s">
        <v>426</v>
      </c>
      <c r="T80" s="6" t="s">
        <v>426</v>
      </c>
      <c r="U80" s="6" t="s">
        <v>426</v>
      </c>
      <c r="V80" s="6" t="s">
        <v>426</v>
      </c>
      <c r="W80" s="6" t="s">
        <v>426</v>
      </c>
      <c r="X80" s="6" t="s">
        <v>426</v>
      </c>
      <c r="Y80" s="6" t="s">
        <v>426</v>
      </c>
      <c r="Z80" s="6" t="s">
        <v>426</v>
      </c>
      <c r="AA80" s="6" t="s">
        <v>426</v>
      </c>
      <c r="AB80" s="6" t="s">
        <v>426</v>
      </c>
      <c r="AC80" s="15" t="s">
        <v>426</v>
      </c>
      <c r="AD80" s="6" t="s">
        <v>427</v>
      </c>
      <c r="AE80" s="6">
        <v>0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0</v>
      </c>
      <c r="AL80" s="6">
        <v>0</v>
      </c>
      <c r="AM80" s="6"/>
      <c r="AN80" s="15"/>
      <c r="AO80" s="6" t="s">
        <v>426</v>
      </c>
      <c r="AP80" s="6" t="s">
        <v>683</v>
      </c>
      <c r="AQ80" s="6" t="s">
        <v>426</v>
      </c>
      <c r="AR80" s="6" t="s">
        <v>683</v>
      </c>
      <c r="AS80" s="6" t="s">
        <v>426</v>
      </c>
      <c r="AT80" s="6">
        <v>2</v>
      </c>
      <c r="AU80" s="6" t="s">
        <v>426</v>
      </c>
      <c r="AV80" s="6">
        <v>0.2</v>
      </c>
      <c r="AW80" s="6" t="s">
        <v>426</v>
      </c>
      <c r="AX80" s="6">
        <v>1</v>
      </c>
      <c r="AY80" s="6" t="s">
        <v>426</v>
      </c>
      <c r="AZ80" s="6">
        <v>1</v>
      </c>
      <c r="BA80" s="6" t="s">
        <v>426</v>
      </c>
      <c r="BB80" s="6">
        <v>0.2</v>
      </c>
      <c r="BC80" s="6" t="s">
        <v>426</v>
      </c>
      <c r="BD80" s="6">
        <v>1</v>
      </c>
      <c r="BE80" s="6" t="s">
        <v>426</v>
      </c>
      <c r="BF80" s="6">
        <v>10</v>
      </c>
      <c r="BG80" s="6" t="s">
        <v>426</v>
      </c>
      <c r="BH80" s="6">
        <v>1</v>
      </c>
      <c r="BI80" s="6" t="s">
        <v>426</v>
      </c>
      <c r="BJ80" s="6">
        <v>2</v>
      </c>
      <c r="BK80" s="6" t="s">
        <v>426</v>
      </c>
      <c r="BL80" s="6">
        <v>0.2</v>
      </c>
      <c r="BM80" s="6" t="s">
        <v>426</v>
      </c>
      <c r="BN80" s="6">
        <v>20</v>
      </c>
      <c r="BO80" s="6" t="s">
        <v>426</v>
      </c>
      <c r="BP80" s="6">
        <v>0.2</v>
      </c>
      <c r="BQ80" s="6" t="s">
        <v>426</v>
      </c>
      <c r="BR80" s="6">
        <v>300</v>
      </c>
      <c r="BS80" s="6" t="s">
        <v>426</v>
      </c>
      <c r="BT80" s="6">
        <v>5</v>
      </c>
      <c r="BU80" s="6" t="s">
        <v>426</v>
      </c>
      <c r="BV80" s="15">
        <v>2</v>
      </c>
      <c r="BW80" s="15" t="s">
        <v>428</v>
      </c>
      <c r="BX80" s="15" t="s">
        <v>429</v>
      </c>
      <c r="BY80" s="6" t="s">
        <v>430</v>
      </c>
      <c r="BZ80" s="6" t="s">
        <v>430</v>
      </c>
      <c r="CA80" s="6" t="s">
        <v>430</v>
      </c>
      <c r="CB80" s="6" t="s">
        <v>431</v>
      </c>
      <c r="CC80" s="6" t="s">
        <v>430</v>
      </c>
      <c r="CD80" s="6" t="s">
        <v>430</v>
      </c>
      <c r="CE80" s="6" t="s">
        <v>431</v>
      </c>
      <c r="CF80" s="6" t="s">
        <v>430</v>
      </c>
      <c r="CG80" s="6" t="s">
        <v>431</v>
      </c>
      <c r="CH80" s="6" t="s">
        <v>430</v>
      </c>
      <c r="CI80" s="6" t="s">
        <v>430</v>
      </c>
      <c r="CJ80" s="6" t="s">
        <v>430</v>
      </c>
      <c r="CK80" s="6" t="s">
        <v>430</v>
      </c>
      <c r="CL80" s="6" t="s">
        <v>430</v>
      </c>
      <c r="CM80" s="6" t="s">
        <v>430</v>
      </c>
      <c r="CN80" s="6" t="s">
        <v>431</v>
      </c>
      <c r="CO80" s="15" t="s">
        <v>430</v>
      </c>
      <c r="CP80" s="15" t="s">
        <v>432</v>
      </c>
      <c r="CQ80" s="6" t="s">
        <v>433</v>
      </c>
      <c r="CR80" s="15"/>
      <c r="CS80" s="6" t="s">
        <v>426</v>
      </c>
      <c r="CT80" s="6" t="s">
        <v>1758</v>
      </c>
      <c r="CU80" s="6" t="s">
        <v>766</v>
      </c>
      <c r="CV80" s="6" t="s">
        <v>737</v>
      </c>
      <c r="CW80" s="6" t="s">
        <v>1088</v>
      </c>
      <c r="CX80" s="15" t="s">
        <v>426</v>
      </c>
      <c r="CY80" s="6" t="s">
        <v>426</v>
      </c>
      <c r="CZ80" s="6" t="s">
        <v>1759</v>
      </c>
      <c r="DA80" s="6" t="s">
        <v>935</v>
      </c>
      <c r="DB80" s="6" t="s">
        <v>1367</v>
      </c>
      <c r="DC80" s="6" t="s">
        <v>1088</v>
      </c>
      <c r="DD80" s="15" t="s">
        <v>1760</v>
      </c>
      <c r="DE80" s="15" t="s">
        <v>436</v>
      </c>
      <c r="DF80" s="6" t="s">
        <v>611</v>
      </c>
      <c r="DG80" s="6">
        <v>1</v>
      </c>
      <c r="DH80" s="6">
        <v>1</v>
      </c>
      <c r="DI80" s="6">
        <v>0</v>
      </c>
      <c r="DJ80" s="6">
        <v>0</v>
      </c>
      <c r="DK80" s="6">
        <v>0</v>
      </c>
      <c r="DL80" s="6">
        <v>0</v>
      </c>
      <c r="DM80" s="6"/>
      <c r="DN80" s="6"/>
      <c r="DO80" s="6"/>
      <c r="DP80" s="6"/>
      <c r="DQ80" s="6"/>
      <c r="DR80" s="6"/>
      <c r="DS80" s="6"/>
      <c r="DT80" s="66"/>
      <c r="DU80" s="6" t="s">
        <v>438</v>
      </c>
      <c r="DV80" s="6" t="s">
        <v>426</v>
      </c>
      <c r="DW80" s="6" t="s">
        <v>439</v>
      </c>
      <c r="DX80" s="6" t="s">
        <v>491</v>
      </c>
      <c r="DY80" s="6"/>
      <c r="DZ80" s="6" t="s">
        <v>768</v>
      </c>
      <c r="EA80" s="6">
        <v>1</v>
      </c>
      <c r="EB80" s="6">
        <v>1</v>
      </c>
      <c r="EC80" s="6">
        <v>1</v>
      </c>
      <c r="ED80" s="6">
        <v>1</v>
      </c>
      <c r="EE80" s="6">
        <v>1</v>
      </c>
      <c r="EF80" s="6">
        <v>0</v>
      </c>
      <c r="EG80" s="6">
        <v>0</v>
      </c>
      <c r="EH80" s="6">
        <v>0</v>
      </c>
      <c r="EI80" s="6"/>
      <c r="EJ80" s="6" t="s">
        <v>697</v>
      </c>
      <c r="EK80" s="6">
        <v>1</v>
      </c>
      <c r="EL80" s="6">
        <v>1</v>
      </c>
      <c r="EM80" s="6">
        <v>1</v>
      </c>
      <c r="EN80" s="6">
        <v>1</v>
      </c>
      <c r="EO80" s="6">
        <v>1</v>
      </c>
      <c r="EP80" s="6">
        <v>1</v>
      </c>
      <c r="EQ80" s="6">
        <v>0</v>
      </c>
      <c r="ER80" s="6">
        <v>0</v>
      </c>
      <c r="ES80" s="6">
        <v>0</v>
      </c>
      <c r="ET80" s="6"/>
      <c r="EU80" s="6" t="s">
        <v>494</v>
      </c>
      <c r="EV80" s="6" t="s">
        <v>495</v>
      </c>
      <c r="EW80" s="6"/>
      <c r="EX80" s="6" t="s">
        <v>445</v>
      </c>
      <c r="EY80" s="6">
        <v>0</v>
      </c>
      <c r="EZ80" s="6">
        <v>0</v>
      </c>
      <c r="FA80" s="6">
        <v>1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/>
      <c r="FH80" s="6" t="s">
        <v>446</v>
      </c>
      <c r="FI80" s="6">
        <v>1</v>
      </c>
      <c r="FJ80" s="6">
        <v>0</v>
      </c>
      <c r="FK80" s="6">
        <v>0</v>
      </c>
      <c r="FL80" s="6">
        <v>0</v>
      </c>
      <c r="FM80" s="6">
        <v>1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/>
      <c r="FT80" s="6" t="s">
        <v>447</v>
      </c>
      <c r="FU80" s="6" t="s">
        <v>448</v>
      </c>
      <c r="FV80" s="6"/>
      <c r="FW80" s="6" t="s">
        <v>449</v>
      </c>
      <c r="FX80" s="15" t="s">
        <v>528</v>
      </c>
      <c r="FY80" s="6" t="s">
        <v>451</v>
      </c>
      <c r="FZ80" s="6"/>
      <c r="GA80" s="6" t="s">
        <v>528</v>
      </c>
      <c r="GB80" s="6" t="s">
        <v>452</v>
      </c>
      <c r="GC80" s="6" t="s">
        <v>453</v>
      </c>
      <c r="GD80" s="6"/>
      <c r="GE80" s="6" t="s">
        <v>454</v>
      </c>
      <c r="GF80" s="6" t="s">
        <v>1761</v>
      </c>
      <c r="GG80" s="6" t="s">
        <v>456</v>
      </c>
      <c r="GH80" s="15" t="s">
        <v>1762</v>
      </c>
      <c r="GI80" s="6" t="s">
        <v>458</v>
      </c>
      <c r="GJ80" s="6" t="s">
        <v>1144</v>
      </c>
      <c r="GK80" s="6" t="s">
        <v>460</v>
      </c>
      <c r="GL80" s="6" t="s">
        <v>704</v>
      </c>
      <c r="GM80" s="6">
        <v>0</v>
      </c>
      <c r="GN80" s="6">
        <v>0</v>
      </c>
      <c r="GO80" s="6">
        <v>0</v>
      </c>
      <c r="GP80" s="6">
        <v>1</v>
      </c>
      <c r="GQ80" s="6">
        <v>0</v>
      </c>
      <c r="GR80" s="6">
        <v>0</v>
      </c>
      <c r="GS80" s="6">
        <v>0</v>
      </c>
      <c r="GT80" s="6"/>
      <c r="GU80" s="6" t="s">
        <v>462</v>
      </c>
      <c r="GV80" s="6" t="s">
        <v>463</v>
      </c>
      <c r="GW80" s="6" t="s">
        <v>464</v>
      </c>
      <c r="GX80" s="6">
        <v>1</v>
      </c>
      <c r="GY80" s="6">
        <v>0</v>
      </c>
      <c r="GZ80" s="6">
        <v>0</v>
      </c>
      <c r="HA80" s="6">
        <v>0</v>
      </c>
      <c r="HB80" s="6">
        <v>0</v>
      </c>
      <c r="HC80" s="6">
        <v>0</v>
      </c>
      <c r="HD80" s="6"/>
      <c r="HE80" s="6" t="s">
        <v>535</v>
      </c>
      <c r="HF80" s="6">
        <v>1</v>
      </c>
      <c r="HG80" s="6">
        <v>0</v>
      </c>
      <c r="HH80" s="6">
        <v>0</v>
      </c>
      <c r="HI80" s="6">
        <v>0</v>
      </c>
      <c r="HJ80" s="6">
        <v>0</v>
      </c>
      <c r="HK80" s="6">
        <v>0</v>
      </c>
      <c r="HL80" s="15"/>
      <c r="HM80" s="6" t="s">
        <v>466</v>
      </c>
      <c r="HN80" s="6"/>
      <c r="HO80" s="6" t="s">
        <v>1763</v>
      </c>
      <c r="HP80" s="6" t="s">
        <v>468</v>
      </c>
      <c r="HQ80" s="6"/>
      <c r="HR80" s="6" t="s">
        <v>1616</v>
      </c>
      <c r="HS80" s="6" t="s">
        <v>470</v>
      </c>
      <c r="HT80" s="6">
        <v>0</v>
      </c>
      <c r="HU80" s="6">
        <v>0</v>
      </c>
      <c r="HV80" s="6">
        <v>0</v>
      </c>
      <c r="HW80" s="6">
        <v>0</v>
      </c>
      <c r="HX80" s="6">
        <v>1</v>
      </c>
      <c r="HY80" s="6">
        <v>0</v>
      </c>
      <c r="HZ80" s="6"/>
      <c r="IA80" s="6" t="s">
        <v>111</v>
      </c>
      <c r="IB80" s="6">
        <v>1</v>
      </c>
      <c r="IC80" s="6">
        <v>0</v>
      </c>
      <c r="ID80" s="6">
        <v>0</v>
      </c>
      <c r="IE80" s="6">
        <v>0</v>
      </c>
      <c r="IF80" s="6">
        <v>0</v>
      </c>
      <c r="IG80" s="6">
        <v>0</v>
      </c>
      <c r="IH80" s="15" t="s">
        <v>1764</v>
      </c>
      <c r="II80" s="6" t="s">
        <v>426</v>
      </c>
      <c r="IJ80" s="6" t="s">
        <v>472</v>
      </c>
      <c r="IK80" s="6">
        <v>1</v>
      </c>
      <c r="IL80" s="6">
        <v>0</v>
      </c>
      <c r="IM80" s="6">
        <v>0</v>
      </c>
      <c r="IN80" s="6"/>
      <c r="IO80" s="6" t="s">
        <v>473</v>
      </c>
      <c r="IP80" s="6">
        <v>1</v>
      </c>
      <c r="IQ80" s="6">
        <v>0</v>
      </c>
      <c r="IR80" s="6">
        <v>0</v>
      </c>
      <c r="IS80" s="6">
        <v>0</v>
      </c>
      <c r="IT80" s="6">
        <v>0</v>
      </c>
      <c r="IU80" s="6">
        <v>0</v>
      </c>
      <c r="IV80" s="6"/>
      <c r="IW80" s="6" t="s">
        <v>453</v>
      </c>
      <c r="IX80" s="6"/>
      <c r="IY80" s="6" t="s">
        <v>510</v>
      </c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 t="s">
        <v>426</v>
      </c>
      <c r="JK80" s="6" t="s">
        <v>426</v>
      </c>
      <c r="JL80" s="6" t="s">
        <v>426</v>
      </c>
      <c r="JM80" s="6"/>
      <c r="JN80" s="6"/>
      <c r="JO80" s="6"/>
      <c r="JP80" s="6"/>
      <c r="JQ80" s="6"/>
      <c r="JR80" s="6"/>
      <c r="JS80" s="6"/>
      <c r="JT80" s="6"/>
      <c r="JU80" s="6" t="s">
        <v>477</v>
      </c>
      <c r="JV80" s="15"/>
      <c r="JW80" s="94" t="s">
        <v>1765</v>
      </c>
      <c r="JX80" s="6" t="s">
        <v>1766</v>
      </c>
      <c r="JY80" s="6">
        <v>0.5869017</v>
      </c>
      <c r="JZ80" s="6">
        <v>34.4564767</v>
      </c>
      <c r="KA80" s="6">
        <v>1274.9</v>
      </c>
      <c r="KB80" s="15">
        <v>4.96</v>
      </c>
      <c r="KC80" s="15"/>
    </row>
    <row r="81" spans="1:289">
      <c r="A81" s="6" t="s">
        <v>581</v>
      </c>
      <c r="B81" s="6" t="s">
        <v>420</v>
      </c>
      <c r="C81" s="6" t="s">
        <v>1608</v>
      </c>
      <c r="D81" s="6" t="s">
        <v>1620</v>
      </c>
      <c r="E81" s="6" t="s">
        <v>1767</v>
      </c>
      <c r="F81" s="8" t="s">
        <v>423</v>
      </c>
      <c r="G81" s="6" t="s">
        <v>567</v>
      </c>
      <c r="H81" s="6" t="s">
        <v>425</v>
      </c>
      <c r="I81" s="15"/>
      <c r="J81" s="6" t="s">
        <v>426</v>
      </c>
      <c r="K81" s="6" t="s">
        <v>426</v>
      </c>
      <c r="L81" s="6" t="s">
        <v>426</v>
      </c>
      <c r="M81" s="6" t="s">
        <v>426</v>
      </c>
      <c r="N81" s="6" t="s">
        <v>426</v>
      </c>
      <c r="O81" s="6" t="s">
        <v>426</v>
      </c>
      <c r="P81" s="6" t="s">
        <v>426</v>
      </c>
      <c r="Q81" s="6" t="s">
        <v>426</v>
      </c>
      <c r="R81" s="6" t="s">
        <v>426</v>
      </c>
      <c r="S81" s="6" t="s">
        <v>426</v>
      </c>
      <c r="T81" s="6" t="s">
        <v>426</v>
      </c>
      <c r="U81" s="6" t="s">
        <v>426</v>
      </c>
      <c r="V81" s="6" t="s">
        <v>426</v>
      </c>
      <c r="W81" s="6" t="s">
        <v>426</v>
      </c>
      <c r="X81" s="6" t="s">
        <v>426</v>
      </c>
      <c r="Y81" s="6" t="s">
        <v>426</v>
      </c>
      <c r="Z81" s="6" t="s">
        <v>426</v>
      </c>
      <c r="AA81" s="6" t="s">
        <v>426</v>
      </c>
      <c r="AB81" s="6" t="s">
        <v>426</v>
      </c>
      <c r="AC81" s="15" t="s">
        <v>426</v>
      </c>
      <c r="AD81" s="6" t="s">
        <v>1768</v>
      </c>
      <c r="AE81" s="6">
        <v>1</v>
      </c>
      <c r="AF81" s="6">
        <v>0</v>
      </c>
      <c r="AG81" s="6">
        <v>0</v>
      </c>
      <c r="AH81" s="6">
        <v>1</v>
      </c>
      <c r="AI81" s="6">
        <v>0</v>
      </c>
      <c r="AJ81" s="6">
        <v>1</v>
      </c>
      <c r="AK81" s="6">
        <v>1</v>
      </c>
      <c r="AL81" s="6">
        <v>0</v>
      </c>
      <c r="AM81" s="6"/>
      <c r="AN81" s="15"/>
      <c r="AO81" s="6" t="s">
        <v>426</v>
      </c>
      <c r="AP81" s="6" t="s">
        <v>758</v>
      </c>
      <c r="AQ81" s="6" t="s">
        <v>426</v>
      </c>
      <c r="AR81" s="6" t="s">
        <v>766</v>
      </c>
      <c r="AS81" s="6" t="s">
        <v>426</v>
      </c>
      <c r="AT81" s="6">
        <v>1</v>
      </c>
      <c r="AU81" s="6" t="s">
        <v>426</v>
      </c>
      <c r="AV81" s="6">
        <v>1</v>
      </c>
      <c r="AW81" s="6" t="s">
        <v>426</v>
      </c>
      <c r="AX81" s="6">
        <v>1</v>
      </c>
      <c r="AY81" s="6" t="s">
        <v>426</v>
      </c>
      <c r="AZ81" s="6">
        <v>2</v>
      </c>
      <c r="BA81" s="6" t="s">
        <v>453</v>
      </c>
      <c r="BB81" s="6"/>
      <c r="BC81" s="6" t="s">
        <v>426</v>
      </c>
      <c r="BD81" s="6">
        <v>1</v>
      </c>
      <c r="BE81" s="6" t="s">
        <v>426</v>
      </c>
      <c r="BF81" s="6">
        <v>35</v>
      </c>
      <c r="BG81" s="6" t="s">
        <v>426</v>
      </c>
      <c r="BH81" s="6">
        <v>1</v>
      </c>
      <c r="BI81" s="6" t="s">
        <v>426</v>
      </c>
      <c r="BJ81" s="6">
        <v>1</v>
      </c>
      <c r="BK81" s="6" t="s">
        <v>426</v>
      </c>
      <c r="BL81" s="6">
        <v>1</v>
      </c>
      <c r="BM81" s="6" t="s">
        <v>426</v>
      </c>
      <c r="BN81" s="6">
        <v>30</v>
      </c>
      <c r="BO81" s="6" t="s">
        <v>426</v>
      </c>
      <c r="BP81" s="6">
        <v>1</v>
      </c>
      <c r="BQ81" s="6" t="s">
        <v>426</v>
      </c>
      <c r="BR81" s="6">
        <v>500</v>
      </c>
      <c r="BS81" s="6" t="s">
        <v>426</v>
      </c>
      <c r="BT81" s="6">
        <v>1</v>
      </c>
      <c r="BU81" s="6" t="s">
        <v>426</v>
      </c>
      <c r="BV81" s="15">
        <v>1</v>
      </c>
      <c r="BW81" s="15" t="s">
        <v>518</v>
      </c>
      <c r="BX81" s="15" t="s">
        <v>429</v>
      </c>
      <c r="BY81" s="6" t="s">
        <v>430</v>
      </c>
      <c r="BZ81" s="6" t="s">
        <v>430</v>
      </c>
      <c r="CA81" s="6" t="s">
        <v>430</v>
      </c>
      <c r="CB81" s="6" t="s">
        <v>430</v>
      </c>
      <c r="CC81" s="6" t="s">
        <v>430</v>
      </c>
      <c r="CD81" s="6" t="s">
        <v>430</v>
      </c>
      <c r="CE81" s="6" t="s">
        <v>430</v>
      </c>
      <c r="CF81" s="6" t="s">
        <v>430</v>
      </c>
      <c r="CG81" s="6" t="s">
        <v>430</v>
      </c>
      <c r="CH81" s="6" t="s">
        <v>430</v>
      </c>
      <c r="CI81" s="6" t="s">
        <v>430</v>
      </c>
      <c r="CJ81" s="6" t="s">
        <v>430</v>
      </c>
      <c r="CK81" s="6" t="s">
        <v>430</v>
      </c>
      <c r="CL81" s="6" t="s">
        <v>430</v>
      </c>
      <c r="CM81" s="6" t="s">
        <v>430</v>
      </c>
      <c r="CN81" s="6" t="s">
        <v>430</v>
      </c>
      <c r="CO81" s="15" t="s">
        <v>430</v>
      </c>
      <c r="CP81" s="15" t="s">
        <v>432</v>
      </c>
      <c r="CQ81" s="6" t="s">
        <v>433</v>
      </c>
      <c r="CR81" s="15"/>
      <c r="CS81" s="6" t="s">
        <v>426</v>
      </c>
      <c r="CT81" s="6" t="s">
        <v>1769</v>
      </c>
      <c r="CU81" s="6" t="s">
        <v>737</v>
      </c>
      <c r="CV81" s="6" t="s">
        <v>789</v>
      </c>
      <c r="CW81" s="6" t="s">
        <v>1770</v>
      </c>
      <c r="CX81" s="15" t="s">
        <v>426</v>
      </c>
      <c r="CY81" s="6" t="s">
        <v>453</v>
      </c>
      <c r="CZ81" s="6"/>
      <c r="DA81" s="6"/>
      <c r="DB81" s="6"/>
      <c r="DC81" s="6"/>
      <c r="DD81" s="15"/>
      <c r="DE81" s="15" t="s">
        <v>436</v>
      </c>
      <c r="DF81" s="6" t="s">
        <v>1171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1</v>
      </c>
      <c r="DM81" s="6" t="s">
        <v>1771</v>
      </c>
      <c r="DN81" s="6"/>
      <c r="DO81" s="6"/>
      <c r="DP81" s="6"/>
      <c r="DQ81" s="6"/>
      <c r="DR81" s="6"/>
      <c r="DS81" s="6"/>
      <c r="DT81" s="66"/>
      <c r="DU81" s="6" t="s">
        <v>523</v>
      </c>
      <c r="DV81" s="6" t="s">
        <v>426</v>
      </c>
      <c r="DW81" s="6" t="s">
        <v>490</v>
      </c>
      <c r="DX81" s="6" t="s">
        <v>440</v>
      </c>
      <c r="DY81" s="6"/>
      <c r="DZ81" s="6" t="s">
        <v>768</v>
      </c>
      <c r="EA81" s="6">
        <v>1</v>
      </c>
      <c r="EB81" s="6">
        <v>1</v>
      </c>
      <c r="EC81" s="6">
        <v>1</v>
      </c>
      <c r="ED81" s="6">
        <v>1</v>
      </c>
      <c r="EE81" s="6">
        <v>1</v>
      </c>
      <c r="EF81" s="6">
        <v>0</v>
      </c>
      <c r="EG81" s="6">
        <v>0</v>
      </c>
      <c r="EH81" s="6">
        <v>0</v>
      </c>
      <c r="EI81" s="6"/>
      <c r="EJ81" s="6" t="s">
        <v>1772</v>
      </c>
      <c r="EK81" s="6">
        <v>1</v>
      </c>
      <c r="EL81" s="6">
        <v>1</v>
      </c>
      <c r="EM81" s="6">
        <v>1</v>
      </c>
      <c r="EN81" s="6">
        <v>1</v>
      </c>
      <c r="EO81" s="6">
        <v>1</v>
      </c>
      <c r="EP81" s="6">
        <v>1</v>
      </c>
      <c r="EQ81" s="6">
        <v>1</v>
      </c>
      <c r="ER81" s="6">
        <v>0</v>
      </c>
      <c r="ES81" s="6">
        <v>0</v>
      </c>
      <c r="ET81" s="6"/>
      <c r="EU81" s="6" t="s">
        <v>443</v>
      </c>
      <c r="EV81" s="6" t="s">
        <v>588</v>
      </c>
      <c r="EW81" s="6"/>
      <c r="EX81" s="6" t="s">
        <v>1773</v>
      </c>
      <c r="EY81" s="6">
        <v>1</v>
      </c>
      <c r="EZ81" s="6">
        <v>1</v>
      </c>
      <c r="FA81" s="6">
        <v>1</v>
      </c>
      <c r="FB81" s="6">
        <v>1</v>
      </c>
      <c r="FC81" s="6">
        <v>1</v>
      </c>
      <c r="FD81" s="6">
        <v>1</v>
      </c>
      <c r="FE81" s="6">
        <v>0</v>
      </c>
      <c r="FF81" s="6">
        <v>0</v>
      </c>
      <c r="FG81" s="6"/>
      <c r="FH81" s="6" t="s">
        <v>1774</v>
      </c>
      <c r="FI81" s="6">
        <v>0</v>
      </c>
      <c r="FJ81" s="6">
        <v>0</v>
      </c>
      <c r="FK81" s="6">
        <v>1</v>
      </c>
      <c r="FL81" s="6">
        <v>0</v>
      </c>
      <c r="FM81" s="6">
        <v>0</v>
      </c>
      <c r="FN81" s="6">
        <v>1</v>
      </c>
      <c r="FO81" s="6">
        <v>0</v>
      </c>
      <c r="FP81" s="6">
        <v>0</v>
      </c>
      <c r="FQ81" s="6">
        <v>1</v>
      </c>
      <c r="FR81" s="6">
        <v>0</v>
      </c>
      <c r="FS81" s="6"/>
      <c r="FT81" s="6" t="s">
        <v>556</v>
      </c>
      <c r="FU81" s="6" t="s">
        <v>448</v>
      </c>
      <c r="FV81" s="6"/>
      <c r="FW81" s="6" t="s">
        <v>449</v>
      </c>
      <c r="FX81" s="15" t="s">
        <v>450</v>
      </c>
      <c r="FY81" s="6" t="s">
        <v>500</v>
      </c>
      <c r="FZ81" s="6"/>
      <c r="GA81" s="6" t="s">
        <v>450</v>
      </c>
      <c r="GB81" s="6" t="s">
        <v>501</v>
      </c>
      <c r="GC81" s="6" t="s">
        <v>453</v>
      </c>
      <c r="GD81" s="6"/>
      <c r="GE81" s="6" t="s">
        <v>454</v>
      </c>
      <c r="GF81" s="6" t="s">
        <v>1775</v>
      </c>
      <c r="GG81" s="6" t="s">
        <v>456</v>
      </c>
      <c r="GH81" s="15" t="s">
        <v>1776</v>
      </c>
      <c r="GI81" s="6" t="s">
        <v>458</v>
      </c>
      <c r="GJ81" s="6" t="s">
        <v>1725</v>
      </c>
      <c r="GK81" s="6" t="s">
        <v>460</v>
      </c>
      <c r="GL81" s="6" t="s">
        <v>461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1</v>
      </c>
      <c r="GS81" s="6">
        <v>0</v>
      </c>
      <c r="GT81" s="6"/>
      <c r="GU81" s="6" t="s">
        <v>534</v>
      </c>
      <c r="GV81" s="6" t="s">
        <v>595</v>
      </c>
      <c r="GW81" s="6" t="s">
        <v>721</v>
      </c>
      <c r="GX81" s="6">
        <v>1</v>
      </c>
      <c r="GY81" s="6">
        <v>0</v>
      </c>
      <c r="GZ81" s="6">
        <v>0</v>
      </c>
      <c r="HA81" s="6">
        <v>1</v>
      </c>
      <c r="HB81" s="6">
        <v>0</v>
      </c>
      <c r="HC81" s="6">
        <v>0</v>
      </c>
      <c r="HD81" s="6"/>
      <c r="HE81" s="6" t="s">
        <v>596</v>
      </c>
      <c r="HF81" s="6">
        <v>1</v>
      </c>
      <c r="HG81" s="6">
        <v>1</v>
      </c>
      <c r="HH81" s="6">
        <v>1</v>
      </c>
      <c r="HI81" s="6">
        <v>1</v>
      </c>
      <c r="HJ81" s="6">
        <v>0</v>
      </c>
      <c r="HK81" s="6">
        <v>0</v>
      </c>
      <c r="HL81" s="15"/>
      <c r="HM81" s="6" t="s">
        <v>505</v>
      </c>
      <c r="HN81" s="6"/>
      <c r="HO81" s="6" t="s">
        <v>1777</v>
      </c>
      <c r="HP81" s="6" t="s">
        <v>561</v>
      </c>
      <c r="HQ81" s="6"/>
      <c r="HR81" s="6" t="s">
        <v>1727</v>
      </c>
      <c r="HS81" s="6" t="s">
        <v>599</v>
      </c>
      <c r="HT81" s="6">
        <v>1</v>
      </c>
      <c r="HU81" s="6">
        <v>0</v>
      </c>
      <c r="HV81" s="6">
        <v>1</v>
      </c>
      <c r="HW81" s="6">
        <v>0</v>
      </c>
      <c r="HX81" s="6">
        <v>1</v>
      </c>
      <c r="HY81" s="6">
        <v>0</v>
      </c>
      <c r="HZ81" s="6"/>
      <c r="IA81" s="6" t="s">
        <v>1284</v>
      </c>
      <c r="IB81" s="6">
        <v>1</v>
      </c>
      <c r="IC81" s="6">
        <v>1</v>
      </c>
      <c r="ID81" s="6">
        <v>1</v>
      </c>
      <c r="IE81" s="6">
        <v>1</v>
      </c>
      <c r="IF81" s="6">
        <v>0</v>
      </c>
      <c r="IG81" s="6">
        <v>0</v>
      </c>
      <c r="IH81" s="15" t="s">
        <v>1778</v>
      </c>
      <c r="II81" s="6" t="s">
        <v>426</v>
      </c>
      <c r="IJ81" s="6" t="s">
        <v>602</v>
      </c>
      <c r="IK81" s="6">
        <v>1</v>
      </c>
      <c r="IL81" s="6">
        <v>1</v>
      </c>
      <c r="IM81" s="6">
        <v>0</v>
      </c>
      <c r="IN81" s="6"/>
      <c r="IO81" s="6" t="s">
        <v>893</v>
      </c>
      <c r="IP81" s="6">
        <v>1</v>
      </c>
      <c r="IQ81" s="6">
        <v>0</v>
      </c>
      <c r="IR81" s="6">
        <v>0</v>
      </c>
      <c r="IS81" s="6">
        <v>1</v>
      </c>
      <c r="IT81" s="6">
        <v>0</v>
      </c>
      <c r="IU81" s="6">
        <v>0</v>
      </c>
      <c r="IV81" s="6"/>
      <c r="IW81" s="6" t="s">
        <v>426</v>
      </c>
      <c r="IX81" s="6">
        <v>1</v>
      </c>
      <c r="IY81" s="6" t="s">
        <v>474</v>
      </c>
      <c r="IZ81" s="6" t="s">
        <v>475</v>
      </c>
      <c r="JA81" s="6" t="s">
        <v>426</v>
      </c>
      <c r="JB81" s="6" t="s">
        <v>476</v>
      </c>
      <c r="JC81" s="6"/>
      <c r="JD81" s="6"/>
      <c r="JE81" s="6"/>
      <c r="JF81" s="6"/>
      <c r="JG81" s="6"/>
      <c r="JH81" s="6"/>
      <c r="JI81" s="6"/>
      <c r="JJ81" s="6"/>
      <c r="JK81" s="6" t="s">
        <v>426</v>
      </c>
      <c r="JL81" s="6" t="s">
        <v>426</v>
      </c>
      <c r="JM81" s="6"/>
      <c r="JN81" s="6"/>
      <c r="JO81" s="6"/>
      <c r="JP81" s="6"/>
      <c r="JQ81" s="6"/>
      <c r="JR81" s="6"/>
      <c r="JS81" s="6"/>
      <c r="JT81" s="6"/>
      <c r="JU81" s="6" t="s">
        <v>895</v>
      </c>
      <c r="JV81" s="15" t="s">
        <v>1779</v>
      </c>
      <c r="JW81" s="94" t="s">
        <v>1780</v>
      </c>
      <c r="JX81" s="6" t="s">
        <v>1781</v>
      </c>
      <c r="JY81" s="6">
        <v>0.5869817</v>
      </c>
      <c r="JZ81" s="6">
        <v>34.4563217</v>
      </c>
      <c r="KA81" s="6">
        <v>1241.4</v>
      </c>
      <c r="KB81" s="15">
        <v>3.5</v>
      </c>
      <c r="KC81" s="15"/>
    </row>
    <row r="82" spans="1:289">
      <c r="A82" s="6" t="s">
        <v>755</v>
      </c>
      <c r="B82" s="6" t="s">
        <v>420</v>
      </c>
      <c r="C82" s="6" t="s">
        <v>1608</v>
      </c>
      <c r="D82" s="6" t="s">
        <v>1609</v>
      </c>
      <c r="E82" s="6" t="s">
        <v>1782</v>
      </c>
      <c r="F82" s="8" t="s">
        <v>423</v>
      </c>
      <c r="G82" s="6" t="s">
        <v>424</v>
      </c>
      <c r="H82" s="6" t="s">
        <v>517</v>
      </c>
      <c r="I82" s="15"/>
      <c r="J82" s="6" t="s">
        <v>426</v>
      </c>
      <c r="K82" s="6" t="s">
        <v>426</v>
      </c>
      <c r="L82" s="6" t="s">
        <v>426</v>
      </c>
      <c r="M82" s="6" t="s">
        <v>426</v>
      </c>
      <c r="N82" s="6" t="s">
        <v>426</v>
      </c>
      <c r="O82" s="6" t="s">
        <v>426</v>
      </c>
      <c r="P82" s="6" t="s">
        <v>426</v>
      </c>
      <c r="Q82" s="6" t="s">
        <v>426</v>
      </c>
      <c r="R82" s="6" t="s">
        <v>426</v>
      </c>
      <c r="S82" s="6" t="s">
        <v>426</v>
      </c>
      <c r="T82" s="6" t="s">
        <v>426</v>
      </c>
      <c r="U82" s="6" t="s">
        <v>426</v>
      </c>
      <c r="V82" s="6" t="s">
        <v>426</v>
      </c>
      <c r="W82" s="6" t="s">
        <v>426</v>
      </c>
      <c r="X82" s="6" t="s">
        <v>426</v>
      </c>
      <c r="Y82" s="6" t="s">
        <v>426</v>
      </c>
      <c r="Z82" s="6" t="s">
        <v>426</v>
      </c>
      <c r="AA82" s="6" t="s">
        <v>426</v>
      </c>
      <c r="AB82" s="6" t="s">
        <v>426</v>
      </c>
      <c r="AC82" s="15" t="s">
        <v>426</v>
      </c>
      <c r="AD82" s="6" t="s">
        <v>427</v>
      </c>
      <c r="AE82" s="6">
        <v>0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/>
      <c r="AN82" s="15"/>
      <c r="AO82" s="6" t="s">
        <v>426</v>
      </c>
      <c r="AP82" s="6" t="s">
        <v>1783</v>
      </c>
      <c r="AQ82" s="6" t="s">
        <v>426</v>
      </c>
      <c r="AR82" s="6" t="s">
        <v>1783</v>
      </c>
      <c r="AS82" s="6" t="s">
        <v>426</v>
      </c>
      <c r="AT82" s="6">
        <v>1</v>
      </c>
      <c r="AU82" s="6" t="s">
        <v>453</v>
      </c>
      <c r="AV82" s="6"/>
      <c r="AW82" s="6" t="s">
        <v>426</v>
      </c>
      <c r="AX82" s="6">
        <v>1</v>
      </c>
      <c r="AY82" s="6" t="s">
        <v>426</v>
      </c>
      <c r="AZ82" s="6">
        <v>5</v>
      </c>
      <c r="BA82" s="6" t="s">
        <v>453</v>
      </c>
      <c r="BB82" s="6"/>
      <c r="BC82" s="6" t="s">
        <v>426</v>
      </c>
      <c r="BD82" s="6">
        <v>1</v>
      </c>
      <c r="BE82" s="6" t="s">
        <v>453</v>
      </c>
      <c r="BF82" s="6"/>
      <c r="BG82" s="6" t="s">
        <v>426</v>
      </c>
      <c r="BH82" s="6">
        <v>1</v>
      </c>
      <c r="BI82" s="6" t="s">
        <v>426</v>
      </c>
      <c r="BJ82" s="6">
        <v>1</v>
      </c>
      <c r="BK82" s="6" t="s">
        <v>426</v>
      </c>
      <c r="BL82" s="6">
        <v>1</v>
      </c>
      <c r="BM82" s="6" t="s">
        <v>426</v>
      </c>
      <c r="BN82" s="6">
        <v>140</v>
      </c>
      <c r="BO82" s="6" t="s">
        <v>426</v>
      </c>
      <c r="BP82" s="6">
        <v>1</v>
      </c>
      <c r="BQ82" s="6" t="s">
        <v>426</v>
      </c>
      <c r="BR82" s="6">
        <v>485</v>
      </c>
      <c r="BS82" s="6" t="s">
        <v>426</v>
      </c>
      <c r="BT82" s="6">
        <v>15</v>
      </c>
      <c r="BU82" s="6" t="s">
        <v>426</v>
      </c>
      <c r="BV82" s="15">
        <v>1</v>
      </c>
      <c r="BW82" s="15" t="s">
        <v>428</v>
      </c>
      <c r="BX82" s="15" t="s">
        <v>429</v>
      </c>
      <c r="BY82" s="6" t="s">
        <v>430</v>
      </c>
      <c r="BZ82" s="6" t="s">
        <v>430</v>
      </c>
      <c r="CA82" s="6" t="s">
        <v>430</v>
      </c>
      <c r="CB82" s="6" t="s">
        <v>431</v>
      </c>
      <c r="CC82" s="6" t="s">
        <v>430</v>
      </c>
      <c r="CD82" s="6" t="s">
        <v>430</v>
      </c>
      <c r="CE82" s="6" t="s">
        <v>431</v>
      </c>
      <c r="CF82" s="6" t="s">
        <v>430</v>
      </c>
      <c r="CG82" s="6" t="s">
        <v>486</v>
      </c>
      <c r="CH82" s="6" t="s">
        <v>430</v>
      </c>
      <c r="CI82" s="6" t="s">
        <v>430</v>
      </c>
      <c r="CJ82" s="6" t="s">
        <v>430</v>
      </c>
      <c r="CK82" s="6" t="s">
        <v>430</v>
      </c>
      <c r="CL82" s="6" t="s">
        <v>430</v>
      </c>
      <c r="CM82" s="6" t="s">
        <v>430</v>
      </c>
      <c r="CN82" s="6" t="s">
        <v>430</v>
      </c>
      <c r="CO82" s="15" t="s">
        <v>430</v>
      </c>
      <c r="CP82" s="15" t="s">
        <v>432</v>
      </c>
      <c r="CQ82" s="6" t="s">
        <v>433</v>
      </c>
      <c r="CR82" s="15"/>
      <c r="CS82" s="6" t="s">
        <v>426</v>
      </c>
      <c r="CT82" s="6" t="s">
        <v>1784</v>
      </c>
      <c r="CU82" s="6" t="s">
        <v>920</v>
      </c>
      <c r="CV82" s="6" t="s">
        <v>1785</v>
      </c>
      <c r="CW82" s="6" t="s">
        <v>1786</v>
      </c>
      <c r="CX82" s="15" t="s">
        <v>426</v>
      </c>
      <c r="CY82" s="6" t="s">
        <v>426</v>
      </c>
      <c r="CZ82" s="6" t="s">
        <v>1787</v>
      </c>
      <c r="DA82" s="6" t="s">
        <v>985</v>
      </c>
      <c r="DB82" s="6" t="s">
        <v>985</v>
      </c>
      <c r="DC82" s="6" t="s">
        <v>1785</v>
      </c>
      <c r="DD82" s="15" t="s">
        <v>1565</v>
      </c>
      <c r="DE82" s="15" t="s">
        <v>436</v>
      </c>
      <c r="DF82" s="6" t="s">
        <v>437</v>
      </c>
      <c r="DG82" s="6">
        <v>1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/>
      <c r="DN82" s="6"/>
      <c r="DO82" s="6"/>
      <c r="DP82" s="6"/>
      <c r="DQ82" s="6"/>
      <c r="DR82" s="6"/>
      <c r="DS82" s="6"/>
      <c r="DT82" s="66"/>
      <c r="DU82" s="6" t="s">
        <v>438</v>
      </c>
      <c r="DV82" s="6" t="s">
        <v>426</v>
      </c>
      <c r="DW82" s="6" t="s">
        <v>439</v>
      </c>
      <c r="DX82" s="6" t="s">
        <v>440</v>
      </c>
      <c r="DY82" s="6"/>
      <c r="DZ82" s="6" t="s">
        <v>1788</v>
      </c>
      <c r="EA82" s="6">
        <v>1</v>
      </c>
      <c r="EB82" s="6">
        <v>1</v>
      </c>
      <c r="EC82" s="6">
        <v>1</v>
      </c>
      <c r="ED82" s="6">
        <v>1</v>
      </c>
      <c r="EE82" s="6">
        <v>1</v>
      </c>
      <c r="EF82" s="6">
        <v>1</v>
      </c>
      <c r="EG82" s="6">
        <v>0</v>
      </c>
      <c r="EH82" s="6">
        <v>0</v>
      </c>
      <c r="EI82" s="6"/>
      <c r="EJ82" s="6" t="s">
        <v>1789</v>
      </c>
      <c r="EK82" s="6">
        <v>1</v>
      </c>
      <c r="EL82" s="6">
        <v>1</v>
      </c>
      <c r="EM82" s="6">
        <v>1</v>
      </c>
      <c r="EN82" s="6">
        <v>1</v>
      </c>
      <c r="EO82" s="6">
        <v>1</v>
      </c>
      <c r="EP82" s="6">
        <v>1</v>
      </c>
      <c r="EQ82" s="6">
        <v>1</v>
      </c>
      <c r="ER82" s="6">
        <v>0</v>
      </c>
      <c r="ES82" s="6">
        <v>1</v>
      </c>
      <c r="ET82" s="6" t="s">
        <v>1790</v>
      </c>
      <c r="EU82" s="6" t="s">
        <v>443</v>
      </c>
      <c r="EV82" s="6" t="s">
        <v>554</v>
      </c>
      <c r="EW82" s="6"/>
      <c r="EX82" s="6" t="s">
        <v>1791</v>
      </c>
      <c r="EY82" s="6">
        <v>1</v>
      </c>
      <c r="EZ82" s="6">
        <v>1</v>
      </c>
      <c r="FA82" s="6">
        <v>1</v>
      </c>
      <c r="FB82" s="6">
        <v>0</v>
      </c>
      <c r="FC82" s="6">
        <v>1</v>
      </c>
      <c r="FD82" s="6">
        <v>1</v>
      </c>
      <c r="FE82" s="6">
        <v>0</v>
      </c>
      <c r="FF82" s="6">
        <v>0</v>
      </c>
      <c r="FG82" s="6"/>
      <c r="FH82" s="6" t="s">
        <v>1792</v>
      </c>
      <c r="FI82" s="6">
        <v>1</v>
      </c>
      <c r="FJ82" s="6">
        <v>0</v>
      </c>
      <c r="FK82" s="6">
        <v>0</v>
      </c>
      <c r="FL82" s="6">
        <v>1</v>
      </c>
      <c r="FM82" s="6">
        <v>0</v>
      </c>
      <c r="FN82" s="6">
        <v>1</v>
      </c>
      <c r="FO82" s="6">
        <v>0</v>
      </c>
      <c r="FP82" s="6">
        <v>0</v>
      </c>
      <c r="FQ82" s="6">
        <v>1</v>
      </c>
      <c r="FR82" s="6">
        <v>0</v>
      </c>
      <c r="FS82" s="6"/>
      <c r="FT82" s="6" t="s">
        <v>556</v>
      </c>
      <c r="FU82" s="6" t="s">
        <v>499</v>
      </c>
      <c r="FV82" s="6"/>
      <c r="FW82" s="6" t="s">
        <v>449</v>
      </c>
      <c r="FX82" s="15" t="s">
        <v>450</v>
      </c>
      <c r="FY82" s="6" t="s">
        <v>619</v>
      </c>
      <c r="FZ82" s="6"/>
      <c r="GA82" s="6" t="s">
        <v>450</v>
      </c>
      <c r="GB82" s="6" t="s">
        <v>501</v>
      </c>
      <c r="GC82" s="6" t="s">
        <v>426</v>
      </c>
      <c r="GD82" s="6" t="s">
        <v>1793</v>
      </c>
      <c r="GE82" s="6" t="s">
        <v>454</v>
      </c>
      <c r="GF82" s="6" t="s">
        <v>855</v>
      </c>
      <c r="GG82" s="6" t="s">
        <v>456</v>
      </c>
      <c r="GH82" s="15" t="s">
        <v>1794</v>
      </c>
      <c r="GI82" s="6" t="s">
        <v>458</v>
      </c>
      <c r="GJ82" s="6" t="s">
        <v>1374</v>
      </c>
      <c r="GK82" s="6" t="s">
        <v>460</v>
      </c>
      <c r="GL82" s="6" t="s">
        <v>461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1</v>
      </c>
      <c r="GS82" s="6">
        <v>0</v>
      </c>
      <c r="GT82" s="6"/>
      <c r="GU82" s="6" t="s">
        <v>534</v>
      </c>
      <c r="GV82" s="6" t="s">
        <v>595</v>
      </c>
      <c r="GW82" s="6" t="s">
        <v>464</v>
      </c>
      <c r="GX82" s="6">
        <v>1</v>
      </c>
      <c r="GY82" s="6">
        <v>0</v>
      </c>
      <c r="GZ82" s="6">
        <v>0</v>
      </c>
      <c r="HA82" s="6">
        <v>0</v>
      </c>
      <c r="HB82" s="6">
        <v>0</v>
      </c>
      <c r="HC82" s="6">
        <v>0</v>
      </c>
      <c r="HD82" s="6"/>
      <c r="HE82" s="6" t="s">
        <v>535</v>
      </c>
      <c r="HF82" s="6">
        <v>1</v>
      </c>
      <c r="HG82" s="6">
        <v>0</v>
      </c>
      <c r="HH82" s="6">
        <v>0</v>
      </c>
      <c r="HI82" s="6">
        <v>0</v>
      </c>
      <c r="HJ82" s="6">
        <v>0</v>
      </c>
      <c r="HK82" s="6">
        <v>0</v>
      </c>
      <c r="HL82" s="15"/>
      <c r="HM82" s="6" t="s">
        <v>505</v>
      </c>
      <c r="HN82" s="6"/>
      <c r="HO82" s="6" t="s">
        <v>1795</v>
      </c>
      <c r="HP82" s="6" t="s">
        <v>561</v>
      </c>
      <c r="HQ82" s="6"/>
      <c r="HR82" s="6" t="s">
        <v>1796</v>
      </c>
      <c r="HS82" s="6" t="s">
        <v>508</v>
      </c>
      <c r="HT82" s="6">
        <v>0</v>
      </c>
      <c r="HU82" s="6">
        <v>0</v>
      </c>
      <c r="HV82" s="6">
        <v>1</v>
      </c>
      <c r="HW82" s="6">
        <v>0</v>
      </c>
      <c r="HX82" s="6">
        <v>0</v>
      </c>
      <c r="HY82" s="6">
        <v>0</v>
      </c>
      <c r="HZ82" s="6"/>
      <c r="IA82" s="6" t="s">
        <v>1797</v>
      </c>
      <c r="IB82" s="6">
        <v>1</v>
      </c>
      <c r="IC82" s="6">
        <v>1</v>
      </c>
      <c r="ID82" s="6">
        <v>1</v>
      </c>
      <c r="IE82" s="6">
        <v>1</v>
      </c>
      <c r="IF82" s="6">
        <v>1</v>
      </c>
      <c r="IG82" s="6">
        <v>0</v>
      </c>
      <c r="IH82" s="15" t="s">
        <v>1798</v>
      </c>
      <c r="II82" s="6" t="s">
        <v>426</v>
      </c>
      <c r="IJ82" s="6" t="s">
        <v>472</v>
      </c>
      <c r="IK82" s="6">
        <v>1</v>
      </c>
      <c r="IL82" s="6">
        <v>0</v>
      </c>
      <c r="IM82" s="6">
        <v>0</v>
      </c>
      <c r="IN82" s="6"/>
      <c r="IO82" s="6" t="s">
        <v>473</v>
      </c>
      <c r="IP82" s="6">
        <v>1</v>
      </c>
      <c r="IQ82" s="6">
        <v>0</v>
      </c>
      <c r="IR82" s="6">
        <v>0</v>
      </c>
      <c r="IS82" s="6">
        <v>0</v>
      </c>
      <c r="IT82" s="6">
        <v>0</v>
      </c>
      <c r="IU82" s="6">
        <v>0</v>
      </c>
      <c r="IV82" s="6"/>
      <c r="IW82" s="6" t="s">
        <v>426</v>
      </c>
      <c r="IX82" s="6">
        <v>1</v>
      </c>
      <c r="IY82" s="6" t="s">
        <v>474</v>
      </c>
      <c r="IZ82" s="6" t="s">
        <v>475</v>
      </c>
      <c r="JA82" s="6" t="s">
        <v>426</v>
      </c>
      <c r="JB82" s="6" t="s">
        <v>476</v>
      </c>
      <c r="JC82" s="6"/>
      <c r="JD82" s="6"/>
      <c r="JE82" s="6"/>
      <c r="JF82" s="6"/>
      <c r="JG82" s="6"/>
      <c r="JH82" s="6"/>
      <c r="JI82" s="6"/>
      <c r="JJ82" s="6"/>
      <c r="JK82" s="6" t="s">
        <v>426</v>
      </c>
      <c r="JL82" s="6" t="s">
        <v>453</v>
      </c>
      <c r="JM82" s="6" t="s">
        <v>1042</v>
      </c>
      <c r="JN82" s="6">
        <v>0</v>
      </c>
      <c r="JO82" s="6">
        <v>0</v>
      </c>
      <c r="JP82" s="6">
        <v>1</v>
      </c>
      <c r="JQ82" s="6">
        <v>0</v>
      </c>
      <c r="JR82" s="6">
        <v>0</v>
      </c>
      <c r="JS82" s="6">
        <v>0</v>
      </c>
      <c r="JT82" s="6"/>
      <c r="JU82" s="6" t="s">
        <v>544</v>
      </c>
      <c r="JV82" s="15"/>
      <c r="JW82" s="94" t="s">
        <v>1799</v>
      </c>
      <c r="JX82" s="6" t="s">
        <v>1800</v>
      </c>
      <c r="JY82" s="6">
        <v>0.5870774</v>
      </c>
      <c r="JZ82" s="6">
        <v>34.4564349</v>
      </c>
      <c r="KA82" s="6">
        <v>1480.252</v>
      </c>
      <c r="KB82" s="15">
        <v>3.531</v>
      </c>
      <c r="KC82" s="15"/>
    </row>
    <row r="83" spans="1:289">
      <c r="A83" s="6" t="s">
        <v>755</v>
      </c>
      <c r="B83" s="6" t="s">
        <v>420</v>
      </c>
      <c r="C83" s="6" t="s">
        <v>1608</v>
      </c>
      <c r="D83" s="6" t="s">
        <v>1620</v>
      </c>
      <c r="E83" s="6" t="s">
        <v>1801</v>
      </c>
      <c r="F83" s="8" t="s">
        <v>483</v>
      </c>
      <c r="G83" s="6" t="s">
        <v>424</v>
      </c>
      <c r="H83" s="6" t="s">
        <v>517</v>
      </c>
      <c r="I83" s="15"/>
      <c r="J83" s="6" t="s">
        <v>426</v>
      </c>
      <c r="K83" s="6" t="s">
        <v>426</v>
      </c>
      <c r="L83" s="6" t="s">
        <v>426</v>
      </c>
      <c r="M83" s="6" t="s">
        <v>426</v>
      </c>
      <c r="N83" s="6" t="s">
        <v>426</v>
      </c>
      <c r="O83" s="6" t="s">
        <v>426</v>
      </c>
      <c r="P83" s="6" t="s">
        <v>426</v>
      </c>
      <c r="Q83" s="6" t="s">
        <v>426</v>
      </c>
      <c r="R83" s="6" t="s">
        <v>426</v>
      </c>
      <c r="S83" s="6" t="s">
        <v>426</v>
      </c>
      <c r="T83" s="6" t="s">
        <v>426</v>
      </c>
      <c r="U83" s="6" t="s">
        <v>426</v>
      </c>
      <c r="V83" s="6" t="s">
        <v>453</v>
      </c>
      <c r="W83" s="6" t="s">
        <v>453</v>
      </c>
      <c r="X83" s="6" t="s">
        <v>426</v>
      </c>
      <c r="Y83" s="6" t="s">
        <v>426</v>
      </c>
      <c r="Z83" s="6" t="s">
        <v>426</v>
      </c>
      <c r="AA83" s="6" t="s">
        <v>426</v>
      </c>
      <c r="AB83" s="6" t="s">
        <v>426</v>
      </c>
      <c r="AC83" s="15" t="s">
        <v>426</v>
      </c>
      <c r="AD83" s="6" t="s">
        <v>427</v>
      </c>
      <c r="AE83" s="6">
        <v>0</v>
      </c>
      <c r="AF83" s="6">
        <v>0</v>
      </c>
      <c r="AG83" s="6">
        <v>0</v>
      </c>
      <c r="AH83" s="6">
        <v>1</v>
      </c>
      <c r="AI83" s="6">
        <v>0</v>
      </c>
      <c r="AJ83" s="6">
        <v>0</v>
      </c>
      <c r="AK83" s="6">
        <v>0</v>
      </c>
      <c r="AL83" s="6">
        <v>0</v>
      </c>
      <c r="AM83" s="6"/>
      <c r="AN83" s="15"/>
      <c r="AO83" s="6" t="s">
        <v>426</v>
      </c>
      <c r="AP83" s="6" t="s">
        <v>766</v>
      </c>
      <c r="AQ83" s="6" t="s">
        <v>426</v>
      </c>
      <c r="AR83" s="6" t="s">
        <v>766</v>
      </c>
      <c r="AS83" s="6" t="s">
        <v>426</v>
      </c>
      <c r="AT83" s="6">
        <v>1</v>
      </c>
      <c r="AU83" s="6" t="s">
        <v>453</v>
      </c>
      <c r="AV83" s="6"/>
      <c r="AW83" s="6" t="s">
        <v>426</v>
      </c>
      <c r="AX83" s="6">
        <v>1</v>
      </c>
      <c r="AY83" s="6" t="s">
        <v>426</v>
      </c>
      <c r="AZ83" s="6">
        <v>6</v>
      </c>
      <c r="BA83" s="6" t="s">
        <v>453</v>
      </c>
      <c r="BB83" s="6"/>
      <c r="BC83" s="6" t="s">
        <v>426</v>
      </c>
      <c r="BD83" s="6">
        <v>1</v>
      </c>
      <c r="BE83" s="6" t="s">
        <v>453</v>
      </c>
      <c r="BF83" s="6"/>
      <c r="BG83" s="6" t="s">
        <v>426</v>
      </c>
      <c r="BH83" s="6">
        <v>1</v>
      </c>
      <c r="BI83" s="6" t="s">
        <v>426</v>
      </c>
      <c r="BJ83" s="6">
        <v>1</v>
      </c>
      <c r="BK83" s="6" t="s">
        <v>426</v>
      </c>
      <c r="BL83" s="6">
        <v>1</v>
      </c>
      <c r="BM83" s="6" t="s">
        <v>426</v>
      </c>
      <c r="BN83" s="6">
        <v>20</v>
      </c>
      <c r="BO83" s="6" t="s">
        <v>426</v>
      </c>
      <c r="BP83" s="6">
        <v>1</v>
      </c>
      <c r="BQ83" s="6" t="s">
        <v>426</v>
      </c>
      <c r="BR83" s="6">
        <v>250</v>
      </c>
      <c r="BS83" s="6" t="s">
        <v>426</v>
      </c>
      <c r="BT83" s="6">
        <v>4</v>
      </c>
      <c r="BU83" s="6" t="s">
        <v>426</v>
      </c>
      <c r="BV83" s="15">
        <v>1</v>
      </c>
      <c r="BW83" s="15" t="s">
        <v>806</v>
      </c>
      <c r="BX83" s="15" t="s">
        <v>429</v>
      </c>
      <c r="BY83" s="6" t="s">
        <v>430</v>
      </c>
      <c r="BZ83" s="6" t="s">
        <v>430</v>
      </c>
      <c r="CA83" s="6" t="s">
        <v>430</v>
      </c>
      <c r="CB83" s="6" t="s">
        <v>759</v>
      </c>
      <c r="CC83" s="6" t="s">
        <v>430</v>
      </c>
      <c r="CD83" s="6" t="s">
        <v>430</v>
      </c>
      <c r="CE83" s="6" t="s">
        <v>486</v>
      </c>
      <c r="CF83" s="6" t="s">
        <v>430</v>
      </c>
      <c r="CG83" s="6" t="s">
        <v>487</v>
      </c>
      <c r="CH83" s="6" t="s">
        <v>431</v>
      </c>
      <c r="CI83" s="6" t="s">
        <v>430</v>
      </c>
      <c r="CJ83" s="6" t="s">
        <v>430</v>
      </c>
      <c r="CK83" s="6" t="s">
        <v>430</v>
      </c>
      <c r="CL83" s="6" t="s">
        <v>430</v>
      </c>
      <c r="CM83" s="6" t="s">
        <v>430</v>
      </c>
      <c r="CN83" s="6" t="s">
        <v>487</v>
      </c>
      <c r="CO83" s="15" t="s">
        <v>430</v>
      </c>
      <c r="CP83" s="15" t="s">
        <v>432</v>
      </c>
      <c r="CQ83" s="6" t="s">
        <v>433</v>
      </c>
      <c r="CR83" s="15"/>
      <c r="CS83" s="6" t="s">
        <v>426</v>
      </c>
      <c r="CT83" s="6" t="s">
        <v>1802</v>
      </c>
      <c r="CU83" s="6" t="s">
        <v>656</v>
      </c>
      <c r="CV83" s="6" t="s">
        <v>692</v>
      </c>
      <c r="CW83" s="6" t="s">
        <v>988</v>
      </c>
      <c r="CX83" s="15" t="s">
        <v>426</v>
      </c>
      <c r="CY83" s="6" t="s">
        <v>426</v>
      </c>
      <c r="CZ83" s="6" t="s">
        <v>1803</v>
      </c>
      <c r="DA83" s="6" t="s">
        <v>692</v>
      </c>
      <c r="DB83" s="6" t="s">
        <v>658</v>
      </c>
      <c r="DC83" s="6" t="s">
        <v>692</v>
      </c>
      <c r="DD83" s="15" t="s">
        <v>692</v>
      </c>
      <c r="DE83" s="15" t="s">
        <v>521</v>
      </c>
      <c r="DF83" s="6" t="s">
        <v>522</v>
      </c>
      <c r="DG83" s="6">
        <v>0</v>
      </c>
      <c r="DH83" s="6">
        <v>1</v>
      </c>
      <c r="DI83" s="6">
        <v>0</v>
      </c>
      <c r="DJ83" s="6">
        <v>0</v>
      </c>
      <c r="DK83" s="6">
        <v>0</v>
      </c>
      <c r="DL83" s="6">
        <v>0</v>
      </c>
      <c r="DM83" s="6"/>
      <c r="DN83" s="6"/>
      <c r="DO83" s="6"/>
      <c r="DP83" s="6"/>
      <c r="DQ83" s="6"/>
      <c r="DR83" s="6"/>
      <c r="DS83" s="6"/>
      <c r="DT83" s="66"/>
      <c r="DU83" s="6" t="s">
        <v>438</v>
      </c>
      <c r="DV83" s="6" t="s">
        <v>426</v>
      </c>
      <c r="DW83" s="6" t="s">
        <v>490</v>
      </c>
      <c r="DX83" s="6" t="s">
        <v>491</v>
      </c>
      <c r="DY83" s="6"/>
      <c r="DZ83" s="6" t="s">
        <v>1804</v>
      </c>
      <c r="EA83" s="6">
        <v>0</v>
      </c>
      <c r="EB83" s="6">
        <v>0</v>
      </c>
      <c r="EC83" s="6">
        <v>1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/>
      <c r="EJ83" s="6" t="s">
        <v>1276</v>
      </c>
      <c r="EK83" s="6">
        <v>1</v>
      </c>
      <c r="EL83" s="6">
        <v>1</v>
      </c>
      <c r="EM83" s="6">
        <v>1</v>
      </c>
      <c r="EN83" s="6">
        <v>1</v>
      </c>
      <c r="EO83" s="6">
        <v>1</v>
      </c>
      <c r="EP83" s="6">
        <v>1</v>
      </c>
      <c r="EQ83" s="6">
        <v>1</v>
      </c>
      <c r="ER83" s="6">
        <v>0</v>
      </c>
      <c r="ES83" s="6">
        <v>0</v>
      </c>
      <c r="ET83" s="6"/>
      <c r="EU83" s="6" t="s">
        <v>443</v>
      </c>
      <c r="EV83" s="6" t="s">
        <v>554</v>
      </c>
      <c r="EW83" s="6"/>
      <c r="EX83" s="6" t="s">
        <v>1123</v>
      </c>
      <c r="EY83" s="6">
        <v>1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/>
      <c r="FH83" s="6" t="s">
        <v>555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1</v>
      </c>
      <c r="FR83" s="6">
        <v>0</v>
      </c>
      <c r="FS83" s="6"/>
      <c r="FT83" s="6" t="s">
        <v>447</v>
      </c>
      <c r="FU83" s="6" t="s">
        <v>499</v>
      </c>
      <c r="FV83" s="6"/>
      <c r="FW83" s="6" t="s">
        <v>449</v>
      </c>
      <c r="FX83" s="15" t="s">
        <v>450</v>
      </c>
      <c r="FY83" s="6" t="s">
        <v>529</v>
      </c>
      <c r="FZ83" s="6"/>
      <c r="GA83" s="6" t="s">
        <v>450</v>
      </c>
      <c r="GB83" s="6" t="s">
        <v>501</v>
      </c>
      <c r="GC83" s="6" t="s">
        <v>426</v>
      </c>
      <c r="GD83" s="6" t="s">
        <v>1805</v>
      </c>
      <c r="GE83" s="6" t="s">
        <v>454</v>
      </c>
      <c r="GF83" s="6" t="s">
        <v>1806</v>
      </c>
      <c r="GG83" s="6" t="s">
        <v>456</v>
      </c>
      <c r="GH83" s="15" t="s">
        <v>1807</v>
      </c>
      <c r="GI83" s="6" t="s">
        <v>458</v>
      </c>
      <c r="GJ83" s="6" t="s">
        <v>1808</v>
      </c>
      <c r="GK83" s="6" t="s">
        <v>460</v>
      </c>
      <c r="GL83" s="6" t="s">
        <v>720</v>
      </c>
      <c r="GM83" s="6">
        <v>1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/>
      <c r="GU83" s="6" t="s">
        <v>534</v>
      </c>
      <c r="GV83" s="6" t="s">
        <v>595</v>
      </c>
      <c r="GW83" s="6" t="s">
        <v>464</v>
      </c>
      <c r="GX83" s="6">
        <v>1</v>
      </c>
      <c r="GY83" s="6">
        <v>0</v>
      </c>
      <c r="GZ83" s="6">
        <v>0</v>
      </c>
      <c r="HA83" s="6">
        <v>0</v>
      </c>
      <c r="HB83" s="6">
        <v>0</v>
      </c>
      <c r="HC83" s="6">
        <v>0</v>
      </c>
      <c r="HD83" s="6"/>
      <c r="HE83" s="6" t="s">
        <v>1809</v>
      </c>
      <c r="HF83" s="6">
        <v>1</v>
      </c>
      <c r="HG83" s="6">
        <v>1</v>
      </c>
      <c r="HH83" s="6">
        <v>1</v>
      </c>
      <c r="HI83" s="6">
        <v>1</v>
      </c>
      <c r="HJ83" s="6">
        <v>0</v>
      </c>
      <c r="HK83" s="6">
        <v>0</v>
      </c>
      <c r="HL83" s="15"/>
      <c r="HM83" s="6" t="s">
        <v>466</v>
      </c>
      <c r="HN83" s="6"/>
      <c r="HO83" s="6" t="s">
        <v>1810</v>
      </c>
      <c r="HP83" s="6" t="s">
        <v>468</v>
      </c>
      <c r="HQ83" s="6"/>
      <c r="HR83" s="6" t="s">
        <v>1811</v>
      </c>
      <c r="HS83" s="6" t="s">
        <v>508</v>
      </c>
      <c r="HT83" s="6">
        <v>0</v>
      </c>
      <c r="HU83" s="6">
        <v>0</v>
      </c>
      <c r="HV83" s="6">
        <v>1</v>
      </c>
      <c r="HW83" s="6">
        <v>0</v>
      </c>
      <c r="HX83" s="6">
        <v>0</v>
      </c>
      <c r="HY83" s="6">
        <v>0</v>
      </c>
      <c r="HZ83" s="6"/>
      <c r="IA83" s="6" t="s">
        <v>1812</v>
      </c>
      <c r="IB83" s="6">
        <v>1</v>
      </c>
      <c r="IC83" s="6">
        <v>1</v>
      </c>
      <c r="ID83" s="6">
        <v>1</v>
      </c>
      <c r="IE83" s="6">
        <v>1</v>
      </c>
      <c r="IF83" s="6">
        <v>1</v>
      </c>
      <c r="IG83" s="6">
        <v>0</v>
      </c>
      <c r="IH83" s="15" t="s">
        <v>1813</v>
      </c>
      <c r="II83" s="6" t="s">
        <v>426</v>
      </c>
      <c r="IJ83" s="6" t="s">
        <v>472</v>
      </c>
      <c r="IK83" s="6">
        <v>1</v>
      </c>
      <c r="IL83" s="6">
        <v>0</v>
      </c>
      <c r="IM83" s="6">
        <v>0</v>
      </c>
      <c r="IN83" s="6"/>
      <c r="IO83" s="6" t="s">
        <v>473</v>
      </c>
      <c r="IP83" s="6">
        <v>1</v>
      </c>
      <c r="IQ83" s="6">
        <v>0</v>
      </c>
      <c r="IR83" s="6">
        <v>0</v>
      </c>
      <c r="IS83" s="6">
        <v>0</v>
      </c>
      <c r="IT83" s="6">
        <v>0</v>
      </c>
      <c r="IU83" s="6">
        <v>0</v>
      </c>
      <c r="IV83" s="6"/>
      <c r="IW83" s="6" t="s">
        <v>426</v>
      </c>
      <c r="IX83" s="6">
        <v>1</v>
      </c>
      <c r="IY83" s="6" t="s">
        <v>474</v>
      </c>
      <c r="IZ83" s="6" t="s">
        <v>475</v>
      </c>
      <c r="JA83" s="6" t="s">
        <v>426</v>
      </c>
      <c r="JB83" s="6" t="s">
        <v>476</v>
      </c>
      <c r="JC83" s="6"/>
      <c r="JD83" s="6"/>
      <c r="JE83" s="6"/>
      <c r="JF83" s="6"/>
      <c r="JG83" s="6"/>
      <c r="JH83" s="6"/>
      <c r="JI83" s="6"/>
      <c r="JJ83" s="6"/>
      <c r="JK83" s="6" t="s">
        <v>426</v>
      </c>
      <c r="JL83" s="6" t="s">
        <v>453</v>
      </c>
      <c r="JM83" s="6" t="s">
        <v>1042</v>
      </c>
      <c r="JN83" s="6">
        <v>0</v>
      </c>
      <c r="JO83" s="6">
        <v>0</v>
      </c>
      <c r="JP83" s="6">
        <v>1</v>
      </c>
      <c r="JQ83" s="6">
        <v>0</v>
      </c>
      <c r="JR83" s="6">
        <v>0</v>
      </c>
      <c r="JS83" s="6">
        <v>0</v>
      </c>
      <c r="JT83" s="6"/>
      <c r="JU83" s="6" t="s">
        <v>1814</v>
      </c>
      <c r="JV83" s="15"/>
      <c r="JW83" s="94" t="s">
        <v>1815</v>
      </c>
      <c r="JX83" s="6" t="s">
        <v>1816</v>
      </c>
      <c r="JY83" s="6">
        <v>0.5869591</v>
      </c>
      <c r="JZ83" s="6">
        <v>34.4563862</v>
      </c>
      <c r="KA83" s="6">
        <v>1480.252</v>
      </c>
      <c r="KB83" s="15">
        <v>3.071</v>
      </c>
      <c r="KC83" s="15"/>
    </row>
    <row r="84" spans="1:289">
      <c r="A84" s="6" t="s">
        <v>755</v>
      </c>
      <c r="B84" s="6" t="s">
        <v>420</v>
      </c>
      <c r="C84" s="6" t="s">
        <v>1608</v>
      </c>
      <c r="D84" s="6" t="s">
        <v>1817</v>
      </c>
      <c r="E84" s="6" t="s">
        <v>1818</v>
      </c>
      <c r="F84" s="8" t="s">
        <v>483</v>
      </c>
      <c r="G84" s="6" t="s">
        <v>567</v>
      </c>
      <c r="H84" s="6" t="s">
        <v>517</v>
      </c>
      <c r="I84" s="15"/>
      <c r="J84" s="6" t="s">
        <v>426</v>
      </c>
      <c r="K84" s="6" t="s">
        <v>426</v>
      </c>
      <c r="L84" s="6" t="s">
        <v>426</v>
      </c>
      <c r="M84" s="6" t="s">
        <v>426</v>
      </c>
      <c r="N84" s="6" t="s">
        <v>426</v>
      </c>
      <c r="O84" s="6" t="s">
        <v>426</v>
      </c>
      <c r="P84" s="6" t="s">
        <v>426</v>
      </c>
      <c r="Q84" s="6" t="s">
        <v>426</v>
      </c>
      <c r="R84" s="6" t="s">
        <v>426</v>
      </c>
      <c r="S84" s="6" t="s">
        <v>426</v>
      </c>
      <c r="T84" s="6" t="s">
        <v>426</v>
      </c>
      <c r="U84" s="6" t="s">
        <v>426</v>
      </c>
      <c r="V84" s="6" t="s">
        <v>453</v>
      </c>
      <c r="W84" s="6" t="s">
        <v>453</v>
      </c>
      <c r="X84" s="6" t="s">
        <v>426</v>
      </c>
      <c r="Y84" s="6" t="s">
        <v>426</v>
      </c>
      <c r="Z84" s="6" t="s">
        <v>426</v>
      </c>
      <c r="AA84" s="6" t="s">
        <v>426</v>
      </c>
      <c r="AB84" s="6" t="s">
        <v>453</v>
      </c>
      <c r="AC84" s="15" t="s">
        <v>453</v>
      </c>
      <c r="AD84" s="6" t="s">
        <v>427</v>
      </c>
      <c r="AE84" s="6">
        <v>0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0</v>
      </c>
      <c r="AL84" s="6">
        <v>0</v>
      </c>
      <c r="AM84" s="6"/>
      <c r="AN84" s="15"/>
      <c r="AO84" s="6" t="s">
        <v>426</v>
      </c>
      <c r="AP84" s="6" t="s">
        <v>1367</v>
      </c>
      <c r="AQ84" s="6" t="s">
        <v>426</v>
      </c>
      <c r="AR84" s="6" t="s">
        <v>1367</v>
      </c>
      <c r="AS84" s="6" t="s">
        <v>426</v>
      </c>
      <c r="AT84" s="6">
        <v>1</v>
      </c>
      <c r="AU84" s="6" t="s">
        <v>453</v>
      </c>
      <c r="AV84" s="6"/>
      <c r="AW84" s="6" t="s">
        <v>426</v>
      </c>
      <c r="AX84" s="6">
        <v>1</v>
      </c>
      <c r="AY84" s="6" t="s">
        <v>426</v>
      </c>
      <c r="AZ84" s="6">
        <v>8</v>
      </c>
      <c r="BA84" s="6" t="s">
        <v>453</v>
      </c>
      <c r="BB84" s="6"/>
      <c r="BC84" s="6" t="s">
        <v>426</v>
      </c>
      <c r="BD84" s="6">
        <v>1</v>
      </c>
      <c r="BE84" s="6" t="s">
        <v>453</v>
      </c>
      <c r="BF84" s="6"/>
      <c r="BG84" s="6" t="s">
        <v>426</v>
      </c>
      <c r="BH84" s="6">
        <v>1</v>
      </c>
      <c r="BI84" s="6" t="s">
        <v>426</v>
      </c>
      <c r="BJ84" s="6">
        <v>1</v>
      </c>
      <c r="BK84" s="6" t="s">
        <v>426</v>
      </c>
      <c r="BL84" s="6">
        <v>1</v>
      </c>
      <c r="BM84" s="6" t="s">
        <v>426</v>
      </c>
      <c r="BN84" s="6">
        <v>36</v>
      </c>
      <c r="BO84" s="6" t="s">
        <v>426</v>
      </c>
      <c r="BP84" s="6">
        <v>1</v>
      </c>
      <c r="BQ84" s="6" t="s">
        <v>426</v>
      </c>
      <c r="BR84" s="6">
        <v>100</v>
      </c>
      <c r="BS84" s="6" t="s">
        <v>453</v>
      </c>
      <c r="BT84" s="6"/>
      <c r="BU84" s="6" t="s">
        <v>426</v>
      </c>
      <c r="BV84" s="15">
        <v>1</v>
      </c>
      <c r="BW84" s="15" t="s">
        <v>1819</v>
      </c>
      <c r="BX84" s="15" t="s">
        <v>429</v>
      </c>
      <c r="BY84" s="6" t="s">
        <v>430</v>
      </c>
      <c r="BZ84" s="6" t="s">
        <v>430</v>
      </c>
      <c r="CA84" s="6" t="s">
        <v>430</v>
      </c>
      <c r="CB84" s="6" t="s">
        <v>487</v>
      </c>
      <c r="CC84" s="6" t="s">
        <v>430</v>
      </c>
      <c r="CD84" s="6" t="s">
        <v>431</v>
      </c>
      <c r="CE84" s="6" t="s">
        <v>487</v>
      </c>
      <c r="CF84" s="6" t="s">
        <v>430</v>
      </c>
      <c r="CG84" s="6" t="s">
        <v>487</v>
      </c>
      <c r="CH84" s="6" t="s">
        <v>430</v>
      </c>
      <c r="CI84" s="6" t="s">
        <v>430</v>
      </c>
      <c r="CJ84" s="6" t="s">
        <v>430</v>
      </c>
      <c r="CK84" s="6" t="s">
        <v>430</v>
      </c>
      <c r="CL84" s="6" t="s">
        <v>430</v>
      </c>
      <c r="CM84" s="6" t="s">
        <v>430</v>
      </c>
      <c r="CN84" s="6" t="s">
        <v>487</v>
      </c>
      <c r="CO84" s="15" t="s">
        <v>430</v>
      </c>
      <c r="CP84" s="15" t="s">
        <v>432</v>
      </c>
      <c r="CQ84" s="6" t="s">
        <v>433</v>
      </c>
      <c r="CR84" s="15"/>
      <c r="CS84" s="6" t="s">
        <v>426</v>
      </c>
      <c r="CT84" s="6" t="s">
        <v>1820</v>
      </c>
      <c r="CU84" s="6" t="s">
        <v>1821</v>
      </c>
      <c r="CV84" s="6" t="s">
        <v>1822</v>
      </c>
      <c r="CW84" s="6" t="s">
        <v>1823</v>
      </c>
      <c r="CX84" s="15" t="s">
        <v>426</v>
      </c>
      <c r="CY84" s="6" t="s">
        <v>426</v>
      </c>
      <c r="CZ84" s="6" t="s">
        <v>1824</v>
      </c>
      <c r="DA84" s="6" t="s">
        <v>1825</v>
      </c>
      <c r="DB84" s="6" t="s">
        <v>823</v>
      </c>
      <c r="DC84" s="6" t="s">
        <v>1822</v>
      </c>
      <c r="DD84" s="15" t="s">
        <v>1825</v>
      </c>
      <c r="DE84" s="15" t="s">
        <v>436</v>
      </c>
      <c r="DF84" s="6" t="s">
        <v>611</v>
      </c>
      <c r="DG84" s="6">
        <v>1</v>
      </c>
      <c r="DH84" s="6">
        <v>1</v>
      </c>
      <c r="DI84" s="6">
        <v>0</v>
      </c>
      <c r="DJ84" s="6">
        <v>0</v>
      </c>
      <c r="DK84" s="6">
        <v>0</v>
      </c>
      <c r="DL84" s="6">
        <v>0</v>
      </c>
      <c r="DM84" s="6"/>
      <c r="DN84" s="6"/>
      <c r="DO84" s="6"/>
      <c r="DP84" s="6"/>
      <c r="DQ84" s="6"/>
      <c r="DR84" s="6"/>
      <c r="DS84" s="6"/>
      <c r="DT84" s="66"/>
      <c r="DU84" s="6" t="s">
        <v>438</v>
      </c>
      <c r="DV84" s="6" t="s">
        <v>426</v>
      </c>
      <c r="DW84" s="6" t="s">
        <v>439</v>
      </c>
      <c r="DX84" s="6" t="s">
        <v>440</v>
      </c>
      <c r="DY84" s="6"/>
      <c r="DZ84" s="6" t="s">
        <v>940</v>
      </c>
      <c r="EA84" s="6">
        <v>1</v>
      </c>
      <c r="EB84" s="6">
        <v>1</v>
      </c>
      <c r="EC84" s="6">
        <v>1</v>
      </c>
      <c r="ED84" s="6">
        <v>1</v>
      </c>
      <c r="EE84" s="6">
        <v>0</v>
      </c>
      <c r="EF84" s="6">
        <v>0</v>
      </c>
      <c r="EG84" s="6">
        <v>0</v>
      </c>
      <c r="EH84" s="6">
        <v>0</v>
      </c>
      <c r="EI84" s="6"/>
      <c r="EJ84" s="6" t="s">
        <v>615</v>
      </c>
      <c r="EK84" s="6">
        <v>1</v>
      </c>
      <c r="EL84" s="6">
        <v>1</v>
      </c>
      <c r="EM84" s="6">
        <v>1</v>
      </c>
      <c r="EN84" s="6">
        <v>1</v>
      </c>
      <c r="EO84" s="6">
        <v>0</v>
      </c>
      <c r="EP84" s="6">
        <v>1</v>
      </c>
      <c r="EQ84" s="6">
        <v>0</v>
      </c>
      <c r="ER84" s="6">
        <v>0</v>
      </c>
      <c r="ES84" s="6">
        <v>0</v>
      </c>
      <c r="ET84" s="6"/>
      <c r="EU84" s="6" t="s">
        <v>443</v>
      </c>
      <c r="EV84" s="6" t="s">
        <v>554</v>
      </c>
      <c r="EW84" s="6"/>
      <c r="EX84" s="6" t="s">
        <v>1123</v>
      </c>
      <c r="EY84" s="6">
        <v>1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/>
      <c r="FH84" s="6" t="s">
        <v>1826</v>
      </c>
      <c r="FI84" s="6">
        <v>1</v>
      </c>
      <c r="FJ84" s="6">
        <v>0</v>
      </c>
      <c r="FK84" s="6">
        <v>1</v>
      </c>
      <c r="FL84" s="6">
        <v>1</v>
      </c>
      <c r="FM84" s="6">
        <v>0</v>
      </c>
      <c r="FN84" s="6">
        <v>0</v>
      </c>
      <c r="FO84" s="6">
        <v>0</v>
      </c>
      <c r="FP84" s="6">
        <v>0</v>
      </c>
      <c r="FQ84" s="6">
        <v>1</v>
      </c>
      <c r="FR84" s="6">
        <v>0</v>
      </c>
      <c r="FS84" s="6"/>
      <c r="FT84" s="6" t="s">
        <v>447</v>
      </c>
      <c r="FU84" s="6" t="s">
        <v>499</v>
      </c>
      <c r="FV84" s="6"/>
      <c r="FW84" s="6" t="s">
        <v>449</v>
      </c>
      <c r="FX84" s="15" t="s">
        <v>450</v>
      </c>
      <c r="FY84" s="6" t="s">
        <v>451</v>
      </c>
      <c r="FZ84" s="6"/>
      <c r="GA84" s="6" t="s">
        <v>450</v>
      </c>
      <c r="GB84" s="6" t="s">
        <v>501</v>
      </c>
      <c r="GC84" s="6" t="s">
        <v>426</v>
      </c>
      <c r="GD84" s="6" t="s">
        <v>1827</v>
      </c>
      <c r="GE84" s="6" t="s">
        <v>454</v>
      </c>
      <c r="GF84" s="6" t="s">
        <v>1828</v>
      </c>
      <c r="GG84" s="6" t="s">
        <v>502</v>
      </c>
      <c r="GH84" s="15"/>
      <c r="GI84" s="6" t="s">
        <v>458</v>
      </c>
      <c r="GJ84" s="6" t="s">
        <v>1829</v>
      </c>
      <c r="GK84" s="6" t="s">
        <v>460</v>
      </c>
      <c r="GL84" s="6" t="s">
        <v>720</v>
      </c>
      <c r="GM84" s="6">
        <v>1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/>
      <c r="GU84" s="6" t="s">
        <v>534</v>
      </c>
      <c r="GV84" s="6" t="s">
        <v>595</v>
      </c>
      <c r="GW84" s="6" t="s">
        <v>464</v>
      </c>
      <c r="GX84" s="6">
        <v>1</v>
      </c>
      <c r="GY84" s="6">
        <v>0</v>
      </c>
      <c r="GZ84" s="6">
        <v>0</v>
      </c>
      <c r="HA84" s="6">
        <v>0</v>
      </c>
      <c r="HB84" s="6">
        <v>0</v>
      </c>
      <c r="HC84" s="6">
        <v>0</v>
      </c>
      <c r="HD84" s="6"/>
      <c r="HE84" s="6" t="s">
        <v>596</v>
      </c>
      <c r="HF84" s="6">
        <v>1</v>
      </c>
      <c r="HG84" s="6">
        <v>1</v>
      </c>
      <c r="HH84" s="6">
        <v>1</v>
      </c>
      <c r="HI84" s="6">
        <v>1</v>
      </c>
      <c r="HJ84" s="6">
        <v>0</v>
      </c>
      <c r="HK84" s="6">
        <v>0</v>
      </c>
      <c r="HL84" s="15"/>
      <c r="HM84" s="6" t="s">
        <v>505</v>
      </c>
      <c r="HN84" s="6"/>
      <c r="HO84" s="6" t="s">
        <v>1830</v>
      </c>
      <c r="HP84" s="6" t="s">
        <v>561</v>
      </c>
      <c r="HQ84" s="6"/>
      <c r="HR84" s="6" t="s">
        <v>1831</v>
      </c>
      <c r="HS84" s="6" t="s">
        <v>1057</v>
      </c>
      <c r="HT84" s="6">
        <v>0</v>
      </c>
      <c r="HU84" s="6">
        <v>0</v>
      </c>
      <c r="HV84" s="6">
        <v>1</v>
      </c>
      <c r="HW84" s="6">
        <v>1</v>
      </c>
      <c r="HX84" s="6">
        <v>1</v>
      </c>
      <c r="HY84" s="6">
        <v>1</v>
      </c>
      <c r="HZ84" s="6"/>
      <c r="IA84" s="6" t="s">
        <v>798</v>
      </c>
      <c r="IB84" s="6">
        <v>1</v>
      </c>
      <c r="IC84" s="6">
        <v>1</v>
      </c>
      <c r="ID84" s="6">
        <v>1</v>
      </c>
      <c r="IE84" s="6">
        <v>1</v>
      </c>
      <c r="IF84" s="6">
        <v>1</v>
      </c>
      <c r="IG84" s="6">
        <v>0</v>
      </c>
      <c r="IH84" s="15" t="s">
        <v>1832</v>
      </c>
      <c r="II84" s="6" t="s">
        <v>426</v>
      </c>
      <c r="IJ84" s="6" t="s">
        <v>472</v>
      </c>
      <c r="IK84" s="6">
        <v>1</v>
      </c>
      <c r="IL84" s="6">
        <v>0</v>
      </c>
      <c r="IM84" s="6">
        <v>0</v>
      </c>
      <c r="IN84" s="6"/>
      <c r="IO84" s="6" t="s">
        <v>473</v>
      </c>
      <c r="IP84" s="6">
        <v>1</v>
      </c>
      <c r="IQ84" s="6">
        <v>0</v>
      </c>
      <c r="IR84" s="6">
        <v>0</v>
      </c>
      <c r="IS84" s="6">
        <v>0</v>
      </c>
      <c r="IT84" s="6">
        <v>0</v>
      </c>
      <c r="IU84" s="6">
        <v>0</v>
      </c>
      <c r="IV84" s="6"/>
      <c r="IW84" s="6" t="s">
        <v>426</v>
      </c>
      <c r="IX84" s="6">
        <v>1</v>
      </c>
      <c r="IY84" s="6" t="s">
        <v>474</v>
      </c>
      <c r="IZ84" s="6" t="s">
        <v>475</v>
      </c>
      <c r="JA84" s="6" t="s">
        <v>426</v>
      </c>
      <c r="JB84" s="6" t="s">
        <v>476</v>
      </c>
      <c r="JC84" s="6"/>
      <c r="JD84" s="6"/>
      <c r="JE84" s="6"/>
      <c r="JF84" s="6"/>
      <c r="JG84" s="6"/>
      <c r="JH84" s="6"/>
      <c r="JI84" s="6"/>
      <c r="JJ84" s="6"/>
      <c r="JK84" s="6" t="s">
        <v>453</v>
      </c>
      <c r="JL84" s="6"/>
      <c r="JM84" s="6"/>
      <c r="JN84" s="6"/>
      <c r="JO84" s="6"/>
      <c r="JP84" s="6"/>
      <c r="JQ84" s="6"/>
      <c r="JR84" s="6"/>
      <c r="JS84" s="6"/>
      <c r="JT84" s="6"/>
      <c r="JU84" s="6" t="s">
        <v>544</v>
      </c>
      <c r="JV84" s="15"/>
      <c r="JW84" s="94" t="s">
        <v>1833</v>
      </c>
      <c r="JX84" s="6" t="s">
        <v>1834</v>
      </c>
      <c r="JY84" s="6">
        <v>0.5868231</v>
      </c>
      <c r="JZ84" s="6">
        <v>34.4564518</v>
      </c>
      <c r="KA84" s="6">
        <v>1480.252</v>
      </c>
      <c r="KB84" s="15">
        <v>1.872</v>
      </c>
      <c r="KC84" s="15"/>
    </row>
    <row r="85" spans="1:289">
      <c r="A85" s="6" t="s">
        <v>480</v>
      </c>
      <c r="B85" s="6" t="s">
        <v>420</v>
      </c>
      <c r="C85" s="6" t="s">
        <v>1608</v>
      </c>
      <c r="D85" s="6" t="s">
        <v>1835</v>
      </c>
      <c r="E85" s="6" t="s">
        <v>1836</v>
      </c>
      <c r="F85" s="8" t="s">
        <v>483</v>
      </c>
      <c r="G85" s="6" t="s">
        <v>567</v>
      </c>
      <c r="H85" s="6" t="s">
        <v>425</v>
      </c>
      <c r="I85" s="15"/>
      <c r="J85" s="6" t="s">
        <v>426</v>
      </c>
      <c r="K85" s="6" t="s">
        <v>426</v>
      </c>
      <c r="L85" s="6" t="s">
        <v>426</v>
      </c>
      <c r="M85" s="6" t="s">
        <v>426</v>
      </c>
      <c r="N85" s="6" t="s">
        <v>426</v>
      </c>
      <c r="O85" s="6" t="s">
        <v>426</v>
      </c>
      <c r="P85" s="6" t="s">
        <v>426</v>
      </c>
      <c r="Q85" s="6" t="s">
        <v>426</v>
      </c>
      <c r="R85" s="6" t="s">
        <v>426</v>
      </c>
      <c r="S85" s="6" t="s">
        <v>426</v>
      </c>
      <c r="T85" s="6" t="s">
        <v>426</v>
      </c>
      <c r="U85" s="6" t="s">
        <v>426</v>
      </c>
      <c r="V85" s="6" t="s">
        <v>426</v>
      </c>
      <c r="W85" s="6" t="s">
        <v>426</v>
      </c>
      <c r="X85" s="6" t="s">
        <v>426</v>
      </c>
      <c r="Y85" s="6" t="s">
        <v>426</v>
      </c>
      <c r="Z85" s="6" t="s">
        <v>426</v>
      </c>
      <c r="AA85" s="6" t="s">
        <v>426</v>
      </c>
      <c r="AB85" s="6" t="s">
        <v>426</v>
      </c>
      <c r="AC85" s="15" t="s">
        <v>426</v>
      </c>
      <c r="AD85" s="6" t="s">
        <v>427</v>
      </c>
      <c r="AE85" s="6">
        <v>0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0</v>
      </c>
      <c r="AL85" s="6">
        <v>0</v>
      </c>
      <c r="AM85" s="6"/>
      <c r="AN85" s="15"/>
      <c r="AO85" s="6" t="s">
        <v>426</v>
      </c>
      <c r="AP85" s="6" t="s">
        <v>683</v>
      </c>
      <c r="AQ85" s="6" t="s">
        <v>426</v>
      </c>
      <c r="AR85" s="6" t="s">
        <v>1450</v>
      </c>
      <c r="AS85" s="6" t="s">
        <v>426</v>
      </c>
      <c r="AT85" s="6">
        <v>0.4</v>
      </c>
      <c r="AU85" s="6" t="s">
        <v>453</v>
      </c>
      <c r="AV85" s="6"/>
      <c r="AW85" s="6" t="s">
        <v>426</v>
      </c>
      <c r="AX85" s="6">
        <v>0.2</v>
      </c>
      <c r="AY85" s="6" t="s">
        <v>426</v>
      </c>
      <c r="AZ85" s="6">
        <v>1</v>
      </c>
      <c r="BA85" s="6" t="s">
        <v>426</v>
      </c>
      <c r="BB85" s="6">
        <v>1</v>
      </c>
      <c r="BC85" s="6" t="s">
        <v>426</v>
      </c>
      <c r="BD85" s="6">
        <v>0.4</v>
      </c>
      <c r="BE85" s="6" t="s">
        <v>453</v>
      </c>
      <c r="BF85" s="6"/>
      <c r="BG85" s="6" t="s">
        <v>426</v>
      </c>
      <c r="BH85" s="6">
        <v>0.4</v>
      </c>
      <c r="BI85" s="6" t="s">
        <v>426</v>
      </c>
      <c r="BJ85" s="6">
        <v>0.4</v>
      </c>
      <c r="BK85" s="6" t="s">
        <v>426</v>
      </c>
      <c r="BL85" s="6">
        <v>1</v>
      </c>
      <c r="BM85" s="6" t="s">
        <v>426</v>
      </c>
      <c r="BN85" s="6">
        <v>20</v>
      </c>
      <c r="BO85" s="6" t="s">
        <v>426</v>
      </c>
      <c r="BP85" s="6">
        <v>0.4</v>
      </c>
      <c r="BQ85" s="6" t="s">
        <v>426</v>
      </c>
      <c r="BR85" s="6">
        <v>50</v>
      </c>
      <c r="BS85" s="6" t="s">
        <v>453</v>
      </c>
      <c r="BT85" s="6"/>
      <c r="BU85" s="6" t="s">
        <v>426</v>
      </c>
      <c r="BV85" s="15">
        <v>1</v>
      </c>
      <c r="BW85" s="15" t="s">
        <v>518</v>
      </c>
      <c r="BX85" s="15" t="s">
        <v>485</v>
      </c>
      <c r="BY85" s="6" t="s">
        <v>430</v>
      </c>
      <c r="BZ85" s="6" t="s">
        <v>430</v>
      </c>
      <c r="CA85" s="6" t="s">
        <v>431</v>
      </c>
      <c r="CB85" s="6" t="s">
        <v>487</v>
      </c>
      <c r="CC85" s="6" t="s">
        <v>430</v>
      </c>
      <c r="CD85" s="6" t="s">
        <v>430</v>
      </c>
      <c r="CE85" s="6" t="s">
        <v>430</v>
      </c>
      <c r="CF85" s="6" t="s">
        <v>430</v>
      </c>
      <c r="CG85" s="6" t="s">
        <v>487</v>
      </c>
      <c r="CH85" s="6" t="s">
        <v>430</v>
      </c>
      <c r="CI85" s="6" t="s">
        <v>430</v>
      </c>
      <c r="CJ85" s="6" t="s">
        <v>430</v>
      </c>
      <c r="CK85" s="6" t="s">
        <v>430</v>
      </c>
      <c r="CL85" s="6" t="s">
        <v>430</v>
      </c>
      <c r="CM85" s="6" t="s">
        <v>486</v>
      </c>
      <c r="CN85" s="6" t="s">
        <v>1189</v>
      </c>
      <c r="CO85" s="15" t="s">
        <v>430</v>
      </c>
      <c r="CP85" s="15" t="s">
        <v>432</v>
      </c>
      <c r="CQ85" s="6" t="s">
        <v>433</v>
      </c>
      <c r="CR85" s="15"/>
      <c r="CS85" s="6" t="s">
        <v>453</v>
      </c>
      <c r="CT85" s="6"/>
      <c r="CU85" s="6"/>
      <c r="CV85" s="6"/>
      <c r="CW85" s="6"/>
      <c r="CX85" s="15" t="s">
        <v>453</v>
      </c>
      <c r="CY85" s="6"/>
      <c r="CZ85" s="6"/>
      <c r="DA85" s="6"/>
      <c r="DB85" s="6"/>
      <c r="DC85" s="6"/>
      <c r="DD85" s="15"/>
      <c r="DE85" s="15" t="s">
        <v>436</v>
      </c>
      <c r="DF85" s="6" t="s">
        <v>1837</v>
      </c>
      <c r="DG85" s="6">
        <v>1</v>
      </c>
      <c r="DH85" s="6">
        <v>1</v>
      </c>
      <c r="DI85" s="6">
        <v>1</v>
      </c>
      <c r="DJ85" s="6">
        <v>0</v>
      </c>
      <c r="DK85" s="6">
        <v>1</v>
      </c>
      <c r="DL85" s="6">
        <v>0</v>
      </c>
      <c r="DM85" s="6"/>
      <c r="DN85" s="6"/>
      <c r="DO85" s="6"/>
      <c r="DP85" s="6"/>
      <c r="DQ85" s="6"/>
      <c r="DR85" s="6"/>
      <c r="DS85" s="6"/>
      <c r="DT85" s="66"/>
      <c r="DU85" s="6" t="s">
        <v>438</v>
      </c>
      <c r="DV85" s="6" t="s">
        <v>426</v>
      </c>
      <c r="DW85" s="6" t="s">
        <v>490</v>
      </c>
      <c r="DX85" s="6" t="s">
        <v>491</v>
      </c>
      <c r="DY85" s="6"/>
      <c r="DZ85" s="6" t="s">
        <v>441</v>
      </c>
      <c r="EA85" s="6">
        <v>1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/>
      <c r="EJ85" s="6" t="s">
        <v>1660</v>
      </c>
      <c r="EK85" s="6">
        <v>1</v>
      </c>
      <c r="EL85" s="6">
        <v>1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/>
      <c r="EU85" s="6" t="s">
        <v>443</v>
      </c>
      <c r="EV85" s="6" t="s">
        <v>495</v>
      </c>
      <c r="EW85" s="6"/>
      <c r="EX85" s="6" t="s">
        <v>1838</v>
      </c>
      <c r="EY85" s="6">
        <v>1</v>
      </c>
      <c r="EZ85" s="6">
        <v>1</v>
      </c>
      <c r="FA85" s="6">
        <v>1</v>
      </c>
      <c r="FB85" s="6">
        <v>1</v>
      </c>
      <c r="FC85" s="6">
        <v>1</v>
      </c>
      <c r="FD85" s="6">
        <v>1</v>
      </c>
      <c r="FE85" s="6">
        <v>0</v>
      </c>
      <c r="FF85" s="6">
        <v>0</v>
      </c>
      <c r="FG85" s="6"/>
      <c r="FH85" s="6" t="s">
        <v>993</v>
      </c>
      <c r="FI85" s="6">
        <v>0</v>
      </c>
      <c r="FJ85" s="6">
        <v>0</v>
      </c>
      <c r="FK85" s="6">
        <v>0</v>
      </c>
      <c r="FL85" s="6">
        <v>1</v>
      </c>
      <c r="FM85" s="6">
        <v>1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/>
      <c r="FT85" s="6" t="s">
        <v>556</v>
      </c>
      <c r="FU85" s="6" t="s">
        <v>499</v>
      </c>
      <c r="FV85" s="6"/>
      <c r="FW85" s="6" t="s">
        <v>449</v>
      </c>
      <c r="FX85" s="15" t="s">
        <v>450</v>
      </c>
      <c r="FY85" s="6" t="s">
        <v>537</v>
      </c>
      <c r="FZ85" s="6" t="s">
        <v>1839</v>
      </c>
      <c r="GA85" s="6" t="s">
        <v>450</v>
      </c>
      <c r="GB85" s="6" t="s">
        <v>501</v>
      </c>
      <c r="GC85" s="6" t="s">
        <v>453</v>
      </c>
      <c r="GD85" s="6"/>
      <c r="GE85" s="6" t="s">
        <v>454</v>
      </c>
      <c r="GF85" s="6" t="s">
        <v>1840</v>
      </c>
      <c r="GG85" s="6" t="s">
        <v>456</v>
      </c>
      <c r="GH85" s="15" t="s">
        <v>1841</v>
      </c>
      <c r="GI85" s="6" t="s">
        <v>458</v>
      </c>
      <c r="GJ85" s="6" t="s">
        <v>1842</v>
      </c>
      <c r="GK85" s="6" t="s">
        <v>460</v>
      </c>
      <c r="GL85" s="6" t="s">
        <v>461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1</v>
      </c>
      <c r="GS85" s="6">
        <v>0</v>
      </c>
      <c r="GT85" s="6"/>
      <c r="GU85" s="6" t="s">
        <v>534</v>
      </c>
      <c r="GV85" s="6" t="s">
        <v>595</v>
      </c>
      <c r="GW85" s="6" t="s">
        <v>1843</v>
      </c>
      <c r="GX85" s="6">
        <v>1</v>
      </c>
      <c r="GY85" s="6">
        <v>1</v>
      </c>
      <c r="GZ85" s="6">
        <v>1</v>
      </c>
      <c r="HA85" s="6">
        <v>1</v>
      </c>
      <c r="HB85" s="6">
        <v>0</v>
      </c>
      <c r="HC85" s="6">
        <v>0</v>
      </c>
      <c r="HD85" s="6"/>
      <c r="HE85" s="6" t="s">
        <v>1055</v>
      </c>
      <c r="HF85" s="6">
        <v>1</v>
      </c>
      <c r="HG85" s="6">
        <v>0</v>
      </c>
      <c r="HH85" s="6">
        <v>1</v>
      </c>
      <c r="HI85" s="6">
        <v>0</v>
      </c>
      <c r="HJ85" s="6">
        <v>0</v>
      </c>
      <c r="HK85" s="6">
        <v>0</v>
      </c>
      <c r="HL85" s="15"/>
      <c r="HM85" s="6" t="s">
        <v>873</v>
      </c>
      <c r="HN85" s="6"/>
      <c r="HO85" s="6" t="s">
        <v>1844</v>
      </c>
      <c r="HP85" s="6" t="s">
        <v>468</v>
      </c>
      <c r="HQ85" s="6"/>
      <c r="HR85" s="6" t="s">
        <v>1845</v>
      </c>
      <c r="HS85" s="6" t="s">
        <v>508</v>
      </c>
      <c r="HT85" s="6">
        <v>0</v>
      </c>
      <c r="HU85" s="6">
        <v>0</v>
      </c>
      <c r="HV85" s="6">
        <v>1</v>
      </c>
      <c r="HW85" s="6">
        <v>0</v>
      </c>
      <c r="HX85" s="6">
        <v>0</v>
      </c>
      <c r="HY85" s="6">
        <v>0</v>
      </c>
      <c r="HZ85" s="6"/>
      <c r="IA85" s="6" t="s">
        <v>1846</v>
      </c>
      <c r="IB85" s="6">
        <v>0</v>
      </c>
      <c r="IC85" s="6">
        <v>1</v>
      </c>
      <c r="ID85" s="6">
        <v>0</v>
      </c>
      <c r="IE85" s="6">
        <v>1</v>
      </c>
      <c r="IF85" s="6">
        <v>1</v>
      </c>
      <c r="IG85" s="6">
        <v>0</v>
      </c>
      <c r="IH85" s="15" t="s">
        <v>1847</v>
      </c>
      <c r="II85" s="6" t="s">
        <v>426</v>
      </c>
      <c r="IJ85" s="6" t="s">
        <v>602</v>
      </c>
      <c r="IK85" s="6">
        <v>1</v>
      </c>
      <c r="IL85" s="6">
        <v>1</v>
      </c>
      <c r="IM85" s="6">
        <v>0</v>
      </c>
      <c r="IN85" s="6"/>
      <c r="IO85" s="6" t="s">
        <v>1848</v>
      </c>
      <c r="IP85" s="6">
        <v>1</v>
      </c>
      <c r="IQ85" s="6">
        <v>0</v>
      </c>
      <c r="IR85" s="6">
        <v>0</v>
      </c>
      <c r="IS85" s="6">
        <v>1</v>
      </c>
      <c r="IT85" s="6">
        <v>1</v>
      </c>
      <c r="IU85" s="6">
        <v>0</v>
      </c>
      <c r="IV85" s="6"/>
      <c r="IW85" s="6" t="s">
        <v>426</v>
      </c>
      <c r="IX85" s="6">
        <v>1</v>
      </c>
      <c r="IY85" s="6" t="s">
        <v>474</v>
      </c>
      <c r="IZ85" s="6" t="s">
        <v>475</v>
      </c>
      <c r="JA85" s="6" t="s">
        <v>426</v>
      </c>
      <c r="JB85" s="6" t="s">
        <v>476</v>
      </c>
      <c r="JC85" s="6"/>
      <c r="JD85" s="6"/>
      <c r="JE85" s="6"/>
      <c r="JF85" s="6"/>
      <c r="JG85" s="6"/>
      <c r="JH85" s="6"/>
      <c r="JI85" s="6"/>
      <c r="JJ85" s="6"/>
      <c r="JK85" s="6" t="s">
        <v>453</v>
      </c>
      <c r="JL85" s="6"/>
      <c r="JM85" s="6"/>
      <c r="JN85" s="6"/>
      <c r="JO85" s="6"/>
      <c r="JP85" s="6"/>
      <c r="JQ85" s="6"/>
      <c r="JR85" s="6"/>
      <c r="JS85" s="6"/>
      <c r="JT85" s="6"/>
      <c r="JU85" s="6" t="s">
        <v>477</v>
      </c>
      <c r="JV85" s="15"/>
      <c r="JW85" s="94" t="s">
        <v>1849</v>
      </c>
      <c r="JX85" s="6" t="s">
        <v>1850</v>
      </c>
      <c r="JY85" s="6">
        <v>0.582631</v>
      </c>
      <c r="JZ85" s="6">
        <v>34.4694443</v>
      </c>
      <c r="KA85" s="6">
        <v>1304.44689941406</v>
      </c>
      <c r="KB85" s="15">
        <v>4.656</v>
      </c>
      <c r="KC85" s="15"/>
    </row>
    <row r="86" spans="1:289">
      <c r="A86" s="6" t="s">
        <v>547</v>
      </c>
      <c r="B86" s="6" t="s">
        <v>420</v>
      </c>
      <c r="C86" s="6" t="s">
        <v>1608</v>
      </c>
      <c r="D86" s="6" t="s">
        <v>1620</v>
      </c>
      <c r="E86" s="6" t="s">
        <v>1851</v>
      </c>
      <c r="F86" s="8" t="s">
        <v>483</v>
      </c>
      <c r="G86" s="6" t="s">
        <v>424</v>
      </c>
      <c r="H86" s="6" t="s">
        <v>517</v>
      </c>
      <c r="I86" s="15"/>
      <c r="J86" s="6" t="s">
        <v>426</v>
      </c>
      <c r="K86" s="6" t="s">
        <v>426</v>
      </c>
      <c r="L86" s="6" t="s">
        <v>426</v>
      </c>
      <c r="M86" s="6" t="s">
        <v>426</v>
      </c>
      <c r="N86" s="6" t="s">
        <v>426</v>
      </c>
      <c r="O86" s="6" t="s">
        <v>426</v>
      </c>
      <c r="P86" s="6" t="s">
        <v>426</v>
      </c>
      <c r="Q86" s="6" t="s">
        <v>426</v>
      </c>
      <c r="R86" s="6" t="s">
        <v>426</v>
      </c>
      <c r="S86" s="6" t="s">
        <v>426</v>
      </c>
      <c r="T86" s="6" t="s">
        <v>426</v>
      </c>
      <c r="U86" s="6" t="s">
        <v>426</v>
      </c>
      <c r="V86" s="6" t="s">
        <v>426</v>
      </c>
      <c r="W86" s="6" t="s">
        <v>426</v>
      </c>
      <c r="X86" s="6" t="s">
        <v>426</v>
      </c>
      <c r="Y86" s="6" t="s">
        <v>426</v>
      </c>
      <c r="Z86" s="6" t="s">
        <v>426</v>
      </c>
      <c r="AA86" s="6" t="s">
        <v>426</v>
      </c>
      <c r="AB86" s="6" t="s">
        <v>426</v>
      </c>
      <c r="AC86" s="15" t="s">
        <v>426</v>
      </c>
      <c r="AD86" s="6" t="s">
        <v>427</v>
      </c>
      <c r="AE86" s="6">
        <v>0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0</v>
      </c>
      <c r="AL86" s="6">
        <v>0</v>
      </c>
      <c r="AM86" s="6"/>
      <c r="AN86" s="15"/>
      <c r="AO86" s="6" t="s">
        <v>426</v>
      </c>
      <c r="AP86" s="6" t="s">
        <v>683</v>
      </c>
      <c r="AQ86" s="6" t="s">
        <v>426</v>
      </c>
      <c r="AR86" s="6" t="s">
        <v>1188</v>
      </c>
      <c r="AS86" s="6" t="s">
        <v>426</v>
      </c>
      <c r="AT86" s="6">
        <v>0.2</v>
      </c>
      <c r="AU86" s="6" t="s">
        <v>426</v>
      </c>
      <c r="AV86" s="6">
        <v>0.2</v>
      </c>
      <c r="AW86" s="6" t="s">
        <v>426</v>
      </c>
      <c r="AX86" s="6">
        <v>0.8</v>
      </c>
      <c r="AY86" s="6" t="s">
        <v>426</v>
      </c>
      <c r="AZ86" s="6">
        <v>1</v>
      </c>
      <c r="BA86" s="6" t="s">
        <v>426</v>
      </c>
      <c r="BB86" s="6">
        <v>0.4</v>
      </c>
      <c r="BC86" s="6" t="s">
        <v>426</v>
      </c>
      <c r="BD86" s="6">
        <v>0.8</v>
      </c>
      <c r="BE86" s="6" t="s">
        <v>426</v>
      </c>
      <c r="BF86" s="6">
        <v>3</v>
      </c>
      <c r="BG86" s="6" t="s">
        <v>426</v>
      </c>
      <c r="BH86" s="6">
        <v>0.2</v>
      </c>
      <c r="BI86" s="6" t="s">
        <v>426</v>
      </c>
      <c r="BJ86" s="6">
        <v>0.8</v>
      </c>
      <c r="BK86" s="6" t="s">
        <v>453</v>
      </c>
      <c r="BL86" s="6"/>
      <c r="BM86" s="6" t="s">
        <v>426</v>
      </c>
      <c r="BN86" s="6">
        <v>40</v>
      </c>
      <c r="BO86" s="6" t="s">
        <v>426</v>
      </c>
      <c r="BP86" s="6">
        <v>0.4</v>
      </c>
      <c r="BQ86" s="6" t="s">
        <v>426</v>
      </c>
      <c r="BR86" s="6">
        <v>100</v>
      </c>
      <c r="BS86" s="6" t="s">
        <v>426</v>
      </c>
      <c r="BT86" s="6">
        <v>50</v>
      </c>
      <c r="BU86" s="6" t="s">
        <v>426</v>
      </c>
      <c r="BV86" s="15">
        <v>0.8</v>
      </c>
      <c r="BW86" s="15" t="s">
        <v>1852</v>
      </c>
      <c r="BX86" s="15" t="s">
        <v>429</v>
      </c>
      <c r="BY86" s="6" t="s">
        <v>430</v>
      </c>
      <c r="BZ86" s="6" t="s">
        <v>430</v>
      </c>
      <c r="CA86" s="6" t="s">
        <v>430</v>
      </c>
      <c r="CB86" s="6" t="s">
        <v>430</v>
      </c>
      <c r="CC86" s="6" t="s">
        <v>430</v>
      </c>
      <c r="CD86" s="6" t="s">
        <v>430</v>
      </c>
      <c r="CE86" s="6" t="s">
        <v>430</v>
      </c>
      <c r="CF86" s="6" t="s">
        <v>430</v>
      </c>
      <c r="CG86" s="6" t="s">
        <v>430</v>
      </c>
      <c r="CH86" s="6" t="s">
        <v>430</v>
      </c>
      <c r="CI86" s="6" t="s">
        <v>430</v>
      </c>
      <c r="CJ86" s="6" t="s">
        <v>430</v>
      </c>
      <c r="CK86" s="6" t="s">
        <v>430</v>
      </c>
      <c r="CL86" s="6" t="s">
        <v>430</v>
      </c>
      <c r="CM86" s="6" t="s">
        <v>430</v>
      </c>
      <c r="CN86" s="6" t="s">
        <v>430</v>
      </c>
      <c r="CO86" s="15" t="s">
        <v>430</v>
      </c>
      <c r="CP86" s="15" t="s">
        <v>432</v>
      </c>
      <c r="CQ86" s="6" t="s">
        <v>433</v>
      </c>
      <c r="CR86" s="15"/>
      <c r="CS86" s="6" t="s">
        <v>426</v>
      </c>
      <c r="CT86" s="6" t="s">
        <v>1853</v>
      </c>
      <c r="CU86" s="6" t="s">
        <v>809</v>
      </c>
      <c r="CV86" s="6" t="s">
        <v>733</v>
      </c>
      <c r="CW86" s="6" t="s">
        <v>1090</v>
      </c>
      <c r="CX86" s="15" t="s">
        <v>426</v>
      </c>
      <c r="CY86" s="6" t="s">
        <v>426</v>
      </c>
      <c r="CZ86" s="6" t="s">
        <v>1854</v>
      </c>
      <c r="DA86" s="6" t="s">
        <v>829</v>
      </c>
      <c r="DB86" s="6" t="s">
        <v>758</v>
      </c>
      <c r="DC86" s="6" t="s">
        <v>1091</v>
      </c>
      <c r="DD86" s="15" t="s">
        <v>829</v>
      </c>
      <c r="DE86" s="15" t="s">
        <v>436</v>
      </c>
      <c r="DF86" s="6" t="s">
        <v>522</v>
      </c>
      <c r="DG86" s="6">
        <v>0</v>
      </c>
      <c r="DH86" s="6">
        <v>1</v>
      </c>
      <c r="DI86" s="6">
        <v>0</v>
      </c>
      <c r="DJ86" s="6">
        <v>0</v>
      </c>
      <c r="DK86" s="6">
        <v>0</v>
      </c>
      <c r="DL86" s="6">
        <v>0</v>
      </c>
      <c r="DM86" s="6"/>
      <c r="DN86" s="6"/>
      <c r="DO86" s="6"/>
      <c r="DP86" s="6"/>
      <c r="DQ86" s="6"/>
      <c r="DR86" s="6"/>
      <c r="DS86" s="6"/>
      <c r="DT86" s="66"/>
      <c r="DU86" s="6" t="s">
        <v>438</v>
      </c>
      <c r="DV86" s="6" t="s">
        <v>426</v>
      </c>
      <c r="DW86" s="6" t="s">
        <v>490</v>
      </c>
      <c r="DX86" s="6" t="s">
        <v>440</v>
      </c>
      <c r="DY86" s="6"/>
      <c r="DZ86" s="6" t="s">
        <v>441</v>
      </c>
      <c r="EA86" s="6">
        <v>1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/>
      <c r="EJ86" s="6" t="s">
        <v>811</v>
      </c>
      <c r="EK86" s="6">
        <v>1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/>
      <c r="EU86" s="6" t="s">
        <v>443</v>
      </c>
      <c r="EV86" s="6" t="s">
        <v>588</v>
      </c>
      <c r="EW86" s="6"/>
      <c r="EX86" s="6" t="s">
        <v>445</v>
      </c>
      <c r="EY86" s="6">
        <v>0</v>
      </c>
      <c r="EZ86" s="6">
        <v>0</v>
      </c>
      <c r="FA86" s="6">
        <v>1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/>
      <c r="FH86" s="6" t="s">
        <v>812</v>
      </c>
      <c r="FI86" s="6">
        <v>1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/>
      <c r="FT86" s="6" t="s">
        <v>556</v>
      </c>
      <c r="FU86" s="6" t="s">
        <v>499</v>
      </c>
      <c r="FV86" s="6"/>
      <c r="FW86" s="6" t="s">
        <v>1124</v>
      </c>
      <c r="FX86" s="15" t="s">
        <v>450</v>
      </c>
      <c r="FY86" s="6" t="s">
        <v>500</v>
      </c>
      <c r="FZ86" s="6"/>
      <c r="GA86" s="6" t="s">
        <v>450</v>
      </c>
      <c r="GB86" s="6" t="s">
        <v>501</v>
      </c>
      <c r="GC86" s="6" t="s">
        <v>453</v>
      </c>
      <c r="GD86" s="6"/>
      <c r="GE86" s="6" t="s">
        <v>454</v>
      </c>
      <c r="GF86" s="6" t="s">
        <v>1855</v>
      </c>
      <c r="GG86" s="6" t="s">
        <v>456</v>
      </c>
      <c r="GH86" s="15" t="s">
        <v>1856</v>
      </c>
      <c r="GI86" s="6" t="s">
        <v>458</v>
      </c>
      <c r="GJ86" s="6" t="s">
        <v>1857</v>
      </c>
      <c r="GK86" s="6" t="s">
        <v>460</v>
      </c>
      <c r="GL86" s="6" t="s">
        <v>461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1</v>
      </c>
      <c r="GS86" s="6">
        <v>0</v>
      </c>
      <c r="GT86" s="6"/>
      <c r="GU86" s="6" t="s">
        <v>534</v>
      </c>
      <c r="GV86" s="6" t="s">
        <v>559</v>
      </c>
      <c r="GW86" s="6" t="s">
        <v>464</v>
      </c>
      <c r="GX86" s="6">
        <v>1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/>
      <c r="HE86" s="6" t="s">
        <v>646</v>
      </c>
      <c r="HF86" s="6">
        <v>0</v>
      </c>
      <c r="HG86" s="6">
        <v>0</v>
      </c>
      <c r="HH86" s="6">
        <v>1</v>
      </c>
      <c r="HI86" s="6">
        <v>0</v>
      </c>
      <c r="HJ86" s="6">
        <v>0</v>
      </c>
      <c r="HK86" s="6">
        <v>0</v>
      </c>
      <c r="HL86" s="15"/>
      <c r="HM86" s="6" t="s">
        <v>466</v>
      </c>
      <c r="HN86" s="6"/>
      <c r="HO86" s="6" t="s">
        <v>1858</v>
      </c>
      <c r="HP86" s="6" t="s">
        <v>561</v>
      </c>
      <c r="HQ86" s="6"/>
      <c r="HR86" s="6" t="s">
        <v>1859</v>
      </c>
      <c r="HS86" s="6" t="s">
        <v>1860</v>
      </c>
      <c r="HT86" s="6">
        <v>0</v>
      </c>
      <c r="HU86" s="6">
        <v>0</v>
      </c>
      <c r="HV86" s="6">
        <v>0</v>
      </c>
      <c r="HW86" s="6">
        <v>1</v>
      </c>
      <c r="HX86" s="6">
        <v>1</v>
      </c>
      <c r="HY86" s="6">
        <v>0</v>
      </c>
      <c r="HZ86" s="6"/>
      <c r="IA86" s="6" t="s">
        <v>112</v>
      </c>
      <c r="IB86" s="6">
        <v>0</v>
      </c>
      <c r="IC86" s="6">
        <v>1</v>
      </c>
      <c r="ID86" s="6">
        <v>0</v>
      </c>
      <c r="IE86" s="6">
        <v>0</v>
      </c>
      <c r="IF86" s="6">
        <v>0</v>
      </c>
      <c r="IG86" s="6">
        <v>0</v>
      </c>
      <c r="IH86" s="15" t="s">
        <v>1861</v>
      </c>
      <c r="II86" s="6" t="s">
        <v>453</v>
      </c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 t="s">
        <v>426</v>
      </c>
      <c r="IX86" s="6">
        <v>1</v>
      </c>
      <c r="IY86" s="6" t="s">
        <v>474</v>
      </c>
      <c r="IZ86" s="6" t="s">
        <v>475</v>
      </c>
      <c r="JA86" s="6" t="s">
        <v>426</v>
      </c>
      <c r="JB86" s="6" t="s">
        <v>476</v>
      </c>
      <c r="JC86" s="6"/>
      <c r="JD86" s="6"/>
      <c r="JE86" s="6"/>
      <c r="JF86" s="6"/>
      <c r="JG86" s="6"/>
      <c r="JH86" s="6"/>
      <c r="JI86" s="6"/>
      <c r="JJ86" s="6"/>
      <c r="JK86" s="6" t="s">
        <v>453</v>
      </c>
      <c r="JL86" s="6"/>
      <c r="JM86" s="6"/>
      <c r="JN86" s="6"/>
      <c r="JO86" s="6"/>
      <c r="JP86" s="6"/>
      <c r="JQ86" s="6"/>
      <c r="JR86" s="6"/>
      <c r="JS86" s="6"/>
      <c r="JT86" s="6"/>
      <c r="JU86" s="6" t="s">
        <v>477</v>
      </c>
      <c r="JV86" s="15"/>
      <c r="JW86" s="94" t="s">
        <v>1862</v>
      </c>
      <c r="JX86" s="6" t="s">
        <v>1863</v>
      </c>
      <c r="JY86" s="6">
        <v>0.598097</v>
      </c>
      <c r="JZ86" s="6">
        <v>34.4679278</v>
      </c>
      <c r="KA86" s="6">
        <v>1357</v>
      </c>
      <c r="KB86" s="15">
        <v>4.84</v>
      </c>
      <c r="KC86" s="15"/>
    </row>
    <row r="87" spans="1:289">
      <c r="A87" s="6" t="s">
        <v>633</v>
      </c>
      <c r="B87" s="6" t="s">
        <v>420</v>
      </c>
      <c r="C87" s="6" t="s">
        <v>1608</v>
      </c>
      <c r="D87" s="6" t="s">
        <v>1609</v>
      </c>
      <c r="E87" s="6" t="s">
        <v>1864</v>
      </c>
      <c r="F87" s="8" t="s">
        <v>483</v>
      </c>
      <c r="G87" s="6" t="s">
        <v>424</v>
      </c>
      <c r="H87" s="6" t="s">
        <v>517</v>
      </c>
      <c r="I87" s="15"/>
      <c r="J87" s="6" t="s">
        <v>426</v>
      </c>
      <c r="K87" s="6" t="s">
        <v>426</v>
      </c>
      <c r="L87" s="6" t="s">
        <v>426</v>
      </c>
      <c r="M87" s="6" t="s">
        <v>426</v>
      </c>
      <c r="N87" s="6" t="s">
        <v>426</v>
      </c>
      <c r="O87" s="6" t="s">
        <v>426</v>
      </c>
      <c r="P87" s="6" t="s">
        <v>426</v>
      </c>
      <c r="Q87" s="6" t="s">
        <v>426</v>
      </c>
      <c r="R87" s="6" t="s">
        <v>426</v>
      </c>
      <c r="S87" s="6" t="s">
        <v>426</v>
      </c>
      <c r="T87" s="6" t="s">
        <v>426</v>
      </c>
      <c r="U87" s="6" t="s">
        <v>426</v>
      </c>
      <c r="V87" s="6" t="s">
        <v>426</v>
      </c>
      <c r="W87" s="6" t="s">
        <v>426</v>
      </c>
      <c r="X87" s="6" t="s">
        <v>426</v>
      </c>
      <c r="Y87" s="6" t="s">
        <v>426</v>
      </c>
      <c r="Z87" s="6" t="s">
        <v>426</v>
      </c>
      <c r="AA87" s="6" t="s">
        <v>426</v>
      </c>
      <c r="AB87" s="6" t="s">
        <v>426</v>
      </c>
      <c r="AC87" s="15" t="s">
        <v>426</v>
      </c>
      <c r="AD87" s="6" t="s">
        <v>427</v>
      </c>
      <c r="AE87" s="6">
        <v>0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0</v>
      </c>
      <c r="AL87" s="6">
        <v>0</v>
      </c>
      <c r="AM87" s="6"/>
      <c r="AN87" s="15"/>
      <c r="AO87" s="6" t="s">
        <v>426</v>
      </c>
      <c r="AP87" s="6" t="s">
        <v>758</v>
      </c>
      <c r="AQ87" s="6" t="s">
        <v>426</v>
      </c>
      <c r="AR87" s="6" t="s">
        <v>758</v>
      </c>
      <c r="AS87" s="6" t="s">
        <v>426</v>
      </c>
      <c r="AT87" s="6">
        <v>0.5</v>
      </c>
      <c r="AU87" s="6" t="s">
        <v>426</v>
      </c>
      <c r="AV87" s="6">
        <v>0.2</v>
      </c>
      <c r="AW87" s="6" t="s">
        <v>426</v>
      </c>
      <c r="AX87" s="6">
        <v>1</v>
      </c>
      <c r="AY87" s="6" t="s">
        <v>426</v>
      </c>
      <c r="AZ87" s="6">
        <v>1</v>
      </c>
      <c r="BA87" s="6" t="s">
        <v>426</v>
      </c>
      <c r="BB87" s="6">
        <v>0.08</v>
      </c>
      <c r="BC87" s="6" t="s">
        <v>426</v>
      </c>
      <c r="BD87" s="6">
        <v>0.5</v>
      </c>
      <c r="BE87" s="6" t="s">
        <v>426</v>
      </c>
      <c r="BF87" s="6">
        <v>10</v>
      </c>
      <c r="BG87" s="6" t="s">
        <v>426</v>
      </c>
      <c r="BH87" s="6">
        <v>0.5</v>
      </c>
      <c r="BI87" s="6" t="s">
        <v>426</v>
      </c>
      <c r="BJ87" s="6">
        <v>0.5</v>
      </c>
      <c r="BK87" s="6" t="s">
        <v>426</v>
      </c>
      <c r="BL87" s="6">
        <v>0.5</v>
      </c>
      <c r="BM87" s="6" t="s">
        <v>426</v>
      </c>
      <c r="BN87" s="6">
        <v>20</v>
      </c>
      <c r="BO87" s="6" t="s">
        <v>426</v>
      </c>
      <c r="BP87" s="6">
        <v>0.08</v>
      </c>
      <c r="BQ87" s="6" t="s">
        <v>426</v>
      </c>
      <c r="BR87" s="6">
        <v>300</v>
      </c>
      <c r="BS87" s="6" t="s">
        <v>426</v>
      </c>
      <c r="BT87" s="6">
        <v>4</v>
      </c>
      <c r="BU87" s="6" t="s">
        <v>426</v>
      </c>
      <c r="BV87" s="15">
        <v>0.5</v>
      </c>
      <c r="BW87" s="15" t="s">
        <v>518</v>
      </c>
      <c r="BX87" s="15" t="s">
        <v>429</v>
      </c>
      <c r="BY87" s="6" t="s">
        <v>430</v>
      </c>
      <c r="BZ87" s="6" t="s">
        <v>430</v>
      </c>
      <c r="CA87" s="6" t="s">
        <v>430</v>
      </c>
      <c r="CB87" s="6" t="s">
        <v>430</v>
      </c>
      <c r="CC87" s="6" t="s">
        <v>430</v>
      </c>
      <c r="CD87" s="6" t="s">
        <v>430</v>
      </c>
      <c r="CE87" s="6" t="s">
        <v>430</v>
      </c>
      <c r="CF87" s="6" t="s">
        <v>430</v>
      </c>
      <c r="CG87" s="6" t="s">
        <v>430</v>
      </c>
      <c r="CH87" s="6" t="s">
        <v>430</v>
      </c>
      <c r="CI87" s="6" t="s">
        <v>430</v>
      </c>
      <c r="CJ87" s="6" t="s">
        <v>430</v>
      </c>
      <c r="CK87" s="6" t="s">
        <v>430</v>
      </c>
      <c r="CL87" s="6" t="s">
        <v>430</v>
      </c>
      <c r="CM87" s="6" t="s">
        <v>430</v>
      </c>
      <c r="CN87" s="6" t="s">
        <v>430</v>
      </c>
      <c r="CO87" s="15" t="s">
        <v>430</v>
      </c>
      <c r="CP87" s="15" t="s">
        <v>432</v>
      </c>
      <c r="CQ87" s="6" t="s">
        <v>433</v>
      </c>
      <c r="CR87" s="15"/>
      <c r="CS87" s="6" t="s">
        <v>426</v>
      </c>
      <c r="CT87" s="6" t="s">
        <v>1865</v>
      </c>
      <c r="CU87" s="6" t="s">
        <v>1087</v>
      </c>
      <c r="CV87" s="6" t="s">
        <v>660</v>
      </c>
      <c r="CW87" s="6" t="s">
        <v>1866</v>
      </c>
      <c r="CX87" s="15" t="s">
        <v>426</v>
      </c>
      <c r="CY87" s="6" t="s">
        <v>426</v>
      </c>
      <c r="CZ87" s="6" t="s">
        <v>1867</v>
      </c>
      <c r="DA87" s="6" t="s">
        <v>1351</v>
      </c>
      <c r="DB87" s="6" t="s">
        <v>1641</v>
      </c>
      <c r="DC87" s="6" t="s">
        <v>660</v>
      </c>
      <c r="DD87" s="15" t="s">
        <v>1351</v>
      </c>
      <c r="DE87" s="15" t="s">
        <v>436</v>
      </c>
      <c r="DF87" s="6" t="s">
        <v>522</v>
      </c>
      <c r="DG87" s="6">
        <v>0</v>
      </c>
      <c r="DH87" s="6">
        <v>1</v>
      </c>
      <c r="DI87" s="6">
        <v>0</v>
      </c>
      <c r="DJ87" s="6">
        <v>0</v>
      </c>
      <c r="DK87" s="6">
        <v>0</v>
      </c>
      <c r="DL87" s="6">
        <v>0</v>
      </c>
      <c r="DM87" s="6"/>
      <c r="DN87" s="6"/>
      <c r="DO87" s="6"/>
      <c r="DP87" s="6"/>
      <c r="DQ87" s="6"/>
      <c r="DR87" s="6"/>
      <c r="DS87" s="6"/>
      <c r="DT87" s="66"/>
      <c r="DU87" s="6" t="s">
        <v>523</v>
      </c>
      <c r="DV87" s="6" t="s">
        <v>426</v>
      </c>
      <c r="DW87" s="6" t="s">
        <v>439</v>
      </c>
      <c r="DX87" s="6" t="s">
        <v>440</v>
      </c>
      <c r="DY87" s="6"/>
      <c r="DZ87" s="6" t="s">
        <v>714</v>
      </c>
      <c r="EA87" s="6">
        <v>1</v>
      </c>
      <c r="EB87" s="6">
        <v>1</v>
      </c>
      <c r="EC87" s="6">
        <v>1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/>
      <c r="EJ87" s="6" t="s">
        <v>741</v>
      </c>
      <c r="EK87" s="6">
        <v>1</v>
      </c>
      <c r="EL87" s="6">
        <v>0</v>
      </c>
      <c r="EM87" s="6">
        <v>1</v>
      </c>
      <c r="EN87" s="6">
        <v>1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/>
      <c r="EU87" s="6" t="s">
        <v>443</v>
      </c>
      <c r="EV87" s="6" t="s">
        <v>444</v>
      </c>
      <c r="EW87" s="6"/>
      <c r="EX87" s="6" t="s">
        <v>1123</v>
      </c>
      <c r="EY87" s="6">
        <v>1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/>
      <c r="FH87" s="6" t="s">
        <v>1096</v>
      </c>
      <c r="FI87" s="6">
        <v>1</v>
      </c>
      <c r="FJ87" s="6">
        <v>0</v>
      </c>
      <c r="FK87" s="6">
        <v>0</v>
      </c>
      <c r="FL87" s="6">
        <v>1</v>
      </c>
      <c r="FM87" s="6">
        <v>1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/>
      <c r="FT87" s="6" t="s">
        <v>447</v>
      </c>
      <c r="FU87" s="6" t="s">
        <v>448</v>
      </c>
      <c r="FV87" s="6"/>
      <c r="FW87" s="6" t="s">
        <v>449</v>
      </c>
      <c r="FX87" s="15" t="s">
        <v>450</v>
      </c>
      <c r="FY87" s="6" t="s">
        <v>537</v>
      </c>
      <c r="FZ87" s="6" t="s">
        <v>1868</v>
      </c>
      <c r="GA87" s="6" t="s">
        <v>450</v>
      </c>
      <c r="GB87" s="6" t="s">
        <v>501</v>
      </c>
      <c r="GC87" s="6" t="s">
        <v>453</v>
      </c>
      <c r="GD87" s="6"/>
      <c r="GE87" s="6" t="s">
        <v>454</v>
      </c>
      <c r="GF87" s="6" t="s">
        <v>1869</v>
      </c>
      <c r="GG87" s="6" t="s">
        <v>456</v>
      </c>
      <c r="GH87" s="15" t="s">
        <v>1870</v>
      </c>
      <c r="GI87" s="6" t="s">
        <v>458</v>
      </c>
      <c r="GJ87" s="6" t="s">
        <v>1871</v>
      </c>
      <c r="GK87" s="6" t="s">
        <v>460</v>
      </c>
      <c r="GL87" s="6" t="s">
        <v>461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1</v>
      </c>
      <c r="GS87" s="6">
        <v>0</v>
      </c>
      <c r="GT87" s="6"/>
      <c r="GU87" s="6" t="s">
        <v>534</v>
      </c>
      <c r="GV87" s="6" t="s">
        <v>595</v>
      </c>
      <c r="GW87" s="6" t="s">
        <v>1647</v>
      </c>
      <c r="GX87" s="6">
        <v>0</v>
      </c>
      <c r="GY87" s="6">
        <v>0</v>
      </c>
      <c r="GZ87" s="6">
        <v>0</v>
      </c>
      <c r="HA87" s="6">
        <v>0</v>
      </c>
      <c r="HB87" s="6">
        <v>0</v>
      </c>
      <c r="HC87" s="6">
        <v>1</v>
      </c>
      <c r="HD87" s="6" t="s">
        <v>1500</v>
      </c>
      <c r="HE87" s="6" t="s">
        <v>748</v>
      </c>
      <c r="HF87" s="6">
        <v>0</v>
      </c>
      <c r="HG87" s="6">
        <v>0</v>
      </c>
      <c r="HH87" s="6">
        <v>1</v>
      </c>
      <c r="HI87" s="6">
        <v>1</v>
      </c>
      <c r="HJ87" s="6">
        <v>0</v>
      </c>
      <c r="HK87" s="6">
        <v>0</v>
      </c>
      <c r="HL87" s="15"/>
      <c r="HM87" s="6" t="s">
        <v>505</v>
      </c>
      <c r="HN87" s="6"/>
      <c r="HO87" s="6" t="s">
        <v>1872</v>
      </c>
      <c r="HP87" s="6" t="s">
        <v>468</v>
      </c>
      <c r="HQ87" s="6"/>
      <c r="HR87" s="6" t="s">
        <v>1873</v>
      </c>
      <c r="HS87" s="6" t="s">
        <v>508</v>
      </c>
      <c r="HT87" s="6">
        <v>0</v>
      </c>
      <c r="HU87" s="6">
        <v>0</v>
      </c>
      <c r="HV87" s="6">
        <v>1</v>
      </c>
      <c r="HW87" s="6">
        <v>0</v>
      </c>
      <c r="HX87" s="6">
        <v>0</v>
      </c>
      <c r="HY87" s="6">
        <v>0</v>
      </c>
      <c r="HZ87" s="6"/>
      <c r="IA87" s="6" t="s">
        <v>1105</v>
      </c>
      <c r="IB87" s="6">
        <v>1</v>
      </c>
      <c r="IC87" s="6">
        <v>1</v>
      </c>
      <c r="ID87" s="6">
        <v>0</v>
      </c>
      <c r="IE87" s="6">
        <v>0</v>
      </c>
      <c r="IF87" s="6">
        <v>0</v>
      </c>
      <c r="IG87" s="6">
        <v>0</v>
      </c>
      <c r="IH87" s="15" t="s">
        <v>1874</v>
      </c>
      <c r="II87" s="6" t="s">
        <v>426</v>
      </c>
      <c r="IJ87" s="6" t="s">
        <v>472</v>
      </c>
      <c r="IK87" s="6">
        <v>1</v>
      </c>
      <c r="IL87" s="6">
        <v>0</v>
      </c>
      <c r="IM87" s="6">
        <v>0</v>
      </c>
      <c r="IN87" s="6"/>
      <c r="IO87" s="6" t="s">
        <v>473</v>
      </c>
      <c r="IP87" s="6">
        <v>1</v>
      </c>
      <c r="IQ87" s="6">
        <v>0</v>
      </c>
      <c r="IR87" s="6">
        <v>0</v>
      </c>
      <c r="IS87" s="6">
        <v>0</v>
      </c>
      <c r="IT87" s="6">
        <v>0</v>
      </c>
      <c r="IU87" s="6">
        <v>0</v>
      </c>
      <c r="IV87" s="6"/>
      <c r="IW87" s="6" t="s">
        <v>426</v>
      </c>
      <c r="IX87" s="6">
        <v>1</v>
      </c>
      <c r="IY87" s="6" t="s">
        <v>474</v>
      </c>
      <c r="IZ87" s="6" t="s">
        <v>475</v>
      </c>
      <c r="JA87" s="6" t="s">
        <v>426</v>
      </c>
      <c r="JB87" s="6" t="s">
        <v>651</v>
      </c>
      <c r="JC87" s="6"/>
      <c r="JD87" s="6"/>
      <c r="JE87" s="6"/>
      <c r="JF87" s="6"/>
      <c r="JG87" s="6"/>
      <c r="JH87" s="6"/>
      <c r="JI87" s="6"/>
      <c r="JJ87" s="6"/>
      <c r="JK87" s="6" t="s">
        <v>453</v>
      </c>
      <c r="JL87" s="6"/>
      <c r="JM87" s="6"/>
      <c r="JN87" s="6"/>
      <c r="JO87" s="6"/>
      <c r="JP87" s="6"/>
      <c r="JQ87" s="6"/>
      <c r="JR87" s="6"/>
      <c r="JS87" s="6"/>
      <c r="JT87" s="6"/>
      <c r="JU87" s="6" t="s">
        <v>477</v>
      </c>
      <c r="JV87" s="15"/>
      <c r="JW87" s="94" t="s">
        <v>1875</v>
      </c>
      <c r="JX87" s="6" t="s">
        <v>1876</v>
      </c>
      <c r="JY87" s="6">
        <v>0.5870572</v>
      </c>
      <c r="JZ87" s="6">
        <v>34.4565857</v>
      </c>
      <c r="KA87" s="6">
        <v>1299</v>
      </c>
      <c r="KB87" s="15">
        <v>4.9</v>
      </c>
      <c r="KC87" s="15"/>
    </row>
    <row r="88" spans="1:289">
      <c r="A88" s="6" t="s">
        <v>864</v>
      </c>
      <c r="B88" s="6" t="s">
        <v>420</v>
      </c>
      <c r="C88" s="6" t="s">
        <v>1608</v>
      </c>
      <c r="D88" s="6" t="s">
        <v>1877</v>
      </c>
      <c r="E88" s="6" t="s">
        <v>1878</v>
      </c>
      <c r="F88" s="8" t="s">
        <v>483</v>
      </c>
      <c r="G88" s="6" t="s">
        <v>567</v>
      </c>
      <c r="H88" s="6" t="s">
        <v>517</v>
      </c>
      <c r="I88" s="15"/>
      <c r="J88" s="6" t="s">
        <v>426</v>
      </c>
      <c r="K88" s="6" t="s">
        <v>426</v>
      </c>
      <c r="L88" s="6" t="s">
        <v>426</v>
      </c>
      <c r="M88" s="6" t="s">
        <v>426</v>
      </c>
      <c r="N88" s="6" t="s">
        <v>426</v>
      </c>
      <c r="O88" s="6" t="s">
        <v>426</v>
      </c>
      <c r="P88" s="6" t="s">
        <v>426</v>
      </c>
      <c r="Q88" s="6" t="s">
        <v>426</v>
      </c>
      <c r="R88" s="6" t="s">
        <v>426</v>
      </c>
      <c r="S88" s="6" t="s">
        <v>426</v>
      </c>
      <c r="T88" s="6" t="s">
        <v>426</v>
      </c>
      <c r="U88" s="6" t="s">
        <v>426</v>
      </c>
      <c r="V88" s="6" t="s">
        <v>453</v>
      </c>
      <c r="W88" s="6" t="s">
        <v>453</v>
      </c>
      <c r="X88" s="6" t="s">
        <v>426</v>
      </c>
      <c r="Y88" s="6" t="s">
        <v>426</v>
      </c>
      <c r="Z88" s="6" t="s">
        <v>426</v>
      </c>
      <c r="AA88" s="6" t="s">
        <v>426</v>
      </c>
      <c r="AB88" s="6" t="s">
        <v>426</v>
      </c>
      <c r="AC88" s="15" t="s">
        <v>426</v>
      </c>
      <c r="AD88" s="6" t="s">
        <v>427</v>
      </c>
      <c r="AE88" s="6">
        <v>0</v>
      </c>
      <c r="AF88" s="6">
        <v>0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/>
      <c r="AN88" s="15"/>
      <c r="AO88" s="6" t="s">
        <v>426</v>
      </c>
      <c r="AP88" s="6" t="s">
        <v>766</v>
      </c>
      <c r="AQ88" s="6" t="s">
        <v>426</v>
      </c>
      <c r="AR88" s="6" t="s">
        <v>683</v>
      </c>
      <c r="AS88" s="6" t="s">
        <v>453</v>
      </c>
      <c r="AT88" s="6"/>
      <c r="AU88" s="6" t="s">
        <v>426</v>
      </c>
      <c r="AV88" s="6">
        <v>0.1</v>
      </c>
      <c r="AW88" s="6" t="s">
        <v>426</v>
      </c>
      <c r="AX88" s="6">
        <v>0.4</v>
      </c>
      <c r="AY88" s="6" t="s">
        <v>426</v>
      </c>
      <c r="AZ88" s="6">
        <v>1</v>
      </c>
      <c r="BA88" s="6" t="s">
        <v>453</v>
      </c>
      <c r="BB88" s="6"/>
      <c r="BC88" s="6" t="s">
        <v>426</v>
      </c>
      <c r="BD88" s="6">
        <v>0.2</v>
      </c>
      <c r="BE88" s="6" t="s">
        <v>426</v>
      </c>
      <c r="BF88" s="6">
        <v>3</v>
      </c>
      <c r="BG88" s="6" t="s">
        <v>453</v>
      </c>
      <c r="BH88" s="6"/>
      <c r="BI88" s="6" t="s">
        <v>426</v>
      </c>
      <c r="BJ88" s="6">
        <v>0.1</v>
      </c>
      <c r="BK88" s="6" t="s">
        <v>426</v>
      </c>
      <c r="BL88" s="6">
        <v>0.4</v>
      </c>
      <c r="BM88" s="6" t="s">
        <v>426</v>
      </c>
      <c r="BN88" s="6">
        <v>25</v>
      </c>
      <c r="BO88" s="6" t="s">
        <v>426</v>
      </c>
      <c r="BP88" s="6">
        <v>0.2</v>
      </c>
      <c r="BQ88" s="6" t="s">
        <v>426</v>
      </c>
      <c r="BR88" s="6">
        <v>100</v>
      </c>
      <c r="BS88" s="6" t="s">
        <v>453</v>
      </c>
      <c r="BT88" s="6"/>
      <c r="BU88" s="6" t="s">
        <v>426</v>
      </c>
      <c r="BV88" s="15">
        <v>1</v>
      </c>
      <c r="BW88" s="15" t="s">
        <v>518</v>
      </c>
      <c r="BX88" s="15" t="s">
        <v>429</v>
      </c>
      <c r="BY88" s="6" t="s">
        <v>430</v>
      </c>
      <c r="BZ88" s="6" t="s">
        <v>430</v>
      </c>
      <c r="CA88" s="6" t="s">
        <v>430</v>
      </c>
      <c r="CB88" s="6" t="s">
        <v>431</v>
      </c>
      <c r="CC88" s="6" t="s">
        <v>430</v>
      </c>
      <c r="CD88" s="6" t="s">
        <v>430</v>
      </c>
      <c r="CE88" s="6" t="s">
        <v>487</v>
      </c>
      <c r="CF88" s="6" t="s">
        <v>430</v>
      </c>
      <c r="CG88" s="6" t="s">
        <v>430</v>
      </c>
      <c r="CH88" s="6" t="s">
        <v>487</v>
      </c>
      <c r="CI88" s="6" t="s">
        <v>430</v>
      </c>
      <c r="CJ88" s="6" t="s">
        <v>486</v>
      </c>
      <c r="CK88" s="6" t="s">
        <v>430</v>
      </c>
      <c r="CL88" s="6" t="s">
        <v>430</v>
      </c>
      <c r="CM88" s="6" t="s">
        <v>431</v>
      </c>
      <c r="CN88" s="6" t="s">
        <v>487</v>
      </c>
      <c r="CO88" s="15" t="s">
        <v>430</v>
      </c>
      <c r="CP88" s="15" t="s">
        <v>636</v>
      </c>
      <c r="CQ88" s="6" t="s">
        <v>686</v>
      </c>
      <c r="CR88" s="15"/>
      <c r="CS88" s="6" t="s">
        <v>426</v>
      </c>
      <c r="CT88" s="6" t="s">
        <v>1879</v>
      </c>
      <c r="CU88" s="6" t="s">
        <v>1549</v>
      </c>
      <c r="CV88" s="6" t="s">
        <v>758</v>
      </c>
      <c r="CW88" s="6" t="s">
        <v>1551</v>
      </c>
      <c r="CX88" s="15" t="s">
        <v>453</v>
      </c>
      <c r="CY88" s="6"/>
      <c r="CZ88" s="6"/>
      <c r="DA88" s="6"/>
      <c r="DB88" s="6"/>
      <c r="DC88" s="6"/>
      <c r="DD88" s="15"/>
      <c r="DE88" s="15" t="s">
        <v>436</v>
      </c>
      <c r="DF88" s="6" t="s">
        <v>1093</v>
      </c>
      <c r="DG88" s="6">
        <v>1</v>
      </c>
      <c r="DH88" s="6">
        <v>1</v>
      </c>
      <c r="DI88" s="6">
        <v>0</v>
      </c>
      <c r="DJ88" s="6">
        <v>0</v>
      </c>
      <c r="DK88" s="6">
        <v>0</v>
      </c>
      <c r="DL88" s="6">
        <v>0</v>
      </c>
      <c r="DM88" s="6"/>
      <c r="DN88" s="6"/>
      <c r="DO88" s="6"/>
      <c r="DP88" s="6"/>
      <c r="DQ88" s="6"/>
      <c r="DR88" s="6"/>
      <c r="DS88" s="6"/>
      <c r="DT88" s="66"/>
      <c r="DU88" s="6" t="s">
        <v>438</v>
      </c>
      <c r="DV88" s="6" t="s">
        <v>426</v>
      </c>
      <c r="DW88" s="6" t="s">
        <v>439</v>
      </c>
      <c r="DX88" s="6" t="s">
        <v>440</v>
      </c>
      <c r="DY88" s="6"/>
      <c r="DZ88" s="6" t="s">
        <v>1880</v>
      </c>
      <c r="EA88" s="6">
        <v>1</v>
      </c>
      <c r="EB88" s="6">
        <v>1</v>
      </c>
      <c r="EC88" s="6">
        <v>1</v>
      </c>
      <c r="ED88" s="6">
        <v>0</v>
      </c>
      <c r="EE88" s="6">
        <v>1</v>
      </c>
      <c r="EF88" s="6">
        <v>0</v>
      </c>
      <c r="EG88" s="6">
        <v>0</v>
      </c>
      <c r="EH88" s="6">
        <v>0</v>
      </c>
      <c r="EI88" s="6"/>
      <c r="EJ88" s="6" t="s">
        <v>1227</v>
      </c>
      <c r="EK88" s="6">
        <v>1</v>
      </c>
      <c r="EL88" s="6">
        <v>0</v>
      </c>
      <c r="EM88" s="6">
        <v>1</v>
      </c>
      <c r="EN88" s="6">
        <v>1</v>
      </c>
      <c r="EO88" s="6">
        <v>1</v>
      </c>
      <c r="EP88" s="6">
        <v>1</v>
      </c>
      <c r="EQ88" s="6">
        <v>0</v>
      </c>
      <c r="ER88" s="6">
        <v>0</v>
      </c>
      <c r="ES88" s="6">
        <v>0</v>
      </c>
      <c r="ET88" s="6"/>
      <c r="EU88" s="6" t="s">
        <v>494</v>
      </c>
      <c r="EV88" s="6" t="s">
        <v>554</v>
      </c>
      <c r="EW88" s="6"/>
      <c r="EX88" s="6" t="s">
        <v>1881</v>
      </c>
      <c r="EY88" s="6">
        <v>1</v>
      </c>
      <c r="EZ88" s="6">
        <v>1</v>
      </c>
      <c r="FA88" s="6">
        <v>0</v>
      </c>
      <c r="FB88" s="6">
        <v>1</v>
      </c>
      <c r="FC88" s="6">
        <v>1</v>
      </c>
      <c r="FD88" s="6">
        <v>0</v>
      </c>
      <c r="FE88" s="6">
        <v>0</v>
      </c>
      <c r="FF88" s="6">
        <v>0</v>
      </c>
      <c r="FG88" s="6"/>
      <c r="FH88" s="6" t="s">
        <v>812</v>
      </c>
      <c r="FI88" s="6">
        <v>1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/>
      <c r="FT88" s="6" t="s">
        <v>556</v>
      </c>
      <c r="FU88" s="6" t="s">
        <v>448</v>
      </c>
      <c r="FV88" s="6"/>
      <c r="FW88" s="6" t="s">
        <v>1709</v>
      </c>
      <c r="FX88" s="15" t="s">
        <v>886</v>
      </c>
      <c r="FY88" s="6" t="s">
        <v>1012</v>
      </c>
      <c r="FZ88" s="6"/>
      <c r="GA88" s="6" t="s">
        <v>528</v>
      </c>
      <c r="GB88" s="6" t="s">
        <v>501</v>
      </c>
      <c r="GC88" s="6" t="s">
        <v>453</v>
      </c>
      <c r="GD88" s="6"/>
      <c r="GE88" s="6" t="s">
        <v>454</v>
      </c>
      <c r="GF88" s="6" t="s">
        <v>1074</v>
      </c>
      <c r="GG88" s="6" t="s">
        <v>592</v>
      </c>
      <c r="GH88" s="15" t="s">
        <v>1882</v>
      </c>
      <c r="GI88" s="6" t="s">
        <v>458</v>
      </c>
      <c r="GJ88" s="6" t="s">
        <v>1883</v>
      </c>
      <c r="GK88" s="6" t="s">
        <v>460</v>
      </c>
      <c r="GL88" s="6" t="s">
        <v>857</v>
      </c>
      <c r="GM88" s="6">
        <v>0</v>
      </c>
      <c r="GN88" s="6">
        <v>1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/>
      <c r="GU88" s="6" t="s">
        <v>534</v>
      </c>
      <c r="GV88" s="6" t="s">
        <v>595</v>
      </c>
      <c r="GW88" s="6" t="s">
        <v>464</v>
      </c>
      <c r="GX88" s="6">
        <v>1</v>
      </c>
      <c r="GY88" s="6">
        <v>0</v>
      </c>
      <c r="GZ88" s="6">
        <v>0</v>
      </c>
      <c r="HA88" s="6">
        <v>0</v>
      </c>
      <c r="HB88" s="6">
        <v>0</v>
      </c>
      <c r="HC88" s="6">
        <v>0</v>
      </c>
      <c r="HD88" s="6"/>
      <c r="HE88" s="6" t="s">
        <v>1055</v>
      </c>
      <c r="HF88" s="6">
        <v>1</v>
      </c>
      <c r="HG88" s="6">
        <v>0</v>
      </c>
      <c r="HH88" s="6">
        <v>1</v>
      </c>
      <c r="HI88" s="6">
        <v>0</v>
      </c>
      <c r="HJ88" s="6">
        <v>0</v>
      </c>
      <c r="HK88" s="6">
        <v>0</v>
      </c>
      <c r="HL88" s="15"/>
      <c r="HM88" s="6" t="s">
        <v>505</v>
      </c>
      <c r="HN88" s="6"/>
      <c r="HO88" s="6" t="s">
        <v>1884</v>
      </c>
      <c r="HP88" s="6" t="s">
        <v>537</v>
      </c>
      <c r="HQ88" s="6" t="s">
        <v>1419</v>
      </c>
      <c r="HR88" s="6" t="s">
        <v>1885</v>
      </c>
      <c r="HS88" s="6" t="s">
        <v>778</v>
      </c>
      <c r="HT88" s="6">
        <v>0</v>
      </c>
      <c r="HU88" s="6">
        <v>0</v>
      </c>
      <c r="HV88" s="6">
        <v>1</v>
      </c>
      <c r="HW88" s="6">
        <v>0</v>
      </c>
      <c r="HX88" s="6">
        <v>1</v>
      </c>
      <c r="HY88" s="6">
        <v>0</v>
      </c>
      <c r="HZ88" s="6"/>
      <c r="IA88" s="6" t="s">
        <v>1886</v>
      </c>
      <c r="IB88" s="6">
        <v>1</v>
      </c>
      <c r="IC88" s="6">
        <v>1</v>
      </c>
      <c r="ID88" s="6">
        <v>0</v>
      </c>
      <c r="IE88" s="6">
        <v>0</v>
      </c>
      <c r="IF88" s="6">
        <v>1</v>
      </c>
      <c r="IG88" s="6">
        <v>0</v>
      </c>
      <c r="IH88" s="15" t="s">
        <v>1887</v>
      </c>
      <c r="II88" s="6" t="s">
        <v>426</v>
      </c>
      <c r="IJ88" s="6" t="s">
        <v>472</v>
      </c>
      <c r="IK88" s="6">
        <v>1</v>
      </c>
      <c r="IL88" s="6">
        <v>0</v>
      </c>
      <c r="IM88" s="6">
        <v>0</v>
      </c>
      <c r="IN88" s="6"/>
      <c r="IO88" s="6" t="s">
        <v>473</v>
      </c>
      <c r="IP88" s="6">
        <v>1</v>
      </c>
      <c r="IQ88" s="6">
        <v>0</v>
      </c>
      <c r="IR88" s="6">
        <v>0</v>
      </c>
      <c r="IS88" s="6">
        <v>0</v>
      </c>
      <c r="IT88" s="6">
        <v>0</v>
      </c>
      <c r="IU88" s="6">
        <v>0</v>
      </c>
      <c r="IV88" s="6"/>
      <c r="IW88" s="6" t="s">
        <v>426</v>
      </c>
      <c r="IX88" s="6">
        <v>1</v>
      </c>
      <c r="IY88" s="6" t="s">
        <v>510</v>
      </c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 t="s">
        <v>426</v>
      </c>
      <c r="JL88" s="6" t="s">
        <v>453</v>
      </c>
      <c r="JM88" s="6" t="s">
        <v>913</v>
      </c>
      <c r="JN88" s="6">
        <v>1</v>
      </c>
      <c r="JO88" s="6">
        <v>0</v>
      </c>
      <c r="JP88" s="6">
        <v>0</v>
      </c>
      <c r="JQ88" s="6">
        <v>0</v>
      </c>
      <c r="JR88" s="6">
        <v>0</v>
      </c>
      <c r="JS88" s="6">
        <v>0</v>
      </c>
      <c r="JT88" s="6"/>
      <c r="JU88" s="6" t="s">
        <v>895</v>
      </c>
      <c r="JV88" s="15" t="s">
        <v>1888</v>
      </c>
      <c r="JW88" s="94" t="s">
        <v>1889</v>
      </c>
      <c r="JX88" s="6" t="s">
        <v>1890</v>
      </c>
      <c r="JY88" s="6">
        <v>0.5981469</v>
      </c>
      <c r="JZ88" s="6">
        <v>34.4679284</v>
      </c>
      <c r="KA88" s="6">
        <v>1389.208</v>
      </c>
      <c r="KB88" s="15">
        <v>1.366</v>
      </c>
      <c r="KC88" s="15"/>
    </row>
    <row r="89" spans="1:289">
      <c r="A89" s="6" t="s">
        <v>480</v>
      </c>
      <c r="B89" s="6" t="s">
        <v>420</v>
      </c>
      <c r="C89" s="6" t="s">
        <v>1608</v>
      </c>
      <c r="D89" s="6" t="s">
        <v>1835</v>
      </c>
      <c r="E89" s="6" t="s">
        <v>1891</v>
      </c>
      <c r="F89" s="8" t="s">
        <v>483</v>
      </c>
      <c r="G89" s="6" t="s">
        <v>424</v>
      </c>
      <c r="H89" s="6" t="s">
        <v>425</v>
      </c>
      <c r="I89" s="15"/>
      <c r="J89" s="6" t="s">
        <v>426</v>
      </c>
      <c r="K89" s="6" t="s">
        <v>426</v>
      </c>
      <c r="L89" s="6" t="s">
        <v>426</v>
      </c>
      <c r="M89" s="6" t="s">
        <v>426</v>
      </c>
      <c r="N89" s="6" t="s">
        <v>426</v>
      </c>
      <c r="O89" s="6" t="s">
        <v>426</v>
      </c>
      <c r="P89" s="6" t="s">
        <v>426</v>
      </c>
      <c r="Q89" s="6" t="s">
        <v>453</v>
      </c>
      <c r="R89" s="6" t="s">
        <v>426</v>
      </c>
      <c r="S89" s="6" t="s">
        <v>426</v>
      </c>
      <c r="T89" s="6" t="s">
        <v>426</v>
      </c>
      <c r="U89" s="6" t="s">
        <v>426</v>
      </c>
      <c r="V89" s="6" t="s">
        <v>426</v>
      </c>
      <c r="W89" s="6" t="s">
        <v>426</v>
      </c>
      <c r="X89" s="6" t="s">
        <v>426</v>
      </c>
      <c r="Y89" s="6" t="s">
        <v>426</v>
      </c>
      <c r="Z89" s="6" t="s">
        <v>426</v>
      </c>
      <c r="AA89" s="6" t="s">
        <v>426</v>
      </c>
      <c r="AB89" s="6" t="s">
        <v>426</v>
      </c>
      <c r="AC89" s="15" t="s">
        <v>426</v>
      </c>
      <c r="AD89" s="6" t="s">
        <v>427</v>
      </c>
      <c r="AE89" s="6">
        <v>0</v>
      </c>
      <c r="AF89" s="6">
        <v>0</v>
      </c>
      <c r="AG89" s="6">
        <v>0</v>
      </c>
      <c r="AH89" s="6">
        <v>1</v>
      </c>
      <c r="AI89" s="6">
        <v>0</v>
      </c>
      <c r="AJ89" s="6">
        <v>0</v>
      </c>
      <c r="AK89" s="6">
        <v>0</v>
      </c>
      <c r="AL89" s="6">
        <v>0</v>
      </c>
      <c r="AM89" s="6"/>
      <c r="AN89" s="15"/>
      <c r="AO89" s="6" t="s">
        <v>426</v>
      </c>
      <c r="AP89" s="6" t="s">
        <v>985</v>
      </c>
      <c r="AQ89" s="6" t="s">
        <v>426</v>
      </c>
      <c r="AR89" s="6" t="s">
        <v>920</v>
      </c>
      <c r="AS89" s="6" t="s">
        <v>426</v>
      </c>
      <c r="AT89" s="6">
        <v>0.4</v>
      </c>
      <c r="AU89" s="6" t="s">
        <v>453</v>
      </c>
      <c r="AV89" s="6"/>
      <c r="AW89" s="6" t="s">
        <v>426</v>
      </c>
      <c r="AX89" s="6">
        <v>0.4</v>
      </c>
      <c r="AY89" s="6" t="s">
        <v>426</v>
      </c>
      <c r="AZ89" s="6">
        <v>1</v>
      </c>
      <c r="BA89" s="6" t="s">
        <v>426</v>
      </c>
      <c r="BB89" s="6">
        <v>0.2</v>
      </c>
      <c r="BC89" s="6" t="s">
        <v>453</v>
      </c>
      <c r="BD89" s="6"/>
      <c r="BE89" s="6" t="s">
        <v>453</v>
      </c>
      <c r="BF89" s="6"/>
      <c r="BG89" s="6" t="s">
        <v>426</v>
      </c>
      <c r="BH89" s="6">
        <v>0.2</v>
      </c>
      <c r="BI89" s="6" t="s">
        <v>426</v>
      </c>
      <c r="BJ89" s="6">
        <v>0.4</v>
      </c>
      <c r="BK89" s="6" t="s">
        <v>426</v>
      </c>
      <c r="BL89" s="6">
        <v>0.4</v>
      </c>
      <c r="BM89" s="6" t="s">
        <v>426</v>
      </c>
      <c r="BN89" s="6">
        <v>5</v>
      </c>
      <c r="BO89" s="6" t="s">
        <v>426</v>
      </c>
      <c r="BP89" s="6">
        <v>0.4</v>
      </c>
      <c r="BQ89" s="6" t="s">
        <v>426</v>
      </c>
      <c r="BR89" s="6">
        <v>50</v>
      </c>
      <c r="BS89" s="6" t="s">
        <v>453</v>
      </c>
      <c r="BT89" s="6"/>
      <c r="BU89" s="6" t="s">
        <v>453</v>
      </c>
      <c r="BV89" s="15"/>
      <c r="BW89" s="15" t="s">
        <v>518</v>
      </c>
      <c r="BX89" s="15" t="s">
        <v>429</v>
      </c>
      <c r="BY89" s="6" t="s">
        <v>430</v>
      </c>
      <c r="BZ89" s="6" t="s">
        <v>430</v>
      </c>
      <c r="CA89" s="6" t="s">
        <v>430</v>
      </c>
      <c r="CB89" s="6" t="s">
        <v>487</v>
      </c>
      <c r="CC89" s="6" t="s">
        <v>430</v>
      </c>
      <c r="CD89" s="6" t="s">
        <v>430</v>
      </c>
      <c r="CE89" s="6" t="s">
        <v>430</v>
      </c>
      <c r="CF89" s="6" t="s">
        <v>609</v>
      </c>
      <c r="CG89" s="6" t="s">
        <v>487</v>
      </c>
      <c r="CH89" s="6" t="s">
        <v>430</v>
      </c>
      <c r="CI89" s="6" t="s">
        <v>431</v>
      </c>
      <c r="CJ89" s="6" t="s">
        <v>431</v>
      </c>
      <c r="CK89" s="6" t="s">
        <v>430</v>
      </c>
      <c r="CL89" s="6" t="s">
        <v>430</v>
      </c>
      <c r="CM89" s="6" t="s">
        <v>430</v>
      </c>
      <c r="CN89" s="6" t="s">
        <v>487</v>
      </c>
      <c r="CO89" s="15" t="s">
        <v>487</v>
      </c>
      <c r="CP89" s="15" t="s">
        <v>432</v>
      </c>
      <c r="CQ89" s="6" t="s">
        <v>433</v>
      </c>
      <c r="CR89" s="15"/>
      <c r="CS89" s="6" t="s">
        <v>453</v>
      </c>
      <c r="CT89" s="6"/>
      <c r="CU89" s="6"/>
      <c r="CV89" s="6"/>
      <c r="CW89" s="6"/>
      <c r="CX89" s="15" t="s">
        <v>453</v>
      </c>
      <c r="CY89" s="6"/>
      <c r="CZ89" s="6"/>
      <c r="DA89" s="6"/>
      <c r="DB89" s="6"/>
      <c r="DC89" s="6"/>
      <c r="DD89" s="15"/>
      <c r="DE89" s="15" t="s">
        <v>436</v>
      </c>
      <c r="DF89" s="6" t="s">
        <v>437</v>
      </c>
      <c r="DG89" s="6">
        <v>1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/>
      <c r="DN89" s="6"/>
      <c r="DO89" s="6"/>
      <c r="DP89" s="6"/>
      <c r="DQ89" s="6"/>
      <c r="DR89" s="6"/>
      <c r="DS89" s="6"/>
      <c r="DT89" s="66"/>
      <c r="DU89" s="6" t="s">
        <v>523</v>
      </c>
      <c r="DV89" s="6" t="s">
        <v>426</v>
      </c>
      <c r="DW89" s="6" t="s">
        <v>1212</v>
      </c>
      <c r="DX89" s="6" t="s">
        <v>491</v>
      </c>
      <c r="DY89" s="6"/>
      <c r="DZ89" s="6" t="s">
        <v>441</v>
      </c>
      <c r="EA89" s="6">
        <v>1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/>
      <c r="EJ89" s="6" t="s">
        <v>1892</v>
      </c>
      <c r="EK89" s="6">
        <v>0</v>
      </c>
      <c r="EL89" s="6">
        <v>1</v>
      </c>
      <c r="EM89" s="6">
        <v>1</v>
      </c>
      <c r="EN89" s="6">
        <v>0</v>
      </c>
      <c r="EO89" s="6">
        <v>0</v>
      </c>
      <c r="EP89" s="6">
        <v>1</v>
      </c>
      <c r="EQ89" s="6">
        <v>0</v>
      </c>
      <c r="ER89" s="6">
        <v>0</v>
      </c>
      <c r="ES89" s="6">
        <v>0</v>
      </c>
      <c r="ET89" s="6"/>
      <c r="EU89" s="6" t="s">
        <v>494</v>
      </c>
      <c r="EV89" s="6" t="s">
        <v>495</v>
      </c>
      <c r="EW89" s="6"/>
      <c r="EX89" s="6" t="s">
        <v>1736</v>
      </c>
      <c r="EY89" s="6">
        <v>0</v>
      </c>
      <c r="EZ89" s="6">
        <v>0</v>
      </c>
      <c r="FA89" s="6">
        <v>1</v>
      </c>
      <c r="FB89" s="6">
        <v>0</v>
      </c>
      <c r="FC89" s="6">
        <v>1</v>
      </c>
      <c r="FD89" s="6">
        <v>0</v>
      </c>
      <c r="FE89" s="6">
        <v>0</v>
      </c>
      <c r="FF89" s="6">
        <v>0</v>
      </c>
      <c r="FG89" s="6"/>
      <c r="FH89" s="6" t="s">
        <v>1339</v>
      </c>
      <c r="FI89" s="6">
        <v>1</v>
      </c>
      <c r="FJ89" s="6">
        <v>0</v>
      </c>
      <c r="FK89" s="6">
        <v>1</v>
      </c>
      <c r="FL89" s="6">
        <v>1</v>
      </c>
      <c r="FM89" s="6">
        <v>1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/>
      <c r="FT89" s="6" t="s">
        <v>556</v>
      </c>
      <c r="FU89" s="6" t="s">
        <v>448</v>
      </c>
      <c r="FV89" s="6"/>
      <c r="FW89" s="6" t="s">
        <v>449</v>
      </c>
      <c r="FX89" s="15" t="s">
        <v>450</v>
      </c>
      <c r="FY89" s="6" t="s">
        <v>619</v>
      </c>
      <c r="FZ89" s="6"/>
      <c r="GA89" s="6" t="s">
        <v>450</v>
      </c>
      <c r="GB89" s="6" t="s">
        <v>501</v>
      </c>
      <c r="GC89" s="6" t="s">
        <v>453</v>
      </c>
      <c r="GD89" s="6"/>
      <c r="GE89" s="6" t="s">
        <v>454</v>
      </c>
      <c r="GF89" s="6" t="s">
        <v>593</v>
      </c>
      <c r="GG89" s="6" t="s">
        <v>456</v>
      </c>
      <c r="GH89" s="15" t="s">
        <v>1893</v>
      </c>
      <c r="GI89" s="6" t="s">
        <v>458</v>
      </c>
      <c r="GJ89" s="6" t="s">
        <v>1894</v>
      </c>
      <c r="GK89" s="6" t="s">
        <v>460</v>
      </c>
      <c r="GL89" s="6" t="s">
        <v>461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1</v>
      </c>
      <c r="GS89" s="6">
        <v>0</v>
      </c>
      <c r="GT89" s="6"/>
      <c r="GU89" s="6" t="s">
        <v>534</v>
      </c>
      <c r="GV89" s="6" t="s">
        <v>595</v>
      </c>
      <c r="GW89" s="6" t="s">
        <v>721</v>
      </c>
      <c r="GX89" s="6">
        <v>1</v>
      </c>
      <c r="GY89" s="6">
        <v>0</v>
      </c>
      <c r="GZ89" s="6">
        <v>0</v>
      </c>
      <c r="HA89" s="6">
        <v>1</v>
      </c>
      <c r="HB89" s="6">
        <v>0</v>
      </c>
      <c r="HC89" s="6">
        <v>0</v>
      </c>
      <c r="HD89" s="6"/>
      <c r="HE89" s="6" t="s">
        <v>1895</v>
      </c>
      <c r="HF89" s="6">
        <v>1</v>
      </c>
      <c r="HG89" s="6">
        <v>1</v>
      </c>
      <c r="HH89" s="6">
        <v>0</v>
      </c>
      <c r="HI89" s="6">
        <v>0</v>
      </c>
      <c r="HJ89" s="6">
        <v>0</v>
      </c>
      <c r="HK89" s="6">
        <v>0</v>
      </c>
      <c r="HL89" s="15"/>
      <c r="HM89" s="6" t="s">
        <v>1016</v>
      </c>
      <c r="HN89" s="6"/>
      <c r="HO89" s="6" t="s">
        <v>1896</v>
      </c>
      <c r="HP89" s="6" t="s">
        <v>648</v>
      </c>
      <c r="HQ89" s="6"/>
      <c r="HR89" s="6" t="s">
        <v>1897</v>
      </c>
      <c r="HS89" s="6" t="s">
        <v>508</v>
      </c>
      <c r="HT89" s="6">
        <v>0</v>
      </c>
      <c r="HU89" s="6">
        <v>0</v>
      </c>
      <c r="HV89" s="6">
        <v>1</v>
      </c>
      <c r="HW89" s="6">
        <v>0</v>
      </c>
      <c r="HX89" s="6">
        <v>0</v>
      </c>
      <c r="HY89" s="6">
        <v>0</v>
      </c>
      <c r="HZ89" s="6"/>
      <c r="IA89" s="6" t="s">
        <v>1284</v>
      </c>
      <c r="IB89" s="6">
        <v>1</v>
      </c>
      <c r="IC89" s="6">
        <v>1</v>
      </c>
      <c r="ID89" s="6">
        <v>1</v>
      </c>
      <c r="IE89" s="6">
        <v>1</v>
      </c>
      <c r="IF89" s="6">
        <v>0</v>
      </c>
      <c r="IG89" s="6">
        <v>0</v>
      </c>
      <c r="IH89" s="15" t="s">
        <v>1898</v>
      </c>
      <c r="II89" s="6" t="s">
        <v>426</v>
      </c>
      <c r="IJ89" s="6" t="s">
        <v>602</v>
      </c>
      <c r="IK89" s="6">
        <v>1</v>
      </c>
      <c r="IL89" s="6">
        <v>1</v>
      </c>
      <c r="IM89" s="6">
        <v>0</v>
      </c>
      <c r="IN89" s="6"/>
      <c r="IO89" s="6" t="s">
        <v>473</v>
      </c>
      <c r="IP89" s="6">
        <v>1</v>
      </c>
      <c r="IQ89" s="6">
        <v>0</v>
      </c>
      <c r="IR89" s="6">
        <v>0</v>
      </c>
      <c r="IS89" s="6">
        <v>0</v>
      </c>
      <c r="IT89" s="6">
        <v>0</v>
      </c>
      <c r="IU89" s="6">
        <v>0</v>
      </c>
      <c r="IV89" s="6"/>
      <c r="IW89" s="6" t="s">
        <v>426</v>
      </c>
      <c r="IX89" s="6">
        <v>1</v>
      </c>
      <c r="IY89" s="6" t="s">
        <v>474</v>
      </c>
      <c r="IZ89" s="6" t="s">
        <v>475</v>
      </c>
      <c r="JA89" s="6" t="s">
        <v>426</v>
      </c>
      <c r="JB89" s="6" t="s">
        <v>476</v>
      </c>
      <c r="JC89" s="6"/>
      <c r="JD89" s="6"/>
      <c r="JE89" s="6"/>
      <c r="JF89" s="6"/>
      <c r="JG89" s="6"/>
      <c r="JH89" s="6"/>
      <c r="JI89" s="6"/>
      <c r="JJ89" s="6"/>
      <c r="JK89" s="6" t="s">
        <v>453</v>
      </c>
      <c r="JL89" s="6"/>
      <c r="JM89" s="6"/>
      <c r="JN89" s="6"/>
      <c r="JO89" s="6"/>
      <c r="JP89" s="6"/>
      <c r="JQ89" s="6"/>
      <c r="JR89" s="6"/>
      <c r="JS89" s="6"/>
      <c r="JT89" s="6"/>
      <c r="JU89" s="6" t="s">
        <v>1814</v>
      </c>
      <c r="JV89" s="15"/>
      <c r="JW89" s="94" t="s">
        <v>1899</v>
      </c>
      <c r="JX89" s="6" t="s">
        <v>1900</v>
      </c>
      <c r="JY89" s="6">
        <v>0.5826665</v>
      </c>
      <c r="JZ89" s="6">
        <v>34.4694599</v>
      </c>
      <c r="KA89" s="6">
        <v>1301.78625488281</v>
      </c>
      <c r="KB89" s="15">
        <v>4.529</v>
      </c>
      <c r="KC89" s="15"/>
    </row>
    <row r="90" spans="1:289">
      <c r="A90" s="6" t="s">
        <v>514</v>
      </c>
      <c r="B90" s="6" t="s">
        <v>420</v>
      </c>
      <c r="C90" s="6" t="s">
        <v>1608</v>
      </c>
      <c r="D90" s="6" t="s">
        <v>1901</v>
      </c>
      <c r="E90" s="6" t="s">
        <v>1902</v>
      </c>
      <c r="F90" s="8" t="s">
        <v>483</v>
      </c>
      <c r="G90" s="6" t="s">
        <v>567</v>
      </c>
      <c r="H90" s="6" t="s">
        <v>517</v>
      </c>
      <c r="I90" s="15"/>
      <c r="J90" s="6" t="s">
        <v>426</v>
      </c>
      <c r="K90" s="6" t="s">
        <v>426</v>
      </c>
      <c r="L90" s="6" t="s">
        <v>426</v>
      </c>
      <c r="M90" s="6" t="s">
        <v>426</v>
      </c>
      <c r="N90" s="6" t="s">
        <v>426</v>
      </c>
      <c r="O90" s="6" t="s">
        <v>426</v>
      </c>
      <c r="P90" s="6" t="s">
        <v>453</v>
      </c>
      <c r="Q90" s="6" t="s">
        <v>453</v>
      </c>
      <c r="R90" s="6" t="s">
        <v>426</v>
      </c>
      <c r="S90" s="6" t="s">
        <v>426</v>
      </c>
      <c r="T90" s="6" t="s">
        <v>426</v>
      </c>
      <c r="U90" s="6" t="s">
        <v>426</v>
      </c>
      <c r="V90" s="6" t="s">
        <v>453</v>
      </c>
      <c r="W90" s="6" t="s">
        <v>453</v>
      </c>
      <c r="X90" s="6" t="s">
        <v>426</v>
      </c>
      <c r="Y90" s="6" t="s">
        <v>426</v>
      </c>
      <c r="Z90" s="6" t="s">
        <v>426</v>
      </c>
      <c r="AA90" s="6" t="s">
        <v>426</v>
      </c>
      <c r="AB90" s="6" t="s">
        <v>426</v>
      </c>
      <c r="AC90" s="15" t="s">
        <v>426</v>
      </c>
      <c r="AD90" s="6" t="s">
        <v>427</v>
      </c>
      <c r="AE90" s="6">
        <v>0</v>
      </c>
      <c r="AF90" s="6">
        <v>0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0</v>
      </c>
      <c r="AM90" s="6"/>
      <c r="AN90" s="15"/>
      <c r="AO90" s="6" t="s">
        <v>426</v>
      </c>
      <c r="AP90" s="6" t="s">
        <v>766</v>
      </c>
      <c r="AQ90" s="6" t="s">
        <v>426</v>
      </c>
      <c r="AR90" s="6" t="s">
        <v>758</v>
      </c>
      <c r="AS90" s="6" t="s">
        <v>426</v>
      </c>
      <c r="AT90" s="6">
        <v>0.5</v>
      </c>
      <c r="AU90" s="6" t="s">
        <v>453</v>
      </c>
      <c r="AV90" s="6"/>
      <c r="AW90" s="6" t="s">
        <v>426</v>
      </c>
      <c r="AX90" s="6">
        <v>0.5</v>
      </c>
      <c r="AY90" s="6" t="s">
        <v>426</v>
      </c>
      <c r="AZ90" s="6">
        <v>1</v>
      </c>
      <c r="BA90" s="6" t="s">
        <v>453</v>
      </c>
      <c r="BB90" s="6"/>
      <c r="BC90" s="6" t="s">
        <v>453</v>
      </c>
      <c r="BD90" s="6"/>
      <c r="BE90" s="6" t="s">
        <v>453</v>
      </c>
      <c r="BF90" s="6"/>
      <c r="BG90" s="6" t="s">
        <v>426</v>
      </c>
      <c r="BH90" s="6">
        <v>0.25</v>
      </c>
      <c r="BI90" s="6" t="s">
        <v>426</v>
      </c>
      <c r="BJ90" s="6">
        <v>0.25</v>
      </c>
      <c r="BK90" s="6" t="s">
        <v>426</v>
      </c>
      <c r="BL90" s="6">
        <v>0.75</v>
      </c>
      <c r="BM90" s="6" t="s">
        <v>426</v>
      </c>
      <c r="BN90" s="6">
        <v>3</v>
      </c>
      <c r="BO90" s="6" t="s">
        <v>426</v>
      </c>
      <c r="BP90" s="6">
        <v>0.5</v>
      </c>
      <c r="BQ90" s="6" t="s">
        <v>426</v>
      </c>
      <c r="BR90" s="6">
        <v>50</v>
      </c>
      <c r="BS90" s="6" t="s">
        <v>453</v>
      </c>
      <c r="BT90" s="6"/>
      <c r="BU90" s="6" t="s">
        <v>426</v>
      </c>
      <c r="BV90" s="15">
        <v>0.5</v>
      </c>
      <c r="BW90" s="15" t="s">
        <v>518</v>
      </c>
      <c r="BX90" s="15" t="s">
        <v>429</v>
      </c>
      <c r="BY90" s="6" t="s">
        <v>430</v>
      </c>
      <c r="BZ90" s="6" t="s">
        <v>430</v>
      </c>
      <c r="CA90" s="6" t="s">
        <v>430</v>
      </c>
      <c r="CB90" s="6" t="s">
        <v>431</v>
      </c>
      <c r="CC90" s="6" t="s">
        <v>431</v>
      </c>
      <c r="CD90" s="6" t="s">
        <v>430</v>
      </c>
      <c r="CE90" s="6" t="s">
        <v>487</v>
      </c>
      <c r="CF90" s="6" t="s">
        <v>609</v>
      </c>
      <c r="CG90" s="6" t="s">
        <v>487</v>
      </c>
      <c r="CH90" s="6" t="s">
        <v>430</v>
      </c>
      <c r="CI90" s="6" t="s">
        <v>431</v>
      </c>
      <c r="CJ90" s="6" t="s">
        <v>431</v>
      </c>
      <c r="CK90" s="6" t="s">
        <v>430</v>
      </c>
      <c r="CL90" s="6" t="s">
        <v>431</v>
      </c>
      <c r="CM90" s="6" t="s">
        <v>430</v>
      </c>
      <c r="CN90" s="6" t="s">
        <v>487</v>
      </c>
      <c r="CO90" s="15" t="s">
        <v>430</v>
      </c>
      <c r="CP90" s="15" t="s">
        <v>432</v>
      </c>
      <c r="CQ90" s="6" t="s">
        <v>433</v>
      </c>
      <c r="CR90" s="15"/>
      <c r="CS90" s="6" t="s">
        <v>426</v>
      </c>
      <c r="CT90" s="6" t="s">
        <v>1903</v>
      </c>
      <c r="CU90" s="6" t="s">
        <v>733</v>
      </c>
      <c r="CV90" s="6" t="s">
        <v>1904</v>
      </c>
      <c r="CW90" s="6" t="s">
        <v>736</v>
      </c>
      <c r="CX90" s="15" t="s">
        <v>426</v>
      </c>
      <c r="CY90" s="6" t="s">
        <v>426</v>
      </c>
      <c r="CZ90" s="6" t="s">
        <v>1905</v>
      </c>
      <c r="DA90" s="6" t="s">
        <v>1322</v>
      </c>
      <c r="DB90" s="6" t="s">
        <v>1225</v>
      </c>
      <c r="DC90" s="6" t="s">
        <v>1322</v>
      </c>
      <c r="DD90" s="15" t="s">
        <v>692</v>
      </c>
      <c r="DE90" s="15" t="s">
        <v>436</v>
      </c>
      <c r="DF90" s="6" t="s">
        <v>522</v>
      </c>
      <c r="DG90" s="6">
        <v>0</v>
      </c>
      <c r="DH90" s="6">
        <v>1</v>
      </c>
      <c r="DI90" s="6">
        <v>0</v>
      </c>
      <c r="DJ90" s="6">
        <v>0</v>
      </c>
      <c r="DK90" s="6">
        <v>0</v>
      </c>
      <c r="DL90" s="6">
        <v>0</v>
      </c>
      <c r="DM90" s="6"/>
      <c r="DN90" s="6"/>
      <c r="DO90" s="6"/>
      <c r="DP90" s="6"/>
      <c r="DQ90" s="6"/>
      <c r="DR90" s="6"/>
      <c r="DS90" s="6"/>
      <c r="DT90" s="66"/>
      <c r="DU90" s="6" t="s">
        <v>438</v>
      </c>
      <c r="DV90" s="6" t="s">
        <v>426</v>
      </c>
      <c r="DW90" s="6" t="s">
        <v>439</v>
      </c>
      <c r="DX90" s="6" t="s">
        <v>491</v>
      </c>
      <c r="DY90" s="6"/>
      <c r="DZ90" s="6" t="s">
        <v>441</v>
      </c>
      <c r="EA90" s="6">
        <v>1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/>
      <c r="EJ90" s="6" t="s">
        <v>1906</v>
      </c>
      <c r="EK90" s="6">
        <v>1</v>
      </c>
      <c r="EL90" s="6">
        <v>0</v>
      </c>
      <c r="EM90" s="6">
        <v>0</v>
      </c>
      <c r="EN90" s="6">
        <v>1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/>
      <c r="EU90" s="6" t="s">
        <v>494</v>
      </c>
      <c r="EV90" s="6" t="s">
        <v>588</v>
      </c>
      <c r="EW90" s="6"/>
      <c r="EX90" s="6" t="s">
        <v>669</v>
      </c>
      <c r="EY90" s="6">
        <v>0</v>
      </c>
      <c r="EZ90" s="6">
        <v>1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/>
      <c r="FH90" s="6" t="s">
        <v>812</v>
      </c>
      <c r="FI90" s="6">
        <v>1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/>
      <c r="FT90" s="6" t="s">
        <v>447</v>
      </c>
      <c r="FU90" s="6" t="s">
        <v>448</v>
      </c>
      <c r="FV90" s="6"/>
      <c r="FW90" s="6" t="s">
        <v>449</v>
      </c>
      <c r="FX90" s="15" t="s">
        <v>450</v>
      </c>
      <c r="FY90" s="6" t="s">
        <v>500</v>
      </c>
      <c r="FZ90" s="6"/>
      <c r="GA90" s="6" t="s">
        <v>450</v>
      </c>
      <c r="GB90" s="6" t="s">
        <v>501</v>
      </c>
      <c r="GC90" s="6" t="s">
        <v>453</v>
      </c>
      <c r="GD90" s="6"/>
      <c r="GE90" s="6" t="s">
        <v>642</v>
      </c>
      <c r="GF90" s="6" t="s">
        <v>1907</v>
      </c>
      <c r="GG90" s="6" t="s">
        <v>456</v>
      </c>
      <c r="GH90" s="15" t="s">
        <v>593</v>
      </c>
      <c r="GI90" s="6" t="s">
        <v>458</v>
      </c>
      <c r="GJ90" s="6" t="s">
        <v>1908</v>
      </c>
      <c r="GK90" s="6" t="s">
        <v>460</v>
      </c>
      <c r="GL90" s="6" t="s">
        <v>461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1</v>
      </c>
      <c r="GS90" s="6">
        <v>0</v>
      </c>
      <c r="GT90" s="6"/>
      <c r="GU90" s="6" t="s">
        <v>534</v>
      </c>
      <c r="GV90" s="6" t="s">
        <v>463</v>
      </c>
      <c r="GW90" s="6" t="s">
        <v>464</v>
      </c>
      <c r="GX90" s="6">
        <v>1</v>
      </c>
      <c r="GY90" s="6">
        <v>0</v>
      </c>
      <c r="GZ90" s="6">
        <v>0</v>
      </c>
      <c r="HA90" s="6">
        <v>0</v>
      </c>
      <c r="HB90" s="6">
        <v>0</v>
      </c>
      <c r="HC90" s="6">
        <v>0</v>
      </c>
      <c r="HD90" s="6"/>
      <c r="HE90" s="6" t="s">
        <v>535</v>
      </c>
      <c r="HF90" s="6">
        <v>1</v>
      </c>
      <c r="HG90" s="6">
        <v>0</v>
      </c>
      <c r="HH90" s="6">
        <v>0</v>
      </c>
      <c r="HI90" s="6">
        <v>0</v>
      </c>
      <c r="HJ90" s="6">
        <v>0</v>
      </c>
      <c r="HK90" s="6">
        <v>0</v>
      </c>
      <c r="HL90" s="15"/>
      <c r="HM90" s="6" t="s">
        <v>1016</v>
      </c>
      <c r="HN90" s="6"/>
      <c r="HO90" s="6" t="s">
        <v>1909</v>
      </c>
      <c r="HP90" s="6" t="s">
        <v>537</v>
      </c>
      <c r="HQ90" s="6" t="s">
        <v>889</v>
      </c>
      <c r="HR90" s="6" t="s">
        <v>1910</v>
      </c>
      <c r="HS90" s="6" t="s">
        <v>508</v>
      </c>
      <c r="HT90" s="6">
        <v>0</v>
      </c>
      <c r="HU90" s="6">
        <v>0</v>
      </c>
      <c r="HV90" s="6">
        <v>1</v>
      </c>
      <c r="HW90" s="6">
        <v>0</v>
      </c>
      <c r="HX90" s="6">
        <v>0</v>
      </c>
      <c r="HY90" s="6">
        <v>0</v>
      </c>
      <c r="HZ90" s="6"/>
      <c r="IA90" s="6" t="s">
        <v>751</v>
      </c>
      <c r="IB90" s="6">
        <v>0</v>
      </c>
      <c r="IC90" s="6">
        <v>1</v>
      </c>
      <c r="ID90" s="6">
        <v>1</v>
      </c>
      <c r="IE90" s="6">
        <v>0</v>
      </c>
      <c r="IF90" s="6">
        <v>0</v>
      </c>
      <c r="IG90" s="6">
        <v>0</v>
      </c>
      <c r="IH90" s="15" t="s">
        <v>1911</v>
      </c>
      <c r="II90" s="6" t="s">
        <v>426</v>
      </c>
      <c r="IJ90" s="6" t="s">
        <v>472</v>
      </c>
      <c r="IK90" s="6">
        <v>1</v>
      </c>
      <c r="IL90" s="6">
        <v>0</v>
      </c>
      <c r="IM90" s="6">
        <v>0</v>
      </c>
      <c r="IN90" s="6"/>
      <c r="IO90" s="6" t="s">
        <v>473</v>
      </c>
      <c r="IP90" s="6">
        <v>1</v>
      </c>
      <c r="IQ90" s="6">
        <v>0</v>
      </c>
      <c r="IR90" s="6">
        <v>0</v>
      </c>
      <c r="IS90" s="6">
        <v>0</v>
      </c>
      <c r="IT90" s="6">
        <v>0</v>
      </c>
      <c r="IU90" s="6">
        <v>0</v>
      </c>
      <c r="IV90" s="6"/>
      <c r="IW90" s="6" t="s">
        <v>426</v>
      </c>
      <c r="IX90" s="6">
        <v>1</v>
      </c>
      <c r="IY90" s="6" t="s">
        <v>474</v>
      </c>
      <c r="IZ90" s="6" t="s">
        <v>475</v>
      </c>
      <c r="JA90" s="6" t="s">
        <v>426</v>
      </c>
      <c r="JB90" s="6" t="s">
        <v>476</v>
      </c>
      <c r="JC90" s="6"/>
      <c r="JD90" s="6"/>
      <c r="JE90" s="6"/>
      <c r="JF90" s="6"/>
      <c r="JG90" s="6"/>
      <c r="JH90" s="6"/>
      <c r="JI90" s="6"/>
      <c r="JJ90" s="6"/>
      <c r="JK90" s="6" t="s">
        <v>426</v>
      </c>
      <c r="JL90" s="6" t="s">
        <v>426</v>
      </c>
      <c r="JM90" s="6"/>
      <c r="JN90" s="6"/>
      <c r="JO90" s="6"/>
      <c r="JP90" s="6"/>
      <c r="JQ90" s="6"/>
      <c r="JR90" s="6"/>
      <c r="JS90" s="6"/>
      <c r="JT90" s="6"/>
      <c r="JU90" s="6" t="s">
        <v>895</v>
      </c>
      <c r="JV90" s="15" t="s">
        <v>1912</v>
      </c>
      <c r="JW90" s="94" t="s">
        <v>1913</v>
      </c>
      <c r="JX90" s="6" t="s">
        <v>1914</v>
      </c>
      <c r="JY90" s="6">
        <v>0.5871311</v>
      </c>
      <c r="JZ90" s="6">
        <v>34.4564273</v>
      </c>
      <c r="KA90" s="6">
        <v>1243.478</v>
      </c>
      <c r="KB90" s="15">
        <v>1.571</v>
      </c>
      <c r="KC90" s="15"/>
    </row>
    <row r="91" spans="1:289">
      <c r="A91" s="6" t="s">
        <v>547</v>
      </c>
      <c r="B91" s="6" t="s">
        <v>420</v>
      </c>
      <c r="C91" s="6" t="s">
        <v>1608</v>
      </c>
      <c r="D91" s="6" t="s">
        <v>1620</v>
      </c>
      <c r="E91" s="6" t="s">
        <v>1915</v>
      </c>
      <c r="F91" s="8" t="s">
        <v>483</v>
      </c>
      <c r="G91" s="6" t="s">
        <v>731</v>
      </c>
      <c r="H91" s="6" t="s">
        <v>517</v>
      </c>
      <c r="I91" s="15"/>
      <c r="J91" s="6" t="s">
        <v>426</v>
      </c>
      <c r="K91" s="6" t="s">
        <v>426</v>
      </c>
      <c r="L91" s="6" t="s">
        <v>426</v>
      </c>
      <c r="M91" s="6" t="s">
        <v>426</v>
      </c>
      <c r="N91" s="6" t="s">
        <v>426</v>
      </c>
      <c r="O91" s="6" t="s">
        <v>426</v>
      </c>
      <c r="P91" s="6" t="s">
        <v>426</v>
      </c>
      <c r="Q91" s="6" t="s">
        <v>426</v>
      </c>
      <c r="R91" s="6" t="s">
        <v>426</v>
      </c>
      <c r="S91" s="6" t="s">
        <v>426</v>
      </c>
      <c r="T91" s="6" t="s">
        <v>426</v>
      </c>
      <c r="U91" s="6" t="s">
        <v>426</v>
      </c>
      <c r="V91" s="6" t="s">
        <v>426</v>
      </c>
      <c r="W91" s="6" t="s">
        <v>426</v>
      </c>
      <c r="X91" s="6" t="s">
        <v>426</v>
      </c>
      <c r="Y91" s="6" t="s">
        <v>426</v>
      </c>
      <c r="Z91" s="6" t="s">
        <v>426</v>
      </c>
      <c r="AA91" s="6" t="s">
        <v>426</v>
      </c>
      <c r="AB91" s="6" t="s">
        <v>426</v>
      </c>
      <c r="AC91" s="15" t="s">
        <v>426</v>
      </c>
      <c r="AD91" s="6" t="s">
        <v>427</v>
      </c>
      <c r="AE91" s="6">
        <v>0</v>
      </c>
      <c r="AF91" s="6">
        <v>0</v>
      </c>
      <c r="AG91" s="6">
        <v>0</v>
      </c>
      <c r="AH91" s="6">
        <v>1</v>
      </c>
      <c r="AI91" s="6">
        <v>0</v>
      </c>
      <c r="AJ91" s="6">
        <v>0</v>
      </c>
      <c r="AK91" s="6">
        <v>0</v>
      </c>
      <c r="AL91" s="6">
        <v>0</v>
      </c>
      <c r="AM91" s="6"/>
      <c r="AN91" s="15"/>
      <c r="AO91" s="6" t="s">
        <v>426</v>
      </c>
      <c r="AP91" s="6" t="s">
        <v>683</v>
      </c>
      <c r="AQ91" s="6" t="s">
        <v>426</v>
      </c>
      <c r="AR91" s="6" t="s">
        <v>758</v>
      </c>
      <c r="AS91" s="6" t="s">
        <v>426</v>
      </c>
      <c r="AT91" s="6">
        <v>0.2</v>
      </c>
      <c r="AU91" s="6" t="s">
        <v>426</v>
      </c>
      <c r="AV91" s="6">
        <v>0.2</v>
      </c>
      <c r="AW91" s="6" t="s">
        <v>426</v>
      </c>
      <c r="AX91" s="6">
        <v>0.4</v>
      </c>
      <c r="AY91" s="6" t="s">
        <v>426</v>
      </c>
      <c r="AZ91" s="6">
        <v>1</v>
      </c>
      <c r="BA91" s="6" t="s">
        <v>453</v>
      </c>
      <c r="BB91" s="6"/>
      <c r="BC91" s="6" t="s">
        <v>426</v>
      </c>
      <c r="BD91" s="6">
        <v>0.2</v>
      </c>
      <c r="BE91" s="6" t="s">
        <v>426</v>
      </c>
      <c r="BF91" s="6">
        <v>3</v>
      </c>
      <c r="BG91" s="6" t="s">
        <v>426</v>
      </c>
      <c r="BH91" s="6">
        <v>0.8</v>
      </c>
      <c r="BI91" s="6" t="s">
        <v>426</v>
      </c>
      <c r="BJ91" s="6">
        <v>0.4</v>
      </c>
      <c r="BK91" s="6" t="s">
        <v>453</v>
      </c>
      <c r="BL91" s="6"/>
      <c r="BM91" s="6" t="s">
        <v>426</v>
      </c>
      <c r="BN91" s="6">
        <v>10</v>
      </c>
      <c r="BO91" s="6" t="s">
        <v>426</v>
      </c>
      <c r="BP91" s="6">
        <v>0.2</v>
      </c>
      <c r="BQ91" s="6" t="s">
        <v>426</v>
      </c>
      <c r="BR91" s="6">
        <v>50</v>
      </c>
      <c r="BS91" s="6" t="s">
        <v>426</v>
      </c>
      <c r="BT91" s="6">
        <v>6</v>
      </c>
      <c r="BU91" s="6" t="s">
        <v>426</v>
      </c>
      <c r="BV91" s="15">
        <v>0.4</v>
      </c>
      <c r="BW91" s="15" t="s">
        <v>1819</v>
      </c>
      <c r="BX91" s="15" t="s">
        <v>429</v>
      </c>
      <c r="BY91" s="6" t="s">
        <v>430</v>
      </c>
      <c r="BZ91" s="6" t="s">
        <v>430</v>
      </c>
      <c r="CA91" s="6" t="s">
        <v>430</v>
      </c>
      <c r="CB91" s="6" t="s">
        <v>430</v>
      </c>
      <c r="CC91" s="6" t="s">
        <v>430</v>
      </c>
      <c r="CD91" s="6" t="s">
        <v>430</v>
      </c>
      <c r="CE91" s="6" t="s">
        <v>430</v>
      </c>
      <c r="CF91" s="6" t="s">
        <v>430</v>
      </c>
      <c r="CG91" s="6" t="s">
        <v>430</v>
      </c>
      <c r="CH91" s="6" t="s">
        <v>430</v>
      </c>
      <c r="CI91" s="6" t="s">
        <v>430</v>
      </c>
      <c r="CJ91" s="6" t="s">
        <v>430</v>
      </c>
      <c r="CK91" s="6" t="s">
        <v>430</v>
      </c>
      <c r="CL91" s="6" t="s">
        <v>430</v>
      </c>
      <c r="CM91" s="6" t="s">
        <v>430</v>
      </c>
      <c r="CN91" s="6" t="s">
        <v>430</v>
      </c>
      <c r="CO91" s="15" t="s">
        <v>430</v>
      </c>
      <c r="CP91" s="15" t="s">
        <v>432</v>
      </c>
      <c r="CQ91" s="6" t="s">
        <v>433</v>
      </c>
      <c r="CR91" s="15"/>
      <c r="CS91" s="6" t="s">
        <v>426</v>
      </c>
      <c r="CT91" s="6" t="s">
        <v>1916</v>
      </c>
      <c r="CU91" s="6" t="s">
        <v>766</v>
      </c>
      <c r="CV91" s="6" t="s">
        <v>1273</v>
      </c>
      <c r="CW91" s="6" t="s">
        <v>1092</v>
      </c>
      <c r="CX91" s="15" t="s">
        <v>426</v>
      </c>
      <c r="CY91" s="6" t="s">
        <v>426</v>
      </c>
      <c r="CZ91" s="6" t="s">
        <v>1917</v>
      </c>
      <c r="DA91" s="6" t="s">
        <v>1918</v>
      </c>
      <c r="DB91" s="6" t="s">
        <v>1087</v>
      </c>
      <c r="DC91" s="6" t="s">
        <v>1919</v>
      </c>
      <c r="DD91" s="15" t="s">
        <v>1920</v>
      </c>
      <c r="DE91" s="15" t="s">
        <v>436</v>
      </c>
      <c r="DF91" s="6" t="s">
        <v>522</v>
      </c>
      <c r="DG91" s="6">
        <v>0</v>
      </c>
      <c r="DH91" s="6">
        <v>1</v>
      </c>
      <c r="DI91" s="6">
        <v>0</v>
      </c>
      <c r="DJ91" s="6">
        <v>0</v>
      </c>
      <c r="DK91" s="6">
        <v>0</v>
      </c>
      <c r="DL91" s="6">
        <v>0</v>
      </c>
      <c r="DM91" s="6"/>
      <c r="DN91" s="6"/>
      <c r="DO91" s="6"/>
      <c r="DP91" s="6"/>
      <c r="DQ91" s="6"/>
      <c r="DR91" s="6"/>
      <c r="DS91" s="6"/>
      <c r="DT91" s="66"/>
      <c r="DU91" s="6" t="s">
        <v>438</v>
      </c>
      <c r="DV91" s="6" t="s">
        <v>426</v>
      </c>
      <c r="DW91" s="6" t="s">
        <v>439</v>
      </c>
      <c r="DX91" s="6" t="s">
        <v>440</v>
      </c>
      <c r="DY91" s="6"/>
      <c r="DZ91" s="6" t="s">
        <v>810</v>
      </c>
      <c r="EA91" s="6">
        <v>0</v>
      </c>
      <c r="EB91" s="6">
        <v>1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/>
      <c r="EJ91" s="6" t="s">
        <v>811</v>
      </c>
      <c r="EK91" s="6">
        <v>1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/>
      <c r="EU91" s="6" t="s">
        <v>443</v>
      </c>
      <c r="EV91" s="6" t="s">
        <v>554</v>
      </c>
      <c r="EW91" s="6"/>
      <c r="EX91" s="6" t="s">
        <v>669</v>
      </c>
      <c r="EY91" s="6">
        <v>0</v>
      </c>
      <c r="EZ91" s="6">
        <v>1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/>
      <c r="FH91" s="6" t="s">
        <v>1243</v>
      </c>
      <c r="FI91" s="6">
        <v>0</v>
      </c>
      <c r="FJ91" s="6">
        <v>0</v>
      </c>
      <c r="FK91" s="6">
        <v>1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/>
      <c r="FT91" s="6" t="s">
        <v>556</v>
      </c>
      <c r="FU91" s="6" t="s">
        <v>448</v>
      </c>
      <c r="FV91" s="6"/>
      <c r="FW91" s="6" t="s">
        <v>449</v>
      </c>
      <c r="FX91" s="15" t="s">
        <v>450</v>
      </c>
      <c r="FY91" s="6" t="s">
        <v>529</v>
      </c>
      <c r="FZ91" s="6"/>
      <c r="GA91" s="6" t="s">
        <v>450</v>
      </c>
      <c r="GB91" s="6" t="s">
        <v>501</v>
      </c>
      <c r="GC91" s="6" t="s">
        <v>453</v>
      </c>
      <c r="GD91" s="6"/>
      <c r="GE91" s="6" t="s">
        <v>454</v>
      </c>
      <c r="GF91" s="6" t="s">
        <v>1921</v>
      </c>
      <c r="GG91" s="6" t="s">
        <v>456</v>
      </c>
      <c r="GH91" s="15" t="s">
        <v>1922</v>
      </c>
      <c r="GI91" s="6" t="s">
        <v>458</v>
      </c>
      <c r="GJ91" s="6" t="s">
        <v>1923</v>
      </c>
      <c r="GK91" s="6" t="s">
        <v>460</v>
      </c>
      <c r="GL91" s="6" t="s">
        <v>461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1</v>
      </c>
      <c r="GS91" s="6">
        <v>0</v>
      </c>
      <c r="GT91" s="6"/>
      <c r="GU91" s="6" t="s">
        <v>534</v>
      </c>
      <c r="GV91" s="6" t="s">
        <v>559</v>
      </c>
      <c r="GW91" s="6" t="s">
        <v>464</v>
      </c>
      <c r="GX91" s="6">
        <v>1</v>
      </c>
      <c r="GY91" s="6">
        <v>0</v>
      </c>
      <c r="GZ91" s="6">
        <v>0</v>
      </c>
      <c r="HA91" s="6">
        <v>0</v>
      </c>
      <c r="HB91" s="6">
        <v>0</v>
      </c>
      <c r="HC91" s="6">
        <v>0</v>
      </c>
      <c r="HD91" s="6"/>
      <c r="HE91" s="6" t="s">
        <v>465</v>
      </c>
      <c r="HF91" s="6">
        <v>0</v>
      </c>
      <c r="HG91" s="6">
        <v>1</v>
      </c>
      <c r="HH91" s="6">
        <v>0</v>
      </c>
      <c r="HI91" s="6">
        <v>0</v>
      </c>
      <c r="HJ91" s="6">
        <v>0</v>
      </c>
      <c r="HK91" s="6">
        <v>0</v>
      </c>
      <c r="HL91" s="15"/>
      <c r="HM91" s="6" t="s">
        <v>505</v>
      </c>
      <c r="HN91" s="6"/>
      <c r="HO91" s="6" t="s">
        <v>1924</v>
      </c>
      <c r="HP91" s="6" t="s">
        <v>1668</v>
      </c>
      <c r="HQ91" s="6"/>
      <c r="HR91" s="6" t="s">
        <v>1925</v>
      </c>
      <c r="HS91" s="6" t="s">
        <v>470</v>
      </c>
      <c r="HT91" s="6">
        <v>0</v>
      </c>
      <c r="HU91" s="6">
        <v>0</v>
      </c>
      <c r="HV91" s="6">
        <v>0</v>
      </c>
      <c r="HW91" s="6">
        <v>0</v>
      </c>
      <c r="HX91" s="6">
        <v>1</v>
      </c>
      <c r="HY91" s="6">
        <v>0</v>
      </c>
      <c r="HZ91" s="6"/>
      <c r="IA91" s="6" t="s">
        <v>111</v>
      </c>
      <c r="IB91" s="6">
        <v>1</v>
      </c>
      <c r="IC91" s="6">
        <v>0</v>
      </c>
      <c r="ID91" s="6">
        <v>0</v>
      </c>
      <c r="IE91" s="6">
        <v>0</v>
      </c>
      <c r="IF91" s="6">
        <v>0</v>
      </c>
      <c r="IG91" s="6">
        <v>0</v>
      </c>
      <c r="IH91" s="15" t="s">
        <v>1926</v>
      </c>
      <c r="II91" s="6" t="s">
        <v>426</v>
      </c>
      <c r="IJ91" s="6" t="s">
        <v>472</v>
      </c>
      <c r="IK91" s="6">
        <v>1</v>
      </c>
      <c r="IL91" s="6">
        <v>0</v>
      </c>
      <c r="IM91" s="6">
        <v>0</v>
      </c>
      <c r="IN91" s="6"/>
      <c r="IO91" s="6" t="s">
        <v>473</v>
      </c>
      <c r="IP91" s="6">
        <v>1</v>
      </c>
      <c r="IQ91" s="6">
        <v>0</v>
      </c>
      <c r="IR91" s="6">
        <v>0</v>
      </c>
      <c r="IS91" s="6">
        <v>0</v>
      </c>
      <c r="IT91" s="6">
        <v>0</v>
      </c>
      <c r="IU91" s="6">
        <v>0</v>
      </c>
      <c r="IV91" s="6"/>
      <c r="IW91" s="6" t="s">
        <v>426</v>
      </c>
      <c r="IX91" s="6">
        <v>1</v>
      </c>
      <c r="IY91" s="6" t="s">
        <v>474</v>
      </c>
      <c r="IZ91" s="6" t="s">
        <v>475</v>
      </c>
      <c r="JA91" s="6" t="s">
        <v>426</v>
      </c>
      <c r="JB91" s="6" t="s">
        <v>476</v>
      </c>
      <c r="JC91" s="6"/>
      <c r="JD91" s="6"/>
      <c r="JE91" s="6"/>
      <c r="JF91" s="6"/>
      <c r="JG91" s="6"/>
      <c r="JH91" s="6"/>
      <c r="JI91" s="6"/>
      <c r="JJ91" s="6"/>
      <c r="JK91" s="6" t="s">
        <v>426</v>
      </c>
      <c r="JL91" s="6" t="s">
        <v>426</v>
      </c>
      <c r="JM91" s="6"/>
      <c r="JN91" s="6"/>
      <c r="JO91" s="6"/>
      <c r="JP91" s="6"/>
      <c r="JQ91" s="6"/>
      <c r="JR91" s="6"/>
      <c r="JS91" s="6"/>
      <c r="JT91" s="6"/>
      <c r="JU91" s="6" t="s">
        <v>895</v>
      </c>
      <c r="JV91" s="15" t="s">
        <v>1927</v>
      </c>
      <c r="JW91" s="94" t="s">
        <v>1928</v>
      </c>
      <c r="JX91" s="6" t="s">
        <v>1929</v>
      </c>
      <c r="JY91" s="6">
        <v>0.5981983</v>
      </c>
      <c r="JZ91" s="6">
        <v>34.4678233</v>
      </c>
      <c r="KA91" s="6">
        <v>1355.2</v>
      </c>
      <c r="KB91" s="15">
        <v>3.5</v>
      </c>
      <c r="KC91" s="15"/>
    </row>
    <row r="92" spans="1:289">
      <c r="A92" s="6" t="s">
        <v>864</v>
      </c>
      <c r="B92" s="6" t="s">
        <v>420</v>
      </c>
      <c r="C92" s="6" t="s">
        <v>1608</v>
      </c>
      <c r="D92" s="6" t="s">
        <v>1877</v>
      </c>
      <c r="E92" s="6" t="s">
        <v>1930</v>
      </c>
      <c r="F92" s="8" t="s">
        <v>483</v>
      </c>
      <c r="G92" s="6" t="s">
        <v>484</v>
      </c>
      <c r="H92" s="6" t="s">
        <v>517</v>
      </c>
      <c r="I92" s="15"/>
      <c r="J92" s="6" t="s">
        <v>426</v>
      </c>
      <c r="K92" s="6" t="s">
        <v>426</v>
      </c>
      <c r="L92" s="6" t="s">
        <v>426</v>
      </c>
      <c r="M92" s="6" t="s">
        <v>426</v>
      </c>
      <c r="N92" s="6" t="s">
        <v>426</v>
      </c>
      <c r="O92" s="6" t="s">
        <v>426</v>
      </c>
      <c r="P92" s="6" t="s">
        <v>426</v>
      </c>
      <c r="Q92" s="6" t="s">
        <v>426</v>
      </c>
      <c r="R92" s="6" t="s">
        <v>426</v>
      </c>
      <c r="S92" s="6" t="s">
        <v>426</v>
      </c>
      <c r="T92" s="6" t="s">
        <v>426</v>
      </c>
      <c r="U92" s="6" t="s">
        <v>426</v>
      </c>
      <c r="V92" s="6" t="s">
        <v>426</v>
      </c>
      <c r="W92" s="6" t="s">
        <v>453</v>
      </c>
      <c r="X92" s="6" t="s">
        <v>426</v>
      </c>
      <c r="Y92" s="6" t="s">
        <v>426</v>
      </c>
      <c r="Z92" s="6" t="s">
        <v>426</v>
      </c>
      <c r="AA92" s="6" t="s">
        <v>426</v>
      </c>
      <c r="AB92" s="6" t="s">
        <v>426</v>
      </c>
      <c r="AC92" s="15" t="s">
        <v>426</v>
      </c>
      <c r="AD92" s="6" t="s">
        <v>427</v>
      </c>
      <c r="AE92" s="6">
        <v>0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/>
      <c r="AN92" s="15"/>
      <c r="AO92" s="6" t="s">
        <v>426</v>
      </c>
      <c r="AP92" s="6" t="s">
        <v>1188</v>
      </c>
      <c r="AQ92" s="6" t="s">
        <v>426</v>
      </c>
      <c r="AR92" s="6" t="s">
        <v>985</v>
      </c>
      <c r="AS92" s="6" t="s">
        <v>426</v>
      </c>
      <c r="AT92" s="6">
        <v>0.1</v>
      </c>
      <c r="AU92" s="6" t="s">
        <v>453</v>
      </c>
      <c r="AV92" s="6"/>
      <c r="AW92" s="6" t="s">
        <v>426</v>
      </c>
      <c r="AX92" s="6">
        <v>0.1</v>
      </c>
      <c r="AY92" s="6" t="s">
        <v>426</v>
      </c>
      <c r="AZ92" s="6">
        <v>1</v>
      </c>
      <c r="BA92" s="6" t="s">
        <v>453</v>
      </c>
      <c r="BB92" s="6"/>
      <c r="BC92" s="6" t="s">
        <v>426</v>
      </c>
      <c r="BD92" s="6">
        <v>0.1</v>
      </c>
      <c r="BE92" s="6" t="s">
        <v>426</v>
      </c>
      <c r="BF92" s="6">
        <v>10</v>
      </c>
      <c r="BG92" s="6" t="s">
        <v>453</v>
      </c>
      <c r="BH92" s="6"/>
      <c r="BI92" s="6" t="s">
        <v>426</v>
      </c>
      <c r="BJ92" s="6">
        <v>0.2</v>
      </c>
      <c r="BK92" s="6" t="s">
        <v>426</v>
      </c>
      <c r="BL92" s="6">
        <v>0.2</v>
      </c>
      <c r="BM92" s="6" t="s">
        <v>426</v>
      </c>
      <c r="BN92" s="6">
        <v>30</v>
      </c>
      <c r="BO92" s="6" t="s">
        <v>426</v>
      </c>
      <c r="BP92" s="6">
        <v>0.1</v>
      </c>
      <c r="BQ92" s="6" t="s">
        <v>453</v>
      </c>
      <c r="BR92" s="6"/>
      <c r="BS92" s="6" t="s">
        <v>426</v>
      </c>
      <c r="BT92" s="6">
        <v>10</v>
      </c>
      <c r="BU92" s="6" t="s">
        <v>426</v>
      </c>
      <c r="BV92" s="15">
        <v>0.1</v>
      </c>
      <c r="BW92" s="15" t="s">
        <v>428</v>
      </c>
      <c r="BX92" s="15" t="s">
        <v>429</v>
      </c>
      <c r="BY92" s="6" t="s">
        <v>1252</v>
      </c>
      <c r="BZ92" s="6" t="s">
        <v>430</v>
      </c>
      <c r="CA92" s="6" t="s">
        <v>486</v>
      </c>
      <c r="CB92" s="6" t="s">
        <v>487</v>
      </c>
      <c r="CC92" s="6" t="s">
        <v>430</v>
      </c>
      <c r="CD92" s="6" t="s">
        <v>430</v>
      </c>
      <c r="CE92" s="6" t="s">
        <v>487</v>
      </c>
      <c r="CF92" s="6" t="s">
        <v>430</v>
      </c>
      <c r="CG92" s="6" t="s">
        <v>430</v>
      </c>
      <c r="CH92" s="6" t="s">
        <v>487</v>
      </c>
      <c r="CI92" s="6" t="s">
        <v>430</v>
      </c>
      <c r="CJ92" s="6" t="s">
        <v>430</v>
      </c>
      <c r="CK92" s="6" t="s">
        <v>430</v>
      </c>
      <c r="CL92" s="6" t="s">
        <v>430</v>
      </c>
      <c r="CM92" s="6" t="s">
        <v>487</v>
      </c>
      <c r="CN92" s="6" t="s">
        <v>486</v>
      </c>
      <c r="CO92" s="15" t="s">
        <v>430</v>
      </c>
      <c r="CP92" s="15" t="s">
        <v>432</v>
      </c>
      <c r="CQ92" s="6" t="s">
        <v>433</v>
      </c>
      <c r="CR92" s="15"/>
      <c r="CS92" s="6" t="s">
        <v>426</v>
      </c>
      <c r="CT92" s="6" t="s">
        <v>1931</v>
      </c>
      <c r="CU92" s="6" t="s">
        <v>1932</v>
      </c>
      <c r="CV92" s="6" t="s">
        <v>1933</v>
      </c>
      <c r="CW92" s="6" t="s">
        <v>1934</v>
      </c>
      <c r="CX92" s="15" t="s">
        <v>453</v>
      </c>
      <c r="CY92" s="6"/>
      <c r="CZ92" s="6"/>
      <c r="DA92" s="6"/>
      <c r="DB92" s="6"/>
      <c r="DC92" s="6"/>
      <c r="DD92" s="15"/>
      <c r="DE92" s="15" t="s">
        <v>436</v>
      </c>
      <c r="DF92" s="6" t="s">
        <v>611</v>
      </c>
      <c r="DG92" s="6">
        <v>1</v>
      </c>
      <c r="DH92" s="6">
        <v>1</v>
      </c>
      <c r="DI92" s="6">
        <v>0</v>
      </c>
      <c r="DJ92" s="6">
        <v>0</v>
      </c>
      <c r="DK92" s="6">
        <v>0</v>
      </c>
      <c r="DL92" s="6">
        <v>0</v>
      </c>
      <c r="DM92" s="6"/>
      <c r="DN92" s="6"/>
      <c r="DO92" s="6"/>
      <c r="DP92" s="6"/>
      <c r="DQ92" s="6"/>
      <c r="DR92" s="6"/>
      <c r="DS92" s="6"/>
      <c r="DT92" s="66"/>
      <c r="DU92" s="6" t="s">
        <v>438</v>
      </c>
      <c r="DV92" s="6" t="s">
        <v>426</v>
      </c>
      <c r="DW92" s="6" t="s">
        <v>439</v>
      </c>
      <c r="DX92" s="6" t="s">
        <v>440</v>
      </c>
      <c r="DY92" s="6"/>
      <c r="DZ92" s="6" t="s">
        <v>1935</v>
      </c>
      <c r="EA92" s="6">
        <v>1</v>
      </c>
      <c r="EB92" s="6">
        <v>1</v>
      </c>
      <c r="EC92" s="6">
        <v>1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/>
      <c r="EJ92" s="6" t="s">
        <v>1094</v>
      </c>
      <c r="EK92" s="6">
        <v>1</v>
      </c>
      <c r="EL92" s="6">
        <v>0</v>
      </c>
      <c r="EM92" s="6">
        <v>1</v>
      </c>
      <c r="EN92" s="6">
        <v>1</v>
      </c>
      <c r="EO92" s="6">
        <v>1</v>
      </c>
      <c r="EP92" s="6">
        <v>0</v>
      </c>
      <c r="EQ92" s="6">
        <v>0</v>
      </c>
      <c r="ER92" s="6">
        <v>0</v>
      </c>
      <c r="ES92" s="6">
        <v>0</v>
      </c>
      <c r="ET92" s="6"/>
      <c r="EU92" s="6" t="s">
        <v>494</v>
      </c>
      <c r="EV92" s="6" t="s">
        <v>554</v>
      </c>
      <c r="EW92" s="6"/>
      <c r="EX92" s="6" t="s">
        <v>1936</v>
      </c>
      <c r="EY92" s="6">
        <v>1</v>
      </c>
      <c r="EZ92" s="6">
        <v>1</v>
      </c>
      <c r="FA92" s="6">
        <v>0</v>
      </c>
      <c r="FB92" s="6">
        <v>1</v>
      </c>
      <c r="FC92" s="6">
        <v>1</v>
      </c>
      <c r="FD92" s="6">
        <v>0</v>
      </c>
      <c r="FE92" s="6">
        <v>0</v>
      </c>
      <c r="FF92" s="6">
        <v>0</v>
      </c>
      <c r="FG92" s="6"/>
      <c r="FH92" s="6" t="s">
        <v>1937</v>
      </c>
      <c r="FI92" s="6">
        <v>1</v>
      </c>
      <c r="FJ92" s="6">
        <v>0</v>
      </c>
      <c r="FK92" s="6">
        <v>0</v>
      </c>
      <c r="FL92" s="6">
        <v>1</v>
      </c>
      <c r="FM92" s="6">
        <v>0</v>
      </c>
      <c r="FN92" s="6">
        <v>1</v>
      </c>
      <c r="FO92" s="6">
        <v>0</v>
      </c>
      <c r="FP92" s="6">
        <v>0</v>
      </c>
      <c r="FQ92" s="6">
        <v>0</v>
      </c>
      <c r="FR92" s="6">
        <v>0</v>
      </c>
      <c r="FS92" s="6"/>
      <c r="FT92" s="6" t="s">
        <v>556</v>
      </c>
      <c r="FU92" s="6" t="s">
        <v>448</v>
      </c>
      <c r="FV92" s="6"/>
      <c r="FW92" s="6" t="s">
        <v>449</v>
      </c>
      <c r="FX92" s="15" t="s">
        <v>886</v>
      </c>
      <c r="FY92" s="6" t="s">
        <v>500</v>
      </c>
      <c r="FZ92" s="6"/>
      <c r="GA92" s="6" t="s">
        <v>528</v>
      </c>
      <c r="GB92" s="6" t="s">
        <v>501</v>
      </c>
      <c r="GC92" s="6" t="s">
        <v>426</v>
      </c>
      <c r="GD92" s="6" t="s">
        <v>1938</v>
      </c>
      <c r="GE92" s="6" t="s">
        <v>454</v>
      </c>
      <c r="GF92" s="6" t="s">
        <v>1939</v>
      </c>
      <c r="GG92" s="6" t="s">
        <v>592</v>
      </c>
      <c r="GH92" s="15" t="s">
        <v>1074</v>
      </c>
      <c r="GI92" s="6" t="s">
        <v>458</v>
      </c>
      <c r="GJ92" s="6" t="s">
        <v>1940</v>
      </c>
      <c r="GK92" s="6" t="s">
        <v>460</v>
      </c>
      <c r="GL92" s="6" t="s">
        <v>1941</v>
      </c>
      <c r="GM92" s="6">
        <v>1</v>
      </c>
      <c r="GN92" s="6">
        <v>1</v>
      </c>
      <c r="GO92" s="6">
        <v>0</v>
      </c>
      <c r="GP92" s="6">
        <v>1</v>
      </c>
      <c r="GQ92" s="6">
        <v>0</v>
      </c>
      <c r="GR92" s="6">
        <v>0</v>
      </c>
      <c r="GS92" s="6">
        <v>0</v>
      </c>
      <c r="GT92" s="6"/>
      <c r="GU92" s="6" t="s">
        <v>534</v>
      </c>
      <c r="GV92" s="6" t="s">
        <v>595</v>
      </c>
      <c r="GW92" s="6" t="s">
        <v>464</v>
      </c>
      <c r="GX92" s="6">
        <v>1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/>
      <c r="HE92" s="6" t="s">
        <v>1942</v>
      </c>
      <c r="HF92" s="6">
        <v>1</v>
      </c>
      <c r="HG92" s="6">
        <v>0</v>
      </c>
      <c r="HH92" s="6">
        <v>1</v>
      </c>
      <c r="HI92" s="6">
        <v>1</v>
      </c>
      <c r="HJ92" s="6">
        <v>0</v>
      </c>
      <c r="HK92" s="6">
        <v>0</v>
      </c>
      <c r="HL92" s="15"/>
      <c r="HM92" s="6" t="s">
        <v>873</v>
      </c>
      <c r="HN92" s="6"/>
      <c r="HO92" s="6" t="s">
        <v>1943</v>
      </c>
      <c r="HP92" s="6" t="s">
        <v>537</v>
      </c>
      <c r="HQ92" s="6" t="s">
        <v>1944</v>
      </c>
      <c r="HR92" s="6" t="s">
        <v>1945</v>
      </c>
      <c r="HS92" s="6" t="s">
        <v>778</v>
      </c>
      <c r="HT92" s="6">
        <v>0</v>
      </c>
      <c r="HU92" s="6">
        <v>0</v>
      </c>
      <c r="HV92" s="6">
        <v>1</v>
      </c>
      <c r="HW92" s="6">
        <v>0</v>
      </c>
      <c r="HX92" s="6">
        <v>1</v>
      </c>
      <c r="HY92" s="6">
        <v>0</v>
      </c>
      <c r="HZ92" s="6"/>
      <c r="IA92" s="6" t="s">
        <v>1946</v>
      </c>
      <c r="IB92" s="6">
        <v>0</v>
      </c>
      <c r="IC92" s="6">
        <v>1</v>
      </c>
      <c r="ID92" s="6">
        <v>1</v>
      </c>
      <c r="IE92" s="6">
        <v>0</v>
      </c>
      <c r="IF92" s="6">
        <v>1</v>
      </c>
      <c r="IG92" s="6">
        <v>0</v>
      </c>
      <c r="IH92" s="15" t="s">
        <v>1947</v>
      </c>
      <c r="II92" s="6" t="s">
        <v>426</v>
      </c>
      <c r="IJ92" s="6" t="s">
        <v>602</v>
      </c>
      <c r="IK92" s="6">
        <v>1</v>
      </c>
      <c r="IL92" s="6">
        <v>1</v>
      </c>
      <c r="IM92" s="6">
        <v>0</v>
      </c>
      <c r="IN92" s="6"/>
      <c r="IO92" s="6" t="s">
        <v>473</v>
      </c>
      <c r="IP92" s="6">
        <v>1</v>
      </c>
      <c r="IQ92" s="6">
        <v>0</v>
      </c>
      <c r="IR92" s="6">
        <v>0</v>
      </c>
      <c r="IS92" s="6">
        <v>0</v>
      </c>
      <c r="IT92" s="6">
        <v>0</v>
      </c>
      <c r="IU92" s="6">
        <v>0</v>
      </c>
      <c r="IV92" s="6"/>
      <c r="IW92" s="6" t="s">
        <v>453</v>
      </c>
      <c r="IX92" s="6"/>
      <c r="IY92" s="6" t="s">
        <v>510</v>
      </c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 t="s">
        <v>426</v>
      </c>
      <c r="JK92" s="6" t="s">
        <v>426</v>
      </c>
      <c r="JL92" s="6" t="s">
        <v>453</v>
      </c>
      <c r="JM92" s="6" t="s">
        <v>1042</v>
      </c>
      <c r="JN92" s="6">
        <v>0</v>
      </c>
      <c r="JO92" s="6">
        <v>0</v>
      </c>
      <c r="JP92" s="6">
        <v>1</v>
      </c>
      <c r="JQ92" s="6">
        <v>0</v>
      </c>
      <c r="JR92" s="6">
        <v>0</v>
      </c>
      <c r="JS92" s="6">
        <v>0</v>
      </c>
      <c r="JT92" s="6"/>
      <c r="JU92" s="6" t="s">
        <v>895</v>
      </c>
      <c r="JV92" s="15" t="s">
        <v>1948</v>
      </c>
      <c r="JW92" s="94" t="s">
        <v>1949</v>
      </c>
      <c r="JX92" s="6" t="s">
        <v>1950</v>
      </c>
      <c r="JY92" s="6">
        <v>0.592983</v>
      </c>
      <c r="JZ92" s="6">
        <v>34.4726731</v>
      </c>
      <c r="KA92" s="6">
        <v>0</v>
      </c>
      <c r="KB92" s="15">
        <v>2200</v>
      </c>
      <c r="KC92" s="15"/>
    </row>
    <row r="93" spans="1:289">
      <c r="A93" s="6" t="s">
        <v>419</v>
      </c>
      <c r="B93" s="6" t="s">
        <v>420</v>
      </c>
      <c r="C93" s="6" t="s">
        <v>1608</v>
      </c>
      <c r="D93" s="6" t="s">
        <v>1951</v>
      </c>
      <c r="E93" s="6" t="s">
        <v>1952</v>
      </c>
      <c r="F93" s="8" t="s">
        <v>483</v>
      </c>
      <c r="G93" s="6" t="s">
        <v>424</v>
      </c>
      <c r="H93" s="6" t="s">
        <v>425</v>
      </c>
      <c r="I93" s="15"/>
      <c r="J93" s="6" t="s">
        <v>426</v>
      </c>
      <c r="K93" s="6" t="s">
        <v>426</v>
      </c>
      <c r="L93" s="6" t="s">
        <v>426</v>
      </c>
      <c r="M93" s="6" t="s">
        <v>426</v>
      </c>
      <c r="N93" s="6" t="s">
        <v>426</v>
      </c>
      <c r="O93" s="6" t="s">
        <v>426</v>
      </c>
      <c r="P93" s="6" t="s">
        <v>426</v>
      </c>
      <c r="Q93" s="6" t="s">
        <v>426</v>
      </c>
      <c r="R93" s="6" t="s">
        <v>426</v>
      </c>
      <c r="S93" s="6" t="s">
        <v>426</v>
      </c>
      <c r="T93" s="6" t="s">
        <v>426</v>
      </c>
      <c r="U93" s="6" t="s">
        <v>426</v>
      </c>
      <c r="V93" s="6" t="s">
        <v>426</v>
      </c>
      <c r="W93" s="6" t="s">
        <v>426</v>
      </c>
      <c r="X93" s="6" t="s">
        <v>426</v>
      </c>
      <c r="Y93" s="6" t="s">
        <v>426</v>
      </c>
      <c r="Z93" s="6" t="s">
        <v>426</v>
      </c>
      <c r="AA93" s="6" t="s">
        <v>426</v>
      </c>
      <c r="AB93" s="6" t="s">
        <v>426</v>
      </c>
      <c r="AC93" s="15" t="s">
        <v>426</v>
      </c>
      <c r="AD93" s="6" t="s">
        <v>427</v>
      </c>
      <c r="AE93" s="6">
        <v>0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/>
      <c r="AN93" s="15"/>
      <c r="AO93" s="6" t="s">
        <v>426</v>
      </c>
      <c r="AP93" s="6" t="s">
        <v>766</v>
      </c>
      <c r="AQ93" s="6" t="s">
        <v>426</v>
      </c>
      <c r="AR93" s="6" t="s">
        <v>766</v>
      </c>
      <c r="AS93" s="6" t="s">
        <v>426</v>
      </c>
      <c r="AT93" s="6">
        <v>0.2</v>
      </c>
      <c r="AU93" s="6" t="s">
        <v>426</v>
      </c>
      <c r="AV93" s="6">
        <v>0.2</v>
      </c>
      <c r="AW93" s="6" t="s">
        <v>426</v>
      </c>
      <c r="AX93" s="6">
        <v>0.2</v>
      </c>
      <c r="AY93" s="6" t="s">
        <v>426</v>
      </c>
      <c r="AZ93" s="6">
        <v>1</v>
      </c>
      <c r="BA93" s="6" t="s">
        <v>426</v>
      </c>
      <c r="BB93" s="6">
        <v>0.75</v>
      </c>
      <c r="BC93" s="6" t="s">
        <v>426</v>
      </c>
      <c r="BD93" s="6">
        <v>0.75</v>
      </c>
      <c r="BE93" s="6" t="s">
        <v>426</v>
      </c>
      <c r="BF93" s="6">
        <v>10</v>
      </c>
      <c r="BG93" s="6" t="s">
        <v>426</v>
      </c>
      <c r="BH93" s="6">
        <v>0.75</v>
      </c>
      <c r="BI93" s="6" t="s">
        <v>426</v>
      </c>
      <c r="BJ93" s="6">
        <v>0.2</v>
      </c>
      <c r="BK93" s="6" t="s">
        <v>426</v>
      </c>
      <c r="BL93" s="6">
        <v>0.75</v>
      </c>
      <c r="BM93" s="6" t="s">
        <v>426</v>
      </c>
      <c r="BN93" s="6">
        <v>10</v>
      </c>
      <c r="BO93" s="6" t="s">
        <v>426</v>
      </c>
      <c r="BP93" s="6">
        <v>0.75</v>
      </c>
      <c r="BQ93" s="6" t="s">
        <v>426</v>
      </c>
      <c r="BR93" s="6">
        <v>300</v>
      </c>
      <c r="BS93" s="6" t="s">
        <v>426</v>
      </c>
      <c r="BT93" s="6">
        <v>7</v>
      </c>
      <c r="BU93" s="6" t="s">
        <v>426</v>
      </c>
      <c r="BV93" s="15">
        <v>0.2</v>
      </c>
      <c r="BW93" s="15" t="s">
        <v>428</v>
      </c>
      <c r="BX93" s="15" t="s">
        <v>429</v>
      </c>
      <c r="BY93" s="6" t="s">
        <v>430</v>
      </c>
      <c r="BZ93" s="6" t="s">
        <v>430</v>
      </c>
      <c r="CA93" s="6" t="s">
        <v>430</v>
      </c>
      <c r="CB93" s="6" t="s">
        <v>431</v>
      </c>
      <c r="CC93" s="6" t="s">
        <v>430</v>
      </c>
      <c r="CD93" s="6" t="s">
        <v>430</v>
      </c>
      <c r="CE93" s="6" t="s">
        <v>431</v>
      </c>
      <c r="CF93" s="6" t="s">
        <v>430</v>
      </c>
      <c r="CG93" s="6" t="s">
        <v>431</v>
      </c>
      <c r="CH93" s="6" t="s">
        <v>431</v>
      </c>
      <c r="CI93" s="6" t="s">
        <v>430</v>
      </c>
      <c r="CJ93" s="6" t="s">
        <v>430</v>
      </c>
      <c r="CK93" s="6" t="s">
        <v>430</v>
      </c>
      <c r="CL93" s="6" t="s">
        <v>430</v>
      </c>
      <c r="CM93" s="6" t="s">
        <v>430</v>
      </c>
      <c r="CN93" s="6" t="s">
        <v>431</v>
      </c>
      <c r="CO93" s="15" t="s">
        <v>431</v>
      </c>
      <c r="CP93" s="15" t="s">
        <v>432</v>
      </c>
      <c r="CQ93" s="6" t="s">
        <v>433</v>
      </c>
      <c r="CR93" s="15"/>
      <c r="CS93" s="6" t="s">
        <v>426</v>
      </c>
      <c r="CT93" s="6" t="s">
        <v>1953</v>
      </c>
      <c r="CU93" s="6" t="s">
        <v>766</v>
      </c>
      <c r="CV93" s="6" t="s">
        <v>660</v>
      </c>
      <c r="CW93" s="6" t="s">
        <v>935</v>
      </c>
      <c r="CX93" s="15" t="s">
        <v>426</v>
      </c>
      <c r="CY93" s="6" t="s">
        <v>426</v>
      </c>
      <c r="CZ93" s="6" t="s">
        <v>1954</v>
      </c>
      <c r="DA93" s="6" t="s">
        <v>935</v>
      </c>
      <c r="DB93" s="6" t="s">
        <v>766</v>
      </c>
      <c r="DC93" s="6" t="s">
        <v>660</v>
      </c>
      <c r="DD93" s="15" t="s">
        <v>935</v>
      </c>
      <c r="DE93" s="15" t="s">
        <v>521</v>
      </c>
      <c r="DF93" s="6" t="s">
        <v>1955</v>
      </c>
      <c r="DG93" s="6">
        <v>1</v>
      </c>
      <c r="DH93" s="6">
        <v>0</v>
      </c>
      <c r="DI93" s="6">
        <v>0</v>
      </c>
      <c r="DJ93" s="6">
        <v>0</v>
      </c>
      <c r="DK93" s="6">
        <v>1</v>
      </c>
      <c r="DL93" s="6">
        <v>0</v>
      </c>
      <c r="DM93" s="6"/>
      <c r="DN93" s="6"/>
      <c r="DO93" s="6"/>
      <c r="DP93" s="6"/>
      <c r="DQ93" s="6"/>
      <c r="DR93" s="6"/>
      <c r="DS93" s="6"/>
      <c r="DT93" s="66"/>
      <c r="DU93" s="6" t="s">
        <v>438</v>
      </c>
      <c r="DV93" s="6" t="s">
        <v>426</v>
      </c>
      <c r="DW93" s="6" t="s">
        <v>439</v>
      </c>
      <c r="DX93" s="6" t="s">
        <v>491</v>
      </c>
      <c r="DY93" s="6"/>
      <c r="DZ93" s="6" t="s">
        <v>940</v>
      </c>
      <c r="EA93" s="6">
        <v>1</v>
      </c>
      <c r="EB93" s="6">
        <v>1</v>
      </c>
      <c r="EC93" s="6">
        <v>1</v>
      </c>
      <c r="ED93" s="6">
        <v>1</v>
      </c>
      <c r="EE93" s="6">
        <v>0</v>
      </c>
      <c r="EF93" s="6">
        <v>0</v>
      </c>
      <c r="EG93" s="6">
        <v>0</v>
      </c>
      <c r="EH93" s="6">
        <v>0</v>
      </c>
      <c r="EI93" s="6"/>
      <c r="EJ93" s="6" t="s">
        <v>697</v>
      </c>
      <c r="EK93" s="6">
        <v>1</v>
      </c>
      <c r="EL93" s="6">
        <v>1</v>
      </c>
      <c r="EM93" s="6">
        <v>1</v>
      </c>
      <c r="EN93" s="6">
        <v>1</v>
      </c>
      <c r="EO93" s="6">
        <v>1</v>
      </c>
      <c r="EP93" s="6">
        <v>1</v>
      </c>
      <c r="EQ93" s="6">
        <v>0</v>
      </c>
      <c r="ER93" s="6">
        <v>0</v>
      </c>
      <c r="ES93" s="6">
        <v>0</v>
      </c>
      <c r="ET93" s="6"/>
      <c r="EU93" s="6" t="s">
        <v>494</v>
      </c>
      <c r="EV93" s="6" t="s">
        <v>495</v>
      </c>
      <c r="EW93" s="6"/>
      <c r="EX93" s="6" t="s">
        <v>445</v>
      </c>
      <c r="EY93" s="6">
        <v>0</v>
      </c>
      <c r="EZ93" s="6">
        <v>0</v>
      </c>
      <c r="FA93" s="6">
        <v>1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/>
      <c r="FH93" s="6" t="s">
        <v>446</v>
      </c>
      <c r="FI93" s="6">
        <v>1</v>
      </c>
      <c r="FJ93" s="6">
        <v>0</v>
      </c>
      <c r="FK93" s="6">
        <v>0</v>
      </c>
      <c r="FL93" s="6">
        <v>0</v>
      </c>
      <c r="FM93" s="6">
        <v>1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/>
      <c r="FT93" s="6" t="s">
        <v>447</v>
      </c>
      <c r="FU93" s="6" t="s">
        <v>448</v>
      </c>
      <c r="FV93" s="6"/>
      <c r="FW93" s="6" t="s">
        <v>449</v>
      </c>
      <c r="FX93" s="15" t="s">
        <v>528</v>
      </c>
      <c r="FY93" s="6" t="s">
        <v>451</v>
      </c>
      <c r="FZ93" s="6"/>
      <c r="GA93" s="6" t="s">
        <v>528</v>
      </c>
      <c r="GB93" s="6" t="s">
        <v>452</v>
      </c>
      <c r="GC93" s="6" t="s">
        <v>453</v>
      </c>
      <c r="GD93" s="6"/>
      <c r="GE93" s="6" t="s">
        <v>454</v>
      </c>
      <c r="GF93" s="6" t="s">
        <v>1956</v>
      </c>
      <c r="GG93" s="6" t="s">
        <v>456</v>
      </c>
      <c r="GH93" s="15" t="s">
        <v>1957</v>
      </c>
      <c r="GI93" s="6" t="s">
        <v>458</v>
      </c>
      <c r="GJ93" s="6" t="s">
        <v>1958</v>
      </c>
      <c r="GK93" s="6" t="s">
        <v>460</v>
      </c>
      <c r="GL93" s="6" t="s">
        <v>704</v>
      </c>
      <c r="GM93" s="6">
        <v>0</v>
      </c>
      <c r="GN93" s="6">
        <v>0</v>
      </c>
      <c r="GO93" s="6">
        <v>0</v>
      </c>
      <c r="GP93" s="6">
        <v>1</v>
      </c>
      <c r="GQ93" s="6">
        <v>0</v>
      </c>
      <c r="GR93" s="6">
        <v>0</v>
      </c>
      <c r="GS93" s="6">
        <v>0</v>
      </c>
      <c r="GT93" s="6"/>
      <c r="GU93" s="6" t="s">
        <v>462</v>
      </c>
      <c r="GV93" s="6" t="s">
        <v>463</v>
      </c>
      <c r="GW93" s="6" t="s">
        <v>464</v>
      </c>
      <c r="GX93" s="6">
        <v>1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/>
      <c r="HE93" s="6" t="s">
        <v>535</v>
      </c>
      <c r="HF93" s="6">
        <v>1</v>
      </c>
      <c r="HG93" s="6">
        <v>0</v>
      </c>
      <c r="HH93" s="6">
        <v>0</v>
      </c>
      <c r="HI93" s="6">
        <v>0</v>
      </c>
      <c r="HJ93" s="6">
        <v>0</v>
      </c>
      <c r="HK93" s="6">
        <v>0</v>
      </c>
      <c r="HL93" s="15"/>
      <c r="HM93" s="6" t="s">
        <v>466</v>
      </c>
      <c r="HN93" s="6"/>
      <c r="HO93" s="6" t="s">
        <v>1959</v>
      </c>
      <c r="HP93" s="6" t="s">
        <v>468</v>
      </c>
      <c r="HQ93" s="6"/>
      <c r="HR93" s="6" t="s">
        <v>1960</v>
      </c>
      <c r="HS93" s="6" t="s">
        <v>470</v>
      </c>
      <c r="HT93" s="6">
        <v>0</v>
      </c>
      <c r="HU93" s="6">
        <v>0</v>
      </c>
      <c r="HV93" s="6">
        <v>0</v>
      </c>
      <c r="HW93" s="6">
        <v>0</v>
      </c>
      <c r="HX93" s="6">
        <v>1</v>
      </c>
      <c r="HY93" s="6">
        <v>0</v>
      </c>
      <c r="HZ93" s="6"/>
      <c r="IA93" s="6" t="s">
        <v>1491</v>
      </c>
      <c r="IB93" s="6">
        <v>1</v>
      </c>
      <c r="IC93" s="6">
        <v>0</v>
      </c>
      <c r="ID93" s="6">
        <v>1</v>
      </c>
      <c r="IE93" s="6">
        <v>0</v>
      </c>
      <c r="IF93" s="6">
        <v>0</v>
      </c>
      <c r="IG93" s="6">
        <v>0</v>
      </c>
      <c r="IH93" s="15" t="s">
        <v>1961</v>
      </c>
      <c r="II93" s="6" t="s">
        <v>426</v>
      </c>
      <c r="IJ93" s="6" t="s">
        <v>472</v>
      </c>
      <c r="IK93" s="6">
        <v>1</v>
      </c>
      <c r="IL93" s="6">
        <v>0</v>
      </c>
      <c r="IM93" s="6">
        <v>0</v>
      </c>
      <c r="IN93" s="6"/>
      <c r="IO93" s="6" t="s">
        <v>473</v>
      </c>
      <c r="IP93" s="6">
        <v>1</v>
      </c>
      <c r="IQ93" s="6">
        <v>0</v>
      </c>
      <c r="IR93" s="6">
        <v>0</v>
      </c>
      <c r="IS93" s="6">
        <v>0</v>
      </c>
      <c r="IT93" s="6">
        <v>0</v>
      </c>
      <c r="IU93" s="6">
        <v>0</v>
      </c>
      <c r="IV93" s="6"/>
      <c r="IW93" s="6" t="s">
        <v>453</v>
      </c>
      <c r="IX93" s="6"/>
      <c r="IY93" s="6" t="s">
        <v>510</v>
      </c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 t="s">
        <v>426</v>
      </c>
      <c r="JK93" s="6" t="s">
        <v>426</v>
      </c>
      <c r="JL93" s="6" t="s">
        <v>426</v>
      </c>
      <c r="JM93" s="6"/>
      <c r="JN93" s="6"/>
      <c r="JO93" s="6"/>
      <c r="JP93" s="6"/>
      <c r="JQ93" s="6"/>
      <c r="JR93" s="6"/>
      <c r="JS93" s="6"/>
      <c r="JT93" s="6"/>
      <c r="JU93" s="6" t="s">
        <v>477</v>
      </c>
      <c r="JV93" s="15"/>
      <c r="JW93" s="94" t="s">
        <v>1962</v>
      </c>
      <c r="JX93" s="6" t="s">
        <v>1963</v>
      </c>
      <c r="JY93" s="6">
        <v>0.5981764</v>
      </c>
      <c r="JZ93" s="6">
        <v>34.4678421</v>
      </c>
      <c r="KA93" s="6">
        <v>1331.1</v>
      </c>
      <c r="KB93" s="15">
        <v>3.2</v>
      </c>
      <c r="KC93" s="15"/>
    </row>
    <row r="94" spans="1:289">
      <c r="A94" s="6" t="s">
        <v>581</v>
      </c>
      <c r="B94" s="6" t="s">
        <v>420</v>
      </c>
      <c r="C94" s="6" t="s">
        <v>1608</v>
      </c>
      <c r="D94" s="6" t="s">
        <v>1720</v>
      </c>
      <c r="E94" s="6" t="s">
        <v>1964</v>
      </c>
      <c r="F94" s="8" t="s">
        <v>483</v>
      </c>
      <c r="G94" s="6" t="s">
        <v>731</v>
      </c>
      <c r="H94" s="6" t="s">
        <v>425</v>
      </c>
      <c r="I94" s="15"/>
      <c r="J94" s="6" t="s">
        <v>426</v>
      </c>
      <c r="K94" s="6" t="s">
        <v>426</v>
      </c>
      <c r="L94" s="6" t="s">
        <v>426</v>
      </c>
      <c r="M94" s="6" t="s">
        <v>426</v>
      </c>
      <c r="N94" s="6" t="s">
        <v>426</v>
      </c>
      <c r="O94" s="6" t="s">
        <v>426</v>
      </c>
      <c r="P94" s="6" t="s">
        <v>426</v>
      </c>
      <c r="Q94" s="6" t="s">
        <v>426</v>
      </c>
      <c r="R94" s="6" t="s">
        <v>426</v>
      </c>
      <c r="S94" s="6" t="s">
        <v>426</v>
      </c>
      <c r="T94" s="6" t="s">
        <v>426</v>
      </c>
      <c r="U94" s="6" t="s">
        <v>426</v>
      </c>
      <c r="V94" s="6" t="s">
        <v>426</v>
      </c>
      <c r="W94" s="6" t="s">
        <v>426</v>
      </c>
      <c r="X94" s="6" t="s">
        <v>426</v>
      </c>
      <c r="Y94" s="6" t="s">
        <v>426</v>
      </c>
      <c r="Z94" s="6" t="s">
        <v>426</v>
      </c>
      <c r="AA94" s="6" t="s">
        <v>426</v>
      </c>
      <c r="AB94" s="6" t="s">
        <v>426</v>
      </c>
      <c r="AC94" s="15" t="s">
        <v>426</v>
      </c>
      <c r="AD94" s="6" t="s">
        <v>1965</v>
      </c>
      <c r="AE94" s="6">
        <v>0</v>
      </c>
      <c r="AF94" s="6">
        <v>1</v>
      </c>
      <c r="AG94" s="6">
        <v>0</v>
      </c>
      <c r="AH94" s="6">
        <v>1</v>
      </c>
      <c r="AI94" s="6">
        <v>0</v>
      </c>
      <c r="AJ94" s="6">
        <v>0</v>
      </c>
      <c r="AK94" s="6">
        <v>1</v>
      </c>
      <c r="AL94" s="6">
        <v>0</v>
      </c>
      <c r="AM94" s="6"/>
      <c r="AN94" s="15"/>
      <c r="AO94" s="6" t="s">
        <v>426</v>
      </c>
      <c r="AP94" s="6" t="s">
        <v>1188</v>
      </c>
      <c r="AQ94" s="6" t="s">
        <v>426</v>
      </c>
      <c r="AR94" s="6" t="s">
        <v>1188</v>
      </c>
      <c r="AS94" s="6" t="s">
        <v>426</v>
      </c>
      <c r="AT94" s="6">
        <v>1</v>
      </c>
      <c r="AU94" s="6" t="s">
        <v>426</v>
      </c>
      <c r="AV94" s="6">
        <v>1</v>
      </c>
      <c r="AW94" s="6" t="s">
        <v>426</v>
      </c>
      <c r="AX94" s="6">
        <v>1</v>
      </c>
      <c r="AY94" s="6" t="s">
        <v>426</v>
      </c>
      <c r="AZ94" s="6">
        <v>1</v>
      </c>
      <c r="BA94" s="6" t="s">
        <v>426</v>
      </c>
      <c r="BB94" s="6">
        <v>1</v>
      </c>
      <c r="BC94" s="6" t="s">
        <v>426</v>
      </c>
      <c r="BD94" s="6">
        <v>1</v>
      </c>
      <c r="BE94" s="6" t="s">
        <v>426</v>
      </c>
      <c r="BF94" s="6">
        <v>3</v>
      </c>
      <c r="BG94" s="6" t="s">
        <v>426</v>
      </c>
      <c r="BH94" s="6">
        <v>1</v>
      </c>
      <c r="BI94" s="6" t="s">
        <v>426</v>
      </c>
      <c r="BJ94" s="6">
        <v>1</v>
      </c>
      <c r="BK94" s="6" t="s">
        <v>426</v>
      </c>
      <c r="BL94" s="6">
        <v>1</v>
      </c>
      <c r="BM94" s="6" t="s">
        <v>426</v>
      </c>
      <c r="BN94" s="6">
        <v>30</v>
      </c>
      <c r="BO94" s="6" t="s">
        <v>426</v>
      </c>
      <c r="BP94" s="6">
        <v>1</v>
      </c>
      <c r="BQ94" s="6" t="s">
        <v>426</v>
      </c>
      <c r="BR94" s="6">
        <v>200</v>
      </c>
      <c r="BS94" s="6" t="s">
        <v>453</v>
      </c>
      <c r="BT94" s="6"/>
      <c r="BU94" s="6" t="s">
        <v>426</v>
      </c>
      <c r="BV94" s="15">
        <v>1</v>
      </c>
      <c r="BW94" s="15" t="s">
        <v>518</v>
      </c>
      <c r="BX94" s="15" t="s">
        <v>429</v>
      </c>
      <c r="BY94" s="6" t="s">
        <v>430</v>
      </c>
      <c r="BZ94" s="6" t="s">
        <v>430</v>
      </c>
      <c r="CA94" s="6" t="s">
        <v>430</v>
      </c>
      <c r="CB94" s="6" t="s">
        <v>430</v>
      </c>
      <c r="CC94" s="6" t="s">
        <v>430</v>
      </c>
      <c r="CD94" s="6" t="s">
        <v>430</v>
      </c>
      <c r="CE94" s="6" t="s">
        <v>430</v>
      </c>
      <c r="CF94" s="6" t="s">
        <v>430</v>
      </c>
      <c r="CG94" s="6" t="s">
        <v>430</v>
      </c>
      <c r="CH94" s="6" t="s">
        <v>430</v>
      </c>
      <c r="CI94" s="6" t="s">
        <v>430</v>
      </c>
      <c r="CJ94" s="6" t="s">
        <v>430</v>
      </c>
      <c r="CK94" s="6" t="s">
        <v>430</v>
      </c>
      <c r="CL94" s="6" t="s">
        <v>430</v>
      </c>
      <c r="CM94" s="6" t="s">
        <v>430</v>
      </c>
      <c r="CN94" s="6" t="s">
        <v>486</v>
      </c>
      <c r="CO94" s="15" t="s">
        <v>430</v>
      </c>
      <c r="CP94" s="15" t="s">
        <v>432</v>
      </c>
      <c r="CQ94" s="6" t="s">
        <v>433</v>
      </c>
      <c r="CR94" s="15"/>
      <c r="CS94" s="6" t="s">
        <v>426</v>
      </c>
      <c r="CT94" s="6" t="s">
        <v>1966</v>
      </c>
      <c r="CU94" s="6" t="s">
        <v>789</v>
      </c>
      <c r="CV94" s="6" t="s">
        <v>737</v>
      </c>
      <c r="CW94" s="6" t="s">
        <v>908</v>
      </c>
      <c r="CX94" s="15" t="s">
        <v>426</v>
      </c>
      <c r="CY94" s="6" t="s">
        <v>453</v>
      </c>
      <c r="CZ94" s="6"/>
      <c r="DA94" s="6"/>
      <c r="DB94" s="6"/>
      <c r="DC94" s="6"/>
      <c r="DD94" s="15"/>
      <c r="DE94" s="15" t="s">
        <v>436</v>
      </c>
      <c r="DF94" s="6" t="s">
        <v>1171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1</v>
      </c>
      <c r="DM94" s="6" t="s">
        <v>1967</v>
      </c>
      <c r="DN94" s="6"/>
      <c r="DO94" s="6"/>
      <c r="DP94" s="6"/>
      <c r="DQ94" s="6"/>
      <c r="DR94" s="6"/>
      <c r="DS94" s="6"/>
      <c r="DT94" s="66"/>
      <c r="DU94" s="6" t="s">
        <v>523</v>
      </c>
      <c r="DV94" s="6" t="s">
        <v>426</v>
      </c>
      <c r="DW94" s="6" t="s">
        <v>490</v>
      </c>
      <c r="DX94" s="6" t="s">
        <v>440</v>
      </c>
      <c r="DY94" s="6"/>
      <c r="DZ94" s="6" t="s">
        <v>1968</v>
      </c>
      <c r="EA94" s="6">
        <v>1</v>
      </c>
      <c r="EB94" s="6">
        <v>1</v>
      </c>
      <c r="EC94" s="6">
        <v>1</v>
      </c>
      <c r="ED94" s="6">
        <v>1</v>
      </c>
      <c r="EE94" s="6">
        <v>1</v>
      </c>
      <c r="EF94" s="6">
        <v>1</v>
      </c>
      <c r="EG94" s="6">
        <v>0</v>
      </c>
      <c r="EH94" s="6">
        <v>0</v>
      </c>
      <c r="EI94" s="6"/>
      <c r="EJ94" s="6" t="s">
        <v>1969</v>
      </c>
      <c r="EK94" s="6">
        <v>1</v>
      </c>
      <c r="EL94" s="6">
        <v>1</v>
      </c>
      <c r="EM94" s="6">
        <v>1</v>
      </c>
      <c r="EN94" s="6">
        <v>1</v>
      </c>
      <c r="EO94" s="6">
        <v>1</v>
      </c>
      <c r="EP94" s="6">
        <v>1</v>
      </c>
      <c r="EQ94" s="6">
        <v>1</v>
      </c>
      <c r="ER94" s="6">
        <v>0</v>
      </c>
      <c r="ES94" s="6">
        <v>0</v>
      </c>
      <c r="ET94" s="6"/>
      <c r="EU94" s="6" t="s">
        <v>443</v>
      </c>
      <c r="EV94" s="6" t="s">
        <v>588</v>
      </c>
      <c r="EW94" s="6"/>
      <c r="EX94" s="6" t="s">
        <v>1970</v>
      </c>
      <c r="EY94" s="6">
        <v>1</v>
      </c>
      <c r="EZ94" s="6">
        <v>1</v>
      </c>
      <c r="FA94" s="6">
        <v>1</v>
      </c>
      <c r="FB94" s="6">
        <v>1</v>
      </c>
      <c r="FC94" s="6">
        <v>1</v>
      </c>
      <c r="FD94" s="6">
        <v>1</v>
      </c>
      <c r="FE94" s="6">
        <v>0</v>
      </c>
      <c r="FF94" s="6">
        <v>0</v>
      </c>
      <c r="FG94" s="6"/>
      <c r="FH94" s="6" t="s">
        <v>1277</v>
      </c>
      <c r="FI94" s="6">
        <v>1</v>
      </c>
      <c r="FJ94" s="6">
        <v>0</v>
      </c>
      <c r="FK94" s="6">
        <v>1</v>
      </c>
      <c r="FL94" s="6">
        <v>0</v>
      </c>
      <c r="FM94" s="6">
        <v>0</v>
      </c>
      <c r="FN94" s="6">
        <v>1</v>
      </c>
      <c r="FO94" s="6">
        <v>0</v>
      </c>
      <c r="FP94" s="6">
        <v>0</v>
      </c>
      <c r="FQ94" s="6">
        <v>1</v>
      </c>
      <c r="FR94" s="6">
        <v>0</v>
      </c>
      <c r="FS94" s="6"/>
      <c r="FT94" s="6" t="s">
        <v>556</v>
      </c>
      <c r="FU94" s="6" t="s">
        <v>448</v>
      </c>
      <c r="FV94" s="6"/>
      <c r="FW94" s="6" t="s">
        <v>449</v>
      </c>
      <c r="FX94" s="15" t="s">
        <v>450</v>
      </c>
      <c r="FY94" s="6" t="s">
        <v>619</v>
      </c>
      <c r="FZ94" s="6"/>
      <c r="GA94" s="6" t="s">
        <v>450</v>
      </c>
      <c r="GB94" s="6" t="s">
        <v>501</v>
      </c>
      <c r="GC94" s="6" t="s">
        <v>453</v>
      </c>
      <c r="GD94" s="6"/>
      <c r="GE94" s="6" t="s">
        <v>454</v>
      </c>
      <c r="GF94" s="6" t="s">
        <v>1971</v>
      </c>
      <c r="GG94" s="6" t="s">
        <v>456</v>
      </c>
      <c r="GH94" s="15" t="s">
        <v>1972</v>
      </c>
      <c r="GI94" s="6" t="s">
        <v>458</v>
      </c>
      <c r="GJ94" s="6" t="s">
        <v>1973</v>
      </c>
      <c r="GK94" s="6" t="s">
        <v>460</v>
      </c>
      <c r="GL94" s="6" t="s">
        <v>461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1</v>
      </c>
      <c r="GS94" s="6">
        <v>0</v>
      </c>
      <c r="GT94" s="6"/>
      <c r="GU94" s="6" t="s">
        <v>534</v>
      </c>
      <c r="GV94" s="6" t="s">
        <v>595</v>
      </c>
      <c r="GW94" s="6" t="s">
        <v>721</v>
      </c>
      <c r="GX94" s="6">
        <v>1</v>
      </c>
      <c r="GY94" s="6">
        <v>0</v>
      </c>
      <c r="GZ94" s="6">
        <v>0</v>
      </c>
      <c r="HA94" s="6">
        <v>1</v>
      </c>
      <c r="HB94" s="6">
        <v>0</v>
      </c>
      <c r="HC94" s="6">
        <v>0</v>
      </c>
      <c r="HD94" s="6"/>
      <c r="HE94" s="6" t="s">
        <v>596</v>
      </c>
      <c r="HF94" s="6">
        <v>1</v>
      </c>
      <c r="HG94" s="6">
        <v>1</v>
      </c>
      <c r="HH94" s="6">
        <v>1</v>
      </c>
      <c r="HI94" s="6">
        <v>1</v>
      </c>
      <c r="HJ94" s="6">
        <v>0</v>
      </c>
      <c r="HK94" s="6">
        <v>0</v>
      </c>
      <c r="HL94" s="15"/>
      <c r="HM94" s="6" t="s">
        <v>505</v>
      </c>
      <c r="HN94" s="6"/>
      <c r="HO94" s="6" t="s">
        <v>1974</v>
      </c>
      <c r="HP94" s="6" t="s">
        <v>561</v>
      </c>
      <c r="HQ94" s="6"/>
      <c r="HR94" s="6" t="s">
        <v>1975</v>
      </c>
      <c r="HS94" s="6" t="s">
        <v>778</v>
      </c>
      <c r="HT94" s="6">
        <v>0</v>
      </c>
      <c r="HU94" s="6">
        <v>0</v>
      </c>
      <c r="HV94" s="6">
        <v>1</v>
      </c>
      <c r="HW94" s="6">
        <v>0</v>
      </c>
      <c r="HX94" s="6">
        <v>1</v>
      </c>
      <c r="HY94" s="6">
        <v>0</v>
      </c>
      <c r="HZ94" s="6"/>
      <c r="IA94" s="6" t="s">
        <v>726</v>
      </c>
      <c r="IB94" s="6">
        <v>1</v>
      </c>
      <c r="IC94" s="6">
        <v>1</v>
      </c>
      <c r="ID94" s="6">
        <v>1</v>
      </c>
      <c r="IE94" s="6">
        <v>0</v>
      </c>
      <c r="IF94" s="6">
        <v>0</v>
      </c>
      <c r="IG94" s="6">
        <v>0</v>
      </c>
      <c r="IH94" s="15" t="s">
        <v>1976</v>
      </c>
      <c r="II94" s="6" t="s">
        <v>426</v>
      </c>
      <c r="IJ94" s="6" t="s">
        <v>602</v>
      </c>
      <c r="IK94" s="6">
        <v>1</v>
      </c>
      <c r="IL94" s="6">
        <v>1</v>
      </c>
      <c r="IM94" s="6">
        <v>0</v>
      </c>
      <c r="IN94" s="6"/>
      <c r="IO94" s="6" t="s">
        <v>473</v>
      </c>
      <c r="IP94" s="6">
        <v>1</v>
      </c>
      <c r="IQ94" s="6">
        <v>0</v>
      </c>
      <c r="IR94" s="6">
        <v>0</v>
      </c>
      <c r="IS94" s="6">
        <v>0</v>
      </c>
      <c r="IT94" s="6">
        <v>0</v>
      </c>
      <c r="IU94" s="6">
        <v>0</v>
      </c>
      <c r="IV94" s="6"/>
      <c r="IW94" s="6" t="s">
        <v>426</v>
      </c>
      <c r="IX94" s="6">
        <v>1</v>
      </c>
      <c r="IY94" s="6" t="s">
        <v>474</v>
      </c>
      <c r="IZ94" s="6" t="s">
        <v>604</v>
      </c>
      <c r="JA94" s="6" t="s">
        <v>426</v>
      </c>
      <c r="JB94" s="6" t="s">
        <v>476</v>
      </c>
      <c r="JC94" s="6"/>
      <c r="JD94" s="6"/>
      <c r="JE94" s="6"/>
      <c r="JF94" s="6"/>
      <c r="JG94" s="6"/>
      <c r="JH94" s="6"/>
      <c r="JI94" s="6"/>
      <c r="JJ94" s="6"/>
      <c r="JK94" s="6" t="s">
        <v>426</v>
      </c>
      <c r="JL94" s="6" t="s">
        <v>426</v>
      </c>
      <c r="JM94" s="6"/>
      <c r="JN94" s="6"/>
      <c r="JO94" s="6"/>
      <c r="JP94" s="6"/>
      <c r="JQ94" s="6"/>
      <c r="JR94" s="6"/>
      <c r="JS94" s="6"/>
      <c r="JT94" s="6"/>
      <c r="JU94" s="6" t="s">
        <v>895</v>
      </c>
      <c r="JV94" s="15" t="s">
        <v>1977</v>
      </c>
      <c r="JW94" s="94" t="s">
        <v>1978</v>
      </c>
      <c r="JX94" s="6" t="s">
        <v>1979</v>
      </c>
      <c r="JY94" s="6">
        <v>0.5981053</v>
      </c>
      <c r="JZ94" s="6">
        <v>34.4678351</v>
      </c>
      <c r="KA94" s="6">
        <v>1305.6</v>
      </c>
      <c r="KB94" s="15">
        <v>4.9</v>
      </c>
      <c r="KC94" s="15"/>
    </row>
    <row r="95" spans="1:289">
      <c r="A95" s="6" t="s">
        <v>514</v>
      </c>
      <c r="B95" s="6" t="s">
        <v>420</v>
      </c>
      <c r="C95" s="6" t="s">
        <v>1608</v>
      </c>
      <c r="D95" s="6" t="s">
        <v>1655</v>
      </c>
      <c r="E95" s="6" t="s">
        <v>1980</v>
      </c>
      <c r="F95" s="8" t="s">
        <v>483</v>
      </c>
      <c r="G95" s="6" t="s">
        <v>731</v>
      </c>
      <c r="H95" s="6" t="s">
        <v>517</v>
      </c>
      <c r="I95" s="15"/>
      <c r="J95" s="6" t="s">
        <v>426</v>
      </c>
      <c r="K95" s="6" t="s">
        <v>426</v>
      </c>
      <c r="L95" s="6" t="s">
        <v>426</v>
      </c>
      <c r="M95" s="6" t="s">
        <v>426</v>
      </c>
      <c r="N95" s="6" t="s">
        <v>426</v>
      </c>
      <c r="O95" s="6" t="s">
        <v>426</v>
      </c>
      <c r="P95" s="6" t="s">
        <v>426</v>
      </c>
      <c r="Q95" s="6" t="s">
        <v>426</v>
      </c>
      <c r="R95" s="6" t="s">
        <v>426</v>
      </c>
      <c r="S95" s="6" t="s">
        <v>426</v>
      </c>
      <c r="T95" s="6" t="s">
        <v>426</v>
      </c>
      <c r="U95" s="6" t="s">
        <v>426</v>
      </c>
      <c r="V95" s="6" t="s">
        <v>426</v>
      </c>
      <c r="W95" s="6" t="s">
        <v>426</v>
      </c>
      <c r="X95" s="6" t="s">
        <v>426</v>
      </c>
      <c r="Y95" s="6" t="s">
        <v>426</v>
      </c>
      <c r="Z95" s="6" t="s">
        <v>426</v>
      </c>
      <c r="AA95" s="6" t="s">
        <v>426</v>
      </c>
      <c r="AB95" s="6" t="s">
        <v>426</v>
      </c>
      <c r="AC95" s="15" t="s">
        <v>426</v>
      </c>
      <c r="AD95" s="6" t="s">
        <v>427</v>
      </c>
      <c r="AE95" s="6">
        <v>0</v>
      </c>
      <c r="AF95" s="6">
        <v>0</v>
      </c>
      <c r="AG95" s="6">
        <v>0</v>
      </c>
      <c r="AH95" s="6">
        <v>1</v>
      </c>
      <c r="AI95" s="6">
        <v>0</v>
      </c>
      <c r="AJ95" s="6">
        <v>0</v>
      </c>
      <c r="AK95" s="6">
        <v>0</v>
      </c>
      <c r="AL95" s="6">
        <v>0</v>
      </c>
      <c r="AM95" s="6"/>
      <c r="AN95" s="15"/>
      <c r="AO95" s="6" t="s">
        <v>426</v>
      </c>
      <c r="AP95" s="6" t="s">
        <v>656</v>
      </c>
      <c r="AQ95" s="6" t="s">
        <v>426</v>
      </c>
      <c r="AR95" s="6" t="s">
        <v>901</v>
      </c>
      <c r="AS95" s="6" t="s">
        <v>426</v>
      </c>
      <c r="AT95" s="6">
        <v>0.25</v>
      </c>
      <c r="AU95" s="6" t="s">
        <v>453</v>
      </c>
      <c r="AV95" s="6"/>
      <c r="AW95" s="6" t="s">
        <v>426</v>
      </c>
      <c r="AX95" s="6">
        <v>0.25</v>
      </c>
      <c r="AY95" s="6" t="s">
        <v>426</v>
      </c>
      <c r="AZ95" s="6">
        <v>1</v>
      </c>
      <c r="BA95" s="6" t="s">
        <v>426</v>
      </c>
      <c r="BB95" s="6">
        <v>0.25</v>
      </c>
      <c r="BC95" s="6" t="s">
        <v>426</v>
      </c>
      <c r="BD95" s="6">
        <v>0.25</v>
      </c>
      <c r="BE95" s="6" t="s">
        <v>453</v>
      </c>
      <c r="BF95" s="6"/>
      <c r="BG95" s="6" t="s">
        <v>426</v>
      </c>
      <c r="BH95" s="6">
        <v>0.25</v>
      </c>
      <c r="BI95" s="6" t="s">
        <v>426</v>
      </c>
      <c r="BJ95" s="6">
        <v>0.1</v>
      </c>
      <c r="BK95" s="6" t="s">
        <v>426</v>
      </c>
      <c r="BL95" s="6">
        <v>0.25</v>
      </c>
      <c r="BM95" s="6" t="s">
        <v>426</v>
      </c>
      <c r="BN95" s="6">
        <v>3</v>
      </c>
      <c r="BO95" s="6" t="s">
        <v>426</v>
      </c>
      <c r="BP95" s="6">
        <v>0.25</v>
      </c>
      <c r="BQ95" s="6" t="s">
        <v>426</v>
      </c>
      <c r="BR95" s="6">
        <v>30</v>
      </c>
      <c r="BS95" s="6" t="s">
        <v>426</v>
      </c>
      <c r="BT95" s="6">
        <v>4</v>
      </c>
      <c r="BU95" s="6" t="s">
        <v>453</v>
      </c>
      <c r="BV95" s="15"/>
      <c r="BW95" s="15" t="s">
        <v>880</v>
      </c>
      <c r="BX95" s="15" t="s">
        <v>429</v>
      </c>
      <c r="BY95" s="6" t="s">
        <v>430</v>
      </c>
      <c r="BZ95" s="6" t="s">
        <v>430</v>
      </c>
      <c r="CA95" s="6" t="s">
        <v>430</v>
      </c>
      <c r="CB95" s="6" t="s">
        <v>487</v>
      </c>
      <c r="CC95" s="6" t="s">
        <v>431</v>
      </c>
      <c r="CD95" s="6" t="s">
        <v>430</v>
      </c>
      <c r="CE95" s="6" t="s">
        <v>431</v>
      </c>
      <c r="CF95" s="6" t="s">
        <v>430</v>
      </c>
      <c r="CG95" s="6" t="s">
        <v>487</v>
      </c>
      <c r="CH95" s="6" t="s">
        <v>431</v>
      </c>
      <c r="CI95" s="6" t="s">
        <v>431</v>
      </c>
      <c r="CJ95" s="6" t="s">
        <v>431</v>
      </c>
      <c r="CK95" s="6" t="s">
        <v>431</v>
      </c>
      <c r="CL95" s="6" t="s">
        <v>430</v>
      </c>
      <c r="CM95" s="6" t="s">
        <v>430</v>
      </c>
      <c r="CN95" s="6" t="s">
        <v>430</v>
      </c>
      <c r="CO95" s="15" t="s">
        <v>487</v>
      </c>
      <c r="CP95" s="15" t="s">
        <v>432</v>
      </c>
      <c r="CQ95" s="6" t="s">
        <v>686</v>
      </c>
      <c r="CR95" s="15"/>
      <c r="CS95" s="6" t="s">
        <v>426</v>
      </c>
      <c r="CT95" s="6" t="s">
        <v>1981</v>
      </c>
      <c r="CU95" s="6" t="s">
        <v>1024</v>
      </c>
      <c r="CV95" s="6" t="s">
        <v>737</v>
      </c>
      <c r="CW95" s="6" t="s">
        <v>689</v>
      </c>
      <c r="CX95" s="15" t="s">
        <v>426</v>
      </c>
      <c r="CY95" s="6" t="s">
        <v>426</v>
      </c>
      <c r="CZ95" s="6" t="s">
        <v>1982</v>
      </c>
      <c r="DA95" s="6" t="s">
        <v>1291</v>
      </c>
      <c r="DB95" s="6" t="s">
        <v>737</v>
      </c>
      <c r="DC95" s="6" t="s">
        <v>733</v>
      </c>
      <c r="DD95" s="15" t="s">
        <v>1291</v>
      </c>
      <c r="DE95" s="15" t="s">
        <v>436</v>
      </c>
      <c r="DF95" s="6" t="s">
        <v>522</v>
      </c>
      <c r="DG95" s="6">
        <v>0</v>
      </c>
      <c r="DH95" s="6">
        <v>1</v>
      </c>
      <c r="DI95" s="6">
        <v>0</v>
      </c>
      <c r="DJ95" s="6">
        <v>0</v>
      </c>
      <c r="DK95" s="6">
        <v>0</v>
      </c>
      <c r="DL95" s="6">
        <v>0</v>
      </c>
      <c r="DM95" s="6"/>
      <c r="DN95" s="6"/>
      <c r="DO95" s="6"/>
      <c r="DP95" s="6"/>
      <c r="DQ95" s="6"/>
      <c r="DR95" s="6"/>
      <c r="DS95" s="6"/>
      <c r="DT95" s="66"/>
      <c r="DU95" s="6" t="s">
        <v>438</v>
      </c>
      <c r="DV95" s="6" t="s">
        <v>426</v>
      </c>
      <c r="DW95" s="6" t="s">
        <v>439</v>
      </c>
      <c r="DX95" s="6" t="s">
        <v>440</v>
      </c>
      <c r="DY95" s="6"/>
      <c r="DZ95" s="6" t="s">
        <v>570</v>
      </c>
      <c r="EA95" s="6">
        <v>1</v>
      </c>
      <c r="EB95" s="6">
        <v>0</v>
      </c>
      <c r="EC95" s="6">
        <v>0</v>
      </c>
      <c r="ED95" s="6">
        <v>1</v>
      </c>
      <c r="EE95" s="6">
        <v>0</v>
      </c>
      <c r="EF95" s="6">
        <v>0</v>
      </c>
      <c r="EG95" s="6">
        <v>0</v>
      </c>
      <c r="EH95" s="6">
        <v>0</v>
      </c>
      <c r="EI95" s="6"/>
      <c r="EJ95" s="6" t="s">
        <v>1983</v>
      </c>
      <c r="EK95" s="6">
        <v>0</v>
      </c>
      <c r="EL95" s="6">
        <v>0</v>
      </c>
      <c r="EM95" s="6">
        <v>0</v>
      </c>
      <c r="EN95" s="6">
        <v>1</v>
      </c>
      <c r="EO95" s="6">
        <v>1</v>
      </c>
      <c r="EP95" s="6">
        <v>0</v>
      </c>
      <c r="EQ95" s="6">
        <v>0</v>
      </c>
      <c r="ER95" s="6">
        <v>0</v>
      </c>
      <c r="ES95" s="6">
        <v>0</v>
      </c>
      <c r="ET95" s="6"/>
      <c r="EU95" s="6" t="s">
        <v>443</v>
      </c>
      <c r="EV95" s="6" t="s">
        <v>641</v>
      </c>
      <c r="EW95" s="6"/>
      <c r="EX95" s="6" t="s">
        <v>669</v>
      </c>
      <c r="EY95" s="6">
        <v>0</v>
      </c>
      <c r="EZ95" s="6">
        <v>1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/>
      <c r="FH95" s="6" t="s">
        <v>909</v>
      </c>
      <c r="FI95" s="6">
        <v>0</v>
      </c>
      <c r="FJ95" s="6">
        <v>0</v>
      </c>
      <c r="FK95" s="6">
        <v>0</v>
      </c>
      <c r="FL95" s="6">
        <v>0</v>
      </c>
      <c r="FM95" s="6">
        <v>1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/>
      <c r="FT95" s="6" t="s">
        <v>556</v>
      </c>
      <c r="FU95" s="6" t="s">
        <v>448</v>
      </c>
      <c r="FV95" s="6"/>
      <c r="FW95" s="6" t="s">
        <v>449</v>
      </c>
      <c r="FX95" s="15" t="s">
        <v>450</v>
      </c>
      <c r="FY95" s="6" t="s">
        <v>500</v>
      </c>
      <c r="FZ95" s="6"/>
      <c r="GA95" s="6" t="s">
        <v>450</v>
      </c>
      <c r="GB95" s="6" t="s">
        <v>501</v>
      </c>
      <c r="GC95" s="6" t="s">
        <v>453</v>
      </c>
      <c r="GD95" s="6"/>
      <c r="GE95" s="6" t="s">
        <v>642</v>
      </c>
      <c r="GF95" s="6" t="s">
        <v>593</v>
      </c>
      <c r="GG95" s="6" t="s">
        <v>456</v>
      </c>
      <c r="GH95" s="15" t="s">
        <v>1984</v>
      </c>
      <c r="GI95" s="6" t="s">
        <v>458</v>
      </c>
      <c r="GJ95" s="6" t="s">
        <v>1985</v>
      </c>
      <c r="GK95" s="6" t="s">
        <v>460</v>
      </c>
      <c r="GL95" s="6" t="s">
        <v>461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1</v>
      </c>
      <c r="GS95" s="6">
        <v>0</v>
      </c>
      <c r="GT95" s="6"/>
      <c r="GU95" s="6" t="s">
        <v>534</v>
      </c>
      <c r="GV95" s="6" t="s">
        <v>463</v>
      </c>
      <c r="GW95" s="6" t="s">
        <v>464</v>
      </c>
      <c r="GX95" s="6">
        <v>1</v>
      </c>
      <c r="GY95" s="6">
        <v>0</v>
      </c>
      <c r="GZ95" s="6">
        <v>0</v>
      </c>
      <c r="HA95" s="6">
        <v>0</v>
      </c>
      <c r="HB95" s="6">
        <v>0</v>
      </c>
      <c r="HC95" s="6">
        <v>0</v>
      </c>
      <c r="HD95" s="6"/>
      <c r="HE95" s="6" t="s">
        <v>646</v>
      </c>
      <c r="HF95" s="6">
        <v>0</v>
      </c>
      <c r="HG95" s="6">
        <v>0</v>
      </c>
      <c r="HH95" s="6">
        <v>1</v>
      </c>
      <c r="HI95" s="6">
        <v>0</v>
      </c>
      <c r="HJ95" s="6">
        <v>0</v>
      </c>
      <c r="HK95" s="6">
        <v>0</v>
      </c>
      <c r="HL95" s="15"/>
      <c r="HM95" s="6" t="s">
        <v>466</v>
      </c>
      <c r="HN95" s="6"/>
      <c r="HO95" s="6" t="s">
        <v>1986</v>
      </c>
      <c r="HP95" s="6" t="s">
        <v>537</v>
      </c>
      <c r="HQ95" s="6" t="s">
        <v>539</v>
      </c>
      <c r="HR95" s="6" t="s">
        <v>1987</v>
      </c>
      <c r="HS95" s="6" t="s">
        <v>540</v>
      </c>
      <c r="HT95" s="6">
        <v>1</v>
      </c>
      <c r="HU95" s="6">
        <v>0</v>
      </c>
      <c r="HV95" s="6">
        <v>0</v>
      </c>
      <c r="HW95" s="6">
        <v>0</v>
      </c>
      <c r="HX95" s="6">
        <v>0</v>
      </c>
      <c r="HY95" s="6">
        <v>0</v>
      </c>
      <c r="HZ95" s="6"/>
      <c r="IA95" s="6" t="s">
        <v>112</v>
      </c>
      <c r="IB95" s="6">
        <v>0</v>
      </c>
      <c r="IC95" s="6">
        <v>1</v>
      </c>
      <c r="ID95" s="6">
        <v>0</v>
      </c>
      <c r="IE95" s="6">
        <v>0</v>
      </c>
      <c r="IF95" s="6">
        <v>0</v>
      </c>
      <c r="IG95" s="6">
        <v>0</v>
      </c>
      <c r="IH95" s="15" t="s">
        <v>1988</v>
      </c>
      <c r="II95" s="6" t="s">
        <v>426</v>
      </c>
      <c r="IJ95" s="6" t="s">
        <v>472</v>
      </c>
      <c r="IK95" s="6">
        <v>1</v>
      </c>
      <c r="IL95" s="6">
        <v>0</v>
      </c>
      <c r="IM95" s="6">
        <v>0</v>
      </c>
      <c r="IN95" s="6"/>
      <c r="IO95" s="6" t="s">
        <v>1989</v>
      </c>
      <c r="IP95" s="6">
        <v>0</v>
      </c>
      <c r="IQ95" s="6">
        <v>0</v>
      </c>
      <c r="IR95" s="6">
        <v>0</v>
      </c>
      <c r="IS95" s="6">
        <v>0</v>
      </c>
      <c r="IT95" s="6">
        <v>1</v>
      </c>
      <c r="IU95" s="6">
        <v>0</v>
      </c>
      <c r="IV95" s="6"/>
      <c r="IW95" s="6" t="s">
        <v>426</v>
      </c>
      <c r="IX95" s="6">
        <v>1</v>
      </c>
      <c r="IY95" s="6" t="s">
        <v>474</v>
      </c>
      <c r="IZ95" s="6" t="s">
        <v>475</v>
      </c>
      <c r="JA95" s="6" t="s">
        <v>426</v>
      </c>
      <c r="JB95" s="6" t="s">
        <v>476</v>
      </c>
      <c r="JC95" s="6"/>
      <c r="JD95" s="6"/>
      <c r="JE95" s="6"/>
      <c r="JF95" s="6"/>
      <c r="JG95" s="6"/>
      <c r="JH95" s="6"/>
      <c r="JI95" s="6"/>
      <c r="JJ95" s="6"/>
      <c r="JK95" s="6" t="s">
        <v>426</v>
      </c>
      <c r="JL95" s="6" t="s">
        <v>453</v>
      </c>
      <c r="JM95" s="6" t="s">
        <v>913</v>
      </c>
      <c r="JN95" s="6">
        <v>1</v>
      </c>
      <c r="JO95" s="6">
        <v>0</v>
      </c>
      <c r="JP95" s="6">
        <v>0</v>
      </c>
      <c r="JQ95" s="6">
        <v>0</v>
      </c>
      <c r="JR95" s="6">
        <v>0</v>
      </c>
      <c r="JS95" s="6">
        <v>0</v>
      </c>
      <c r="JT95" s="6"/>
      <c r="JU95" s="6" t="s">
        <v>895</v>
      </c>
      <c r="JV95" s="15" t="s">
        <v>1990</v>
      </c>
      <c r="JW95" s="94" t="s">
        <v>1991</v>
      </c>
      <c r="JX95" s="6" t="s">
        <v>1992</v>
      </c>
      <c r="JY95" s="6">
        <v>0.5980637</v>
      </c>
      <c r="JZ95" s="6">
        <v>34.4679639</v>
      </c>
      <c r="KA95" s="6">
        <v>1298.745</v>
      </c>
      <c r="KB95" s="15">
        <v>1.753</v>
      </c>
      <c r="KC95" s="15"/>
    </row>
    <row r="96" spans="1:289">
      <c r="A96" s="6" t="s">
        <v>755</v>
      </c>
      <c r="B96" s="6" t="s">
        <v>420</v>
      </c>
      <c r="C96" s="6" t="s">
        <v>1608</v>
      </c>
      <c r="D96" s="6" t="s">
        <v>1817</v>
      </c>
      <c r="E96" s="6" t="s">
        <v>1993</v>
      </c>
      <c r="F96" s="8" t="s">
        <v>483</v>
      </c>
      <c r="G96" s="6" t="s">
        <v>567</v>
      </c>
      <c r="H96" s="6" t="s">
        <v>425</v>
      </c>
      <c r="I96" s="15"/>
      <c r="J96" s="6" t="s">
        <v>426</v>
      </c>
      <c r="K96" s="6" t="s">
        <v>426</v>
      </c>
      <c r="L96" s="6" t="s">
        <v>426</v>
      </c>
      <c r="M96" s="6" t="s">
        <v>426</v>
      </c>
      <c r="N96" s="6" t="s">
        <v>426</v>
      </c>
      <c r="O96" s="6" t="s">
        <v>426</v>
      </c>
      <c r="P96" s="6" t="s">
        <v>426</v>
      </c>
      <c r="Q96" s="6" t="s">
        <v>426</v>
      </c>
      <c r="R96" s="6" t="s">
        <v>426</v>
      </c>
      <c r="S96" s="6" t="s">
        <v>426</v>
      </c>
      <c r="T96" s="6" t="s">
        <v>426</v>
      </c>
      <c r="U96" s="6" t="s">
        <v>426</v>
      </c>
      <c r="V96" s="6" t="s">
        <v>453</v>
      </c>
      <c r="W96" s="6" t="s">
        <v>453</v>
      </c>
      <c r="X96" s="6" t="s">
        <v>426</v>
      </c>
      <c r="Y96" s="6" t="s">
        <v>426</v>
      </c>
      <c r="Z96" s="6" t="s">
        <v>426</v>
      </c>
      <c r="AA96" s="6" t="s">
        <v>426</v>
      </c>
      <c r="AB96" s="6" t="s">
        <v>426</v>
      </c>
      <c r="AC96" s="15" t="s">
        <v>426</v>
      </c>
      <c r="AD96" s="6" t="s">
        <v>427</v>
      </c>
      <c r="AE96" s="6">
        <v>0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/>
      <c r="AN96" s="15"/>
      <c r="AO96" s="6" t="s">
        <v>426</v>
      </c>
      <c r="AP96" s="6" t="s">
        <v>901</v>
      </c>
      <c r="AQ96" s="6" t="s">
        <v>453</v>
      </c>
      <c r="AR96" s="6"/>
      <c r="AS96" s="6" t="s">
        <v>453</v>
      </c>
      <c r="AT96" s="6"/>
      <c r="AU96" s="6" t="s">
        <v>453</v>
      </c>
      <c r="AV96" s="6"/>
      <c r="AW96" s="6" t="s">
        <v>426</v>
      </c>
      <c r="AX96" s="6">
        <v>1</v>
      </c>
      <c r="AY96" s="6" t="s">
        <v>426</v>
      </c>
      <c r="AZ96" s="6">
        <v>9</v>
      </c>
      <c r="BA96" s="6" t="s">
        <v>453</v>
      </c>
      <c r="BB96" s="6"/>
      <c r="BC96" s="6" t="s">
        <v>426</v>
      </c>
      <c r="BD96" s="6">
        <v>1</v>
      </c>
      <c r="BE96" s="6" t="s">
        <v>453</v>
      </c>
      <c r="BF96" s="6"/>
      <c r="BG96" s="6" t="s">
        <v>426</v>
      </c>
      <c r="BH96" s="6">
        <v>1</v>
      </c>
      <c r="BI96" s="6" t="s">
        <v>426</v>
      </c>
      <c r="BJ96" s="6">
        <v>1</v>
      </c>
      <c r="BK96" s="6" t="s">
        <v>426</v>
      </c>
      <c r="BL96" s="6">
        <v>1</v>
      </c>
      <c r="BM96" s="6" t="s">
        <v>426</v>
      </c>
      <c r="BN96" s="6">
        <v>84</v>
      </c>
      <c r="BO96" s="6" t="s">
        <v>426</v>
      </c>
      <c r="BP96" s="6">
        <v>1</v>
      </c>
      <c r="BQ96" s="6" t="s">
        <v>426</v>
      </c>
      <c r="BR96" s="6">
        <v>100</v>
      </c>
      <c r="BS96" s="6" t="s">
        <v>453</v>
      </c>
      <c r="BT96" s="6"/>
      <c r="BU96" s="6" t="s">
        <v>426</v>
      </c>
      <c r="BV96" s="15">
        <v>1</v>
      </c>
      <c r="BW96" s="15" t="s">
        <v>806</v>
      </c>
      <c r="BX96" s="15" t="s">
        <v>429</v>
      </c>
      <c r="BY96" s="6" t="s">
        <v>430</v>
      </c>
      <c r="BZ96" s="6" t="s">
        <v>487</v>
      </c>
      <c r="CA96" s="6" t="s">
        <v>430</v>
      </c>
      <c r="CB96" s="6" t="s">
        <v>487</v>
      </c>
      <c r="CC96" s="6" t="s">
        <v>430</v>
      </c>
      <c r="CD96" s="6" t="s">
        <v>430</v>
      </c>
      <c r="CE96" s="6" t="s">
        <v>487</v>
      </c>
      <c r="CF96" s="6" t="s">
        <v>430</v>
      </c>
      <c r="CG96" s="6" t="s">
        <v>487</v>
      </c>
      <c r="CH96" s="6" t="s">
        <v>430</v>
      </c>
      <c r="CI96" s="6" t="s">
        <v>430</v>
      </c>
      <c r="CJ96" s="6" t="s">
        <v>430</v>
      </c>
      <c r="CK96" s="6" t="s">
        <v>430</v>
      </c>
      <c r="CL96" s="6" t="s">
        <v>430</v>
      </c>
      <c r="CM96" s="6" t="s">
        <v>430</v>
      </c>
      <c r="CN96" s="6" t="s">
        <v>487</v>
      </c>
      <c r="CO96" s="15" t="s">
        <v>430</v>
      </c>
      <c r="CP96" s="15" t="s">
        <v>488</v>
      </c>
      <c r="CQ96" s="6" t="s">
        <v>433</v>
      </c>
      <c r="CR96" s="15"/>
      <c r="CS96" s="6" t="s">
        <v>426</v>
      </c>
      <c r="CT96" s="6" t="s">
        <v>1994</v>
      </c>
      <c r="CU96" s="6" t="s">
        <v>901</v>
      </c>
      <c r="CV96" s="6" t="s">
        <v>662</v>
      </c>
      <c r="CW96" s="6" t="s">
        <v>1137</v>
      </c>
      <c r="CX96" s="15" t="s">
        <v>426</v>
      </c>
      <c r="CY96" s="6" t="s">
        <v>426</v>
      </c>
      <c r="CZ96" s="6" t="s">
        <v>1995</v>
      </c>
      <c r="DA96" s="6" t="s">
        <v>1188</v>
      </c>
      <c r="DB96" s="6" t="s">
        <v>1188</v>
      </c>
      <c r="DC96" s="6" t="s">
        <v>1241</v>
      </c>
      <c r="DD96" s="15" t="s">
        <v>1996</v>
      </c>
      <c r="DE96" s="15" t="s">
        <v>436</v>
      </c>
      <c r="DF96" s="6" t="s">
        <v>1997</v>
      </c>
      <c r="DG96" s="6">
        <v>1</v>
      </c>
      <c r="DH96" s="6">
        <v>1</v>
      </c>
      <c r="DI96" s="6">
        <v>1</v>
      </c>
      <c r="DJ96" s="6">
        <v>1</v>
      </c>
      <c r="DK96" s="6">
        <v>0</v>
      </c>
      <c r="DL96" s="6">
        <v>0</v>
      </c>
      <c r="DM96" s="6"/>
      <c r="DN96" s="6"/>
      <c r="DO96" s="6"/>
      <c r="DP96" s="6"/>
      <c r="DQ96" s="6"/>
      <c r="DR96" s="6"/>
      <c r="DS96" s="6"/>
      <c r="DT96" s="66"/>
      <c r="DU96" s="6" t="s">
        <v>438</v>
      </c>
      <c r="DV96" s="6" t="s">
        <v>426</v>
      </c>
      <c r="DW96" s="6" t="s">
        <v>439</v>
      </c>
      <c r="DX96" s="6" t="s">
        <v>440</v>
      </c>
      <c r="DY96" s="6"/>
      <c r="DZ96" s="6" t="s">
        <v>586</v>
      </c>
      <c r="EA96" s="6">
        <v>1</v>
      </c>
      <c r="EB96" s="6">
        <v>1</v>
      </c>
      <c r="EC96" s="6">
        <v>1</v>
      </c>
      <c r="ED96" s="6">
        <v>1</v>
      </c>
      <c r="EE96" s="6">
        <v>1</v>
      </c>
      <c r="EF96" s="6">
        <v>1</v>
      </c>
      <c r="EG96" s="6">
        <v>0</v>
      </c>
      <c r="EH96" s="6">
        <v>0</v>
      </c>
      <c r="EI96" s="6"/>
      <c r="EJ96" s="6" t="s">
        <v>697</v>
      </c>
      <c r="EK96" s="6">
        <v>1</v>
      </c>
      <c r="EL96" s="6">
        <v>1</v>
      </c>
      <c r="EM96" s="6">
        <v>1</v>
      </c>
      <c r="EN96" s="6">
        <v>1</v>
      </c>
      <c r="EO96" s="6">
        <v>1</v>
      </c>
      <c r="EP96" s="6">
        <v>1</v>
      </c>
      <c r="EQ96" s="6">
        <v>0</v>
      </c>
      <c r="ER96" s="6">
        <v>0</v>
      </c>
      <c r="ES96" s="6">
        <v>0</v>
      </c>
      <c r="ET96" s="6"/>
      <c r="EU96" s="6" t="s">
        <v>443</v>
      </c>
      <c r="EV96" s="6" t="s">
        <v>554</v>
      </c>
      <c r="EW96" s="6"/>
      <c r="EX96" s="6" t="s">
        <v>1123</v>
      </c>
      <c r="EY96" s="6">
        <v>1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/>
      <c r="FH96" s="6" t="s">
        <v>1998</v>
      </c>
      <c r="FI96" s="6">
        <v>1</v>
      </c>
      <c r="FJ96" s="6">
        <v>0</v>
      </c>
      <c r="FK96" s="6">
        <v>1</v>
      </c>
      <c r="FL96" s="6">
        <v>1</v>
      </c>
      <c r="FM96" s="6">
        <v>0</v>
      </c>
      <c r="FN96" s="6">
        <v>0</v>
      </c>
      <c r="FO96" s="6">
        <v>0</v>
      </c>
      <c r="FP96" s="6">
        <v>0</v>
      </c>
      <c r="FQ96" s="6">
        <v>1</v>
      </c>
      <c r="FR96" s="6">
        <v>0</v>
      </c>
      <c r="FS96" s="6"/>
      <c r="FT96" s="6" t="s">
        <v>447</v>
      </c>
      <c r="FU96" s="6" t="s">
        <v>499</v>
      </c>
      <c r="FV96" s="6"/>
      <c r="FW96" s="6" t="s">
        <v>449</v>
      </c>
      <c r="FX96" s="15" t="s">
        <v>450</v>
      </c>
      <c r="FY96" s="6" t="s">
        <v>451</v>
      </c>
      <c r="FZ96" s="6"/>
      <c r="GA96" s="6" t="s">
        <v>450</v>
      </c>
      <c r="GB96" s="6" t="s">
        <v>501</v>
      </c>
      <c r="GC96" s="6" t="s">
        <v>426</v>
      </c>
      <c r="GD96" s="6" t="s">
        <v>1999</v>
      </c>
      <c r="GE96" s="6" t="s">
        <v>454</v>
      </c>
      <c r="GF96" s="6" t="s">
        <v>2000</v>
      </c>
      <c r="GG96" s="6" t="s">
        <v>592</v>
      </c>
      <c r="GH96" s="15" t="s">
        <v>2001</v>
      </c>
      <c r="GI96" s="6" t="s">
        <v>458</v>
      </c>
      <c r="GJ96" s="6" t="s">
        <v>2002</v>
      </c>
      <c r="GK96" s="6" t="s">
        <v>460</v>
      </c>
      <c r="GL96" s="6" t="s">
        <v>2003</v>
      </c>
      <c r="GM96" s="6">
        <v>1</v>
      </c>
      <c r="GN96" s="6">
        <v>1</v>
      </c>
      <c r="GO96" s="6">
        <v>0</v>
      </c>
      <c r="GP96" s="6">
        <v>1</v>
      </c>
      <c r="GQ96" s="6">
        <v>0</v>
      </c>
      <c r="GR96" s="6">
        <v>0</v>
      </c>
      <c r="GS96" s="6">
        <v>0</v>
      </c>
      <c r="GT96" s="6"/>
      <c r="GU96" s="6" t="s">
        <v>534</v>
      </c>
      <c r="GV96" s="6" t="s">
        <v>595</v>
      </c>
      <c r="GW96" s="6" t="s">
        <v>464</v>
      </c>
      <c r="GX96" s="6">
        <v>1</v>
      </c>
      <c r="GY96" s="6">
        <v>0</v>
      </c>
      <c r="GZ96" s="6">
        <v>0</v>
      </c>
      <c r="HA96" s="6">
        <v>0</v>
      </c>
      <c r="HB96" s="6">
        <v>0</v>
      </c>
      <c r="HC96" s="6">
        <v>0</v>
      </c>
      <c r="HD96" s="6"/>
      <c r="HE96" s="6" t="s">
        <v>2004</v>
      </c>
      <c r="HF96" s="6">
        <v>1</v>
      </c>
      <c r="HG96" s="6">
        <v>1</v>
      </c>
      <c r="HH96" s="6">
        <v>1</v>
      </c>
      <c r="HI96" s="6">
        <v>1</v>
      </c>
      <c r="HJ96" s="6">
        <v>1</v>
      </c>
      <c r="HK96" s="6">
        <v>0</v>
      </c>
      <c r="HL96" s="15"/>
      <c r="HM96" s="6" t="s">
        <v>676</v>
      </c>
      <c r="HN96" s="6"/>
      <c r="HO96" s="6" t="s">
        <v>2005</v>
      </c>
      <c r="HP96" s="6" t="s">
        <v>561</v>
      </c>
      <c r="HQ96" s="6"/>
      <c r="HR96" s="6" t="s">
        <v>2006</v>
      </c>
      <c r="HS96" s="6" t="s">
        <v>508</v>
      </c>
      <c r="HT96" s="6">
        <v>0</v>
      </c>
      <c r="HU96" s="6">
        <v>0</v>
      </c>
      <c r="HV96" s="6">
        <v>1</v>
      </c>
      <c r="HW96" s="6">
        <v>0</v>
      </c>
      <c r="HX96" s="6">
        <v>0</v>
      </c>
      <c r="HY96" s="6">
        <v>0</v>
      </c>
      <c r="HZ96" s="6"/>
      <c r="IA96" s="6" t="s">
        <v>1284</v>
      </c>
      <c r="IB96" s="6">
        <v>1</v>
      </c>
      <c r="IC96" s="6">
        <v>1</v>
      </c>
      <c r="ID96" s="6">
        <v>1</v>
      </c>
      <c r="IE96" s="6">
        <v>1</v>
      </c>
      <c r="IF96" s="6">
        <v>0</v>
      </c>
      <c r="IG96" s="6">
        <v>0</v>
      </c>
      <c r="IH96" s="15" t="s">
        <v>2007</v>
      </c>
      <c r="II96" s="6" t="s">
        <v>426</v>
      </c>
      <c r="IJ96" s="6" t="s">
        <v>472</v>
      </c>
      <c r="IK96" s="6">
        <v>1</v>
      </c>
      <c r="IL96" s="6">
        <v>0</v>
      </c>
      <c r="IM96" s="6">
        <v>0</v>
      </c>
      <c r="IN96" s="6"/>
      <c r="IO96" s="6" t="s">
        <v>473</v>
      </c>
      <c r="IP96" s="6">
        <v>1</v>
      </c>
      <c r="IQ96" s="6">
        <v>0</v>
      </c>
      <c r="IR96" s="6">
        <v>0</v>
      </c>
      <c r="IS96" s="6">
        <v>0</v>
      </c>
      <c r="IT96" s="6">
        <v>0</v>
      </c>
      <c r="IU96" s="6">
        <v>0</v>
      </c>
      <c r="IV96" s="6"/>
      <c r="IW96" s="6" t="s">
        <v>426</v>
      </c>
      <c r="IX96" s="6">
        <v>1</v>
      </c>
      <c r="IY96" s="6" t="s">
        <v>474</v>
      </c>
      <c r="IZ96" s="6" t="s">
        <v>475</v>
      </c>
      <c r="JA96" s="6" t="s">
        <v>426</v>
      </c>
      <c r="JB96" s="6" t="s">
        <v>476</v>
      </c>
      <c r="JC96" s="6"/>
      <c r="JD96" s="6"/>
      <c r="JE96" s="6"/>
      <c r="JF96" s="6"/>
      <c r="JG96" s="6"/>
      <c r="JH96" s="6"/>
      <c r="JI96" s="6"/>
      <c r="JJ96" s="6"/>
      <c r="JK96" s="6" t="s">
        <v>426</v>
      </c>
      <c r="JL96" s="6" t="s">
        <v>453</v>
      </c>
      <c r="JM96" s="6" t="s">
        <v>1362</v>
      </c>
      <c r="JN96" s="6">
        <v>0</v>
      </c>
      <c r="JO96" s="6">
        <v>0</v>
      </c>
      <c r="JP96" s="6">
        <v>0</v>
      </c>
      <c r="JQ96" s="6">
        <v>0</v>
      </c>
      <c r="JR96" s="6">
        <v>0</v>
      </c>
      <c r="JS96" s="6">
        <v>1</v>
      </c>
      <c r="JT96" s="6" t="s">
        <v>2008</v>
      </c>
      <c r="JU96" s="6" t="s">
        <v>895</v>
      </c>
      <c r="JV96" s="15" t="s">
        <v>2009</v>
      </c>
      <c r="JW96" s="94" t="s">
        <v>2010</v>
      </c>
      <c r="JX96" s="6" t="s">
        <v>2011</v>
      </c>
      <c r="JY96" s="6">
        <v>0.5980894</v>
      </c>
      <c r="JZ96" s="6">
        <v>34.4678572</v>
      </c>
      <c r="KA96" s="6">
        <v>1306.845</v>
      </c>
      <c r="KB96" s="15">
        <v>1.695</v>
      </c>
      <c r="KC96" s="15"/>
    </row>
    <row r="97" spans="1:289">
      <c r="A97" s="6" t="s">
        <v>633</v>
      </c>
      <c r="B97" s="6" t="s">
        <v>420</v>
      </c>
      <c r="C97" s="6" t="s">
        <v>1608</v>
      </c>
      <c r="D97" s="6" t="s">
        <v>2012</v>
      </c>
      <c r="E97" s="6" t="s">
        <v>2013</v>
      </c>
      <c r="F97" s="8" t="s">
        <v>423</v>
      </c>
      <c r="G97" s="6" t="s">
        <v>567</v>
      </c>
      <c r="H97" s="6" t="s">
        <v>517</v>
      </c>
      <c r="I97" s="15"/>
      <c r="J97" s="6" t="s">
        <v>426</v>
      </c>
      <c r="K97" s="6" t="s">
        <v>426</v>
      </c>
      <c r="L97" s="6" t="s">
        <v>426</v>
      </c>
      <c r="M97" s="6" t="s">
        <v>426</v>
      </c>
      <c r="N97" s="6" t="s">
        <v>426</v>
      </c>
      <c r="O97" s="6" t="s">
        <v>426</v>
      </c>
      <c r="P97" s="6" t="s">
        <v>426</v>
      </c>
      <c r="Q97" s="6" t="s">
        <v>426</v>
      </c>
      <c r="R97" s="6" t="s">
        <v>426</v>
      </c>
      <c r="S97" s="6" t="s">
        <v>426</v>
      </c>
      <c r="T97" s="6" t="s">
        <v>426</v>
      </c>
      <c r="U97" s="6" t="s">
        <v>426</v>
      </c>
      <c r="V97" s="6" t="s">
        <v>426</v>
      </c>
      <c r="W97" s="6" t="s">
        <v>426</v>
      </c>
      <c r="X97" s="6" t="s">
        <v>426</v>
      </c>
      <c r="Y97" s="6" t="s">
        <v>426</v>
      </c>
      <c r="Z97" s="6" t="s">
        <v>426</v>
      </c>
      <c r="AA97" s="6" t="s">
        <v>426</v>
      </c>
      <c r="AB97" s="6" t="s">
        <v>426</v>
      </c>
      <c r="AC97" s="15" t="s">
        <v>426</v>
      </c>
      <c r="AD97" s="6" t="s">
        <v>427</v>
      </c>
      <c r="AE97" s="6">
        <v>0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/>
      <c r="AN97" s="15"/>
      <c r="AO97" s="6" t="s">
        <v>426</v>
      </c>
      <c r="AP97" s="6" t="s">
        <v>1367</v>
      </c>
      <c r="AQ97" s="6" t="s">
        <v>426</v>
      </c>
      <c r="AR97" s="6" t="s">
        <v>1367</v>
      </c>
      <c r="AS97" s="6" t="s">
        <v>426</v>
      </c>
      <c r="AT97" s="6">
        <v>0.5</v>
      </c>
      <c r="AU97" s="6" t="s">
        <v>426</v>
      </c>
      <c r="AV97" s="6">
        <v>0.5</v>
      </c>
      <c r="AW97" s="6" t="s">
        <v>426</v>
      </c>
      <c r="AX97" s="6">
        <v>0.5</v>
      </c>
      <c r="AY97" s="6" t="s">
        <v>426</v>
      </c>
      <c r="AZ97" s="6">
        <v>1</v>
      </c>
      <c r="BA97" s="6" t="s">
        <v>426</v>
      </c>
      <c r="BB97" s="6">
        <v>0.08</v>
      </c>
      <c r="BC97" s="6" t="s">
        <v>426</v>
      </c>
      <c r="BD97" s="6">
        <v>0.08</v>
      </c>
      <c r="BE97" s="6" t="s">
        <v>426</v>
      </c>
      <c r="BF97" s="6">
        <v>2</v>
      </c>
      <c r="BG97" s="6" t="s">
        <v>426</v>
      </c>
      <c r="BH97" s="6">
        <v>0.08</v>
      </c>
      <c r="BI97" s="6" t="s">
        <v>426</v>
      </c>
      <c r="BJ97" s="6">
        <v>0.5</v>
      </c>
      <c r="BK97" s="6" t="s">
        <v>426</v>
      </c>
      <c r="BL97" s="6">
        <v>0.5</v>
      </c>
      <c r="BM97" s="6" t="s">
        <v>426</v>
      </c>
      <c r="BN97" s="6">
        <v>20</v>
      </c>
      <c r="BO97" s="6" t="s">
        <v>426</v>
      </c>
      <c r="BP97" s="6">
        <v>0.1</v>
      </c>
      <c r="BQ97" s="6" t="s">
        <v>426</v>
      </c>
      <c r="BR97" s="6">
        <v>50</v>
      </c>
      <c r="BS97" s="6" t="s">
        <v>426</v>
      </c>
      <c r="BT97" s="6">
        <v>4</v>
      </c>
      <c r="BU97" s="6" t="s">
        <v>426</v>
      </c>
      <c r="BV97" s="15">
        <v>0.5</v>
      </c>
      <c r="BW97" s="15" t="s">
        <v>518</v>
      </c>
      <c r="BX97" s="15" t="s">
        <v>429</v>
      </c>
      <c r="BY97" s="6" t="s">
        <v>430</v>
      </c>
      <c r="BZ97" s="6" t="s">
        <v>430</v>
      </c>
      <c r="CA97" s="6" t="s">
        <v>430</v>
      </c>
      <c r="CB97" s="6" t="s">
        <v>430</v>
      </c>
      <c r="CC97" s="6" t="s">
        <v>430</v>
      </c>
      <c r="CD97" s="6" t="s">
        <v>430</v>
      </c>
      <c r="CE97" s="6" t="s">
        <v>430</v>
      </c>
      <c r="CF97" s="6" t="s">
        <v>430</v>
      </c>
      <c r="CG97" s="6" t="s">
        <v>430</v>
      </c>
      <c r="CH97" s="6" t="s">
        <v>430</v>
      </c>
      <c r="CI97" s="6" t="s">
        <v>430</v>
      </c>
      <c r="CJ97" s="6" t="s">
        <v>430</v>
      </c>
      <c r="CK97" s="6" t="s">
        <v>430</v>
      </c>
      <c r="CL97" s="6" t="s">
        <v>430</v>
      </c>
      <c r="CM97" s="6" t="s">
        <v>430</v>
      </c>
      <c r="CN97" s="6" t="s">
        <v>430</v>
      </c>
      <c r="CO97" s="15" t="s">
        <v>430</v>
      </c>
      <c r="CP97" s="15" t="s">
        <v>432</v>
      </c>
      <c r="CQ97" s="6" t="s">
        <v>433</v>
      </c>
      <c r="CR97" s="15"/>
      <c r="CS97" s="6" t="s">
        <v>426</v>
      </c>
      <c r="CT97" s="6" t="s">
        <v>1336</v>
      </c>
      <c r="CU97" s="6" t="s">
        <v>660</v>
      </c>
      <c r="CV97" s="6" t="s">
        <v>825</v>
      </c>
      <c r="CW97" s="6" t="s">
        <v>990</v>
      </c>
      <c r="CX97" s="15" t="s">
        <v>426</v>
      </c>
      <c r="CY97" s="6" t="s">
        <v>426</v>
      </c>
      <c r="CZ97" s="6" t="s">
        <v>1867</v>
      </c>
      <c r="DA97" s="6" t="s">
        <v>735</v>
      </c>
      <c r="DB97" s="6" t="s">
        <v>1273</v>
      </c>
      <c r="DC97" s="6" t="s">
        <v>1087</v>
      </c>
      <c r="DD97" s="15" t="s">
        <v>2014</v>
      </c>
      <c r="DE97" s="15" t="s">
        <v>436</v>
      </c>
      <c r="DF97" s="6" t="s">
        <v>522</v>
      </c>
      <c r="DG97" s="6">
        <v>0</v>
      </c>
      <c r="DH97" s="6">
        <v>1</v>
      </c>
      <c r="DI97" s="6">
        <v>0</v>
      </c>
      <c r="DJ97" s="6">
        <v>0</v>
      </c>
      <c r="DK97" s="6">
        <v>0</v>
      </c>
      <c r="DL97" s="6">
        <v>0</v>
      </c>
      <c r="DM97" s="6"/>
      <c r="DN97" s="6"/>
      <c r="DO97" s="6"/>
      <c r="DP97" s="6"/>
      <c r="DQ97" s="6"/>
      <c r="DR97" s="6"/>
      <c r="DS97" s="6"/>
      <c r="DT97" s="66"/>
      <c r="DU97" s="6" t="s">
        <v>523</v>
      </c>
      <c r="DV97" s="6" t="s">
        <v>426</v>
      </c>
      <c r="DW97" s="6" t="s">
        <v>439</v>
      </c>
      <c r="DX97" s="6" t="s">
        <v>440</v>
      </c>
      <c r="DY97" s="6"/>
      <c r="DZ97" s="6" t="s">
        <v>991</v>
      </c>
      <c r="EA97" s="6">
        <v>1</v>
      </c>
      <c r="EB97" s="6">
        <v>1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/>
      <c r="EJ97" s="6" t="s">
        <v>741</v>
      </c>
      <c r="EK97" s="6">
        <v>1</v>
      </c>
      <c r="EL97" s="6">
        <v>0</v>
      </c>
      <c r="EM97" s="6">
        <v>1</v>
      </c>
      <c r="EN97" s="6">
        <v>1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/>
      <c r="EU97" s="6" t="s">
        <v>443</v>
      </c>
      <c r="EV97" s="6" t="s">
        <v>554</v>
      </c>
      <c r="EW97" s="6"/>
      <c r="EX97" s="6" t="s">
        <v>2015</v>
      </c>
      <c r="EY97" s="6">
        <v>1</v>
      </c>
      <c r="EZ97" s="6">
        <v>0</v>
      </c>
      <c r="FA97" s="6">
        <v>1</v>
      </c>
      <c r="FB97" s="6">
        <v>1</v>
      </c>
      <c r="FC97" s="6">
        <v>0</v>
      </c>
      <c r="FD97" s="6">
        <v>0</v>
      </c>
      <c r="FE97" s="6">
        <v>0</v>
      </c>
      <c r="FF97" s="6">
        <v>0</v>
      </c>
      <c r="FG97" s="6"/>
      <c r="FH97" s="6" t="s">
        <v>2016</v>
      </c>
      <c r="FI97" s="6">
        <v>1</v>
      </c>
      <c r="FJ97" s="6">
        <v>0</v>
      </c>
      <c r="FK97" s="6">
        <v>0</v>
      </c>
      <c r="FL97" s="6">
        <v>1</v>
      </c>
      <c r="FM97" s="6">
        <v>1</v>
      </c>
      <c r="FN97" s="6">
        <v>1</v>
      </c>
      <c r="FO97" s="6">
        <v>0</v>
      </c>
      <c r="FP97" s="6">
        <v>0</v>
      </c>
      <c r="FQ97" s="6">
        <v>1</v>
      </c>
      <c r="FR97" s="6">
        <v>0</v>
      </c>
      <c r="FS97" s="6"/>
      <c r="FT97" s="6" t="s">
        <v>447</v>
      </c>
      <c r="FU97" s="6" t="s">
        <v>448</v>
      </c>
      <c r="FV97" s="6"/>
      <c r="FW97" s="6" t="s">
        <v>449</v>
      </c>
      <c r="FX97" s="15" t="s">
        <v>450</v>
      </c>
      <c r="FY97" s="6" t="s">
        <v>500</v>
      </c>
      <c r="FZ97" s="6"/>
      <c r="GA97" s="6" t="s">
        <v>450</v>
      </c>
      <c r="GB97" s="6" t="s">
        <v>501</v>
      </c>
      <c r="GC97" s="6" t="s">
        <v>453</v>
      </c>
      <c r="GD97" s="6"/>
      <c r="GE97" s="6" t="s">
        <v>454</v>
      </c>
      <c r="GF97" s="6" t="s">
        <v>2017</v>
      </c>
      <c r="GG97" s="6" t="s">
        <v>456</v>
      </c>
      <c r="GH97" s="15" t="s">
        <v>2018</v>
      </c>
      <c r="GI97" s="6" t="s">
        <v>458</v>
      </c>
      <c r="GJ97" s="6" t="s">
        <v>2019</v>
      </c>
      <c r="GK97" s="6" t="s">
        <v>460</v>
      </c>
      <c r="GL97" s="6" t="s">
        <v>461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1</v>
      </c>
      <c r="GS97" s="6">
        <v>0</v>
      </c>
      <c r="GT97" s="6"/>
      <c r="GU97" s="6" t="s">
        <v>534</v>
      </c>
      <c r="GV97" s="6" t="s">
        <v>595</v>
      </c>
      <c r="GW97" s="6" t="s">
        <v>2020</v>
      </c>
      <c r="GX97" s="6">
        <v>0</v>
      </c>
      <c r="GY97" s="6">
        <v>1</v>
      </c>
      <c r="GZ97" s="6">
        <v>0</v>
      </c>
      <c r="HA97" s="6">
        <v>0</v>
      </c>
      <c r="HB97" s="6">
        <v>0</v>
      </c>
      <c r="HC97" s="6">
        <v>1</v>
      </c>
      <c r="HD97" s="6" t="s">
        <v>1102</v>
      </c>
      <c r="HE97" s="6" t="s">
        <v>1942</v>
      </c>
      <c r="HF97" s="6">
        <v>1</v>
      </c>
      <c r="HG97" s="6">
        <v>0</v>
      </c>
      <c r="HH97" s="6">
        <v>1</v>
      </c>
      <c r="HI97" s="6">
        <v>1</v>
      </c>
      <c r="HJ97" s="6">
        <v>0</v>
      </c>
      <c r="HK97" s="6">
        <v>0</v>
      </c>
      <c r="HL97" s="15"/>
      <c r="HM97" s="6" t="s">
        <v>505</v>
      </c>
      <c r="HN97" s="6"/>
      <c r="HO97" s="6" t="s">
        <v>2021</v>
      </c>
      <c r="HP97" s="6" t="s">
        <v>468</v>
      </c>
      <c r="HQ97" s="6"/>
      <c r="HR97" s="6" t="s">
        <v>2022</v>
      </c>
      <c r="HS97" s="6" t="s">
        <v>508</v>
      </c>
      <c r="HT97" s="6">
        <v>0</v>
      </c>
      <c r="HU97" s="6">
        <v>0</v>
      </c>
      <c r="HV97" s="6">
        <v>1</v>
      </c>
      <c r="HW97" s="6">
        <v>0</v>
      </c>
      <c r="HX97" s="6">
        <v>0</v>
      </c>
      <c r="HY97" s="6">
        <v>0</v>
      </c>
      <c r="HZ97" s="6"/>
      <c r="IA97" s="6" t="s">
        <v>111</v>
      </c>
      <c r="IB97" s="6">
        <v>1</v>
      </c>
      <c r="IC97" s="6">
        <v>0</v>
      </c>
      <c r="ID97" s="6">
        <v>0</v>
      </c>
      <c r="IE97" s="6">
        <v>0</v>
      </c>
      <c r="IF97" s="6">
        <v>0</v>
      </c>
      <c r="IG97" s="6">
        <v>0</v>
      </c>
      <c r="IH97" s="15" t="s">
        <v>2023</v>
      </c>
      <c r="II97" s="6" t="s">
        <v>426</v>
      </c>
      <c r="IJ97" s="6" t="s">
        <v>472</v>
      </c>
      <c r="IK97" s="6">
        <v>1</v>
      </c>
      <c r="IL97" s="6">
        <v>0</v>
      </c>
      <c r="IM97" s="6">
        <v>0</v>
      </c>
      <c r="IN97" s="6"/>
      <c r="IO97" s="6" t="s">
        <v>473</v>
      </c>
      <c r="IP97" s="6">
        <v>1</v>
      </c>
      <c r="IQ97" s="6">
        <v>0</v>
      </c>
      <c r="IR97" s="6">
        <v>0</v>
      </c>
      <c r="IS97" s="6">
        <v>0</v>
      </c>
      <c r="IT97" s="6">
        <v>0</v>
      </c>
      <c r="IU97" s="6">
        <v>0</v>
      </c>
      <c r="IV97" s="6"/>
      <c r="IW97" s="6" t="s">
        <v>426</v>
      </c>
      <c r="IX97" s="6">
        <v>1</v>
      </c>
      <c r="IY97" s="6" t="s">
        <v>474</v>
      </c>
      <c r="IZ97" s="6" t="s">
        <v>475</v>
      </c>
      <c r="JA97" s="6" t="s">
        <v>426</v>
      </c>
      <c r="JB97" s="6" t="s">
        <v>476</v>
      </c>
      <c r="JC97" s="6"/>
      <c r="JD97" s="6"/>
      <c r="JE97" s="6"/>
      <c r="JF97" s="6"/>
      <c r="JG97" s="6"/>
      <c r="JH97" s="6"/>
      <c r="JI97" s="6"/>
      <c r="JJ97" s="6"/>
      <c r="JK97" s="6" t="s">
        <v>453</v>
      </c>
      <c r="JL97" s="6"/>
      <c r="JM97" s="6"/>
      <c r="JN97" s="6"/>
      <c r="JO97" s="6"/>
      <c r="JP97" s="6"/>
      <c r="JQ97" s="6"/>
      <c r="JR97" s="6"/>
      <c r="JS97" s="6"/>
      <c r="JT97" s="6"/>
      <c r="JU97" s="6" t="s">
        <v>477</v>
      </c>
      <c r="JV97" s="15"/>
      <c r="JW97" s="94" t="s">
        <v>2024</v>
      </c>
      <c r="JX97" s="6" t="s">
        <v>2025</v>
      </c>
      <c r="JY97" s="6">
        <v>0.5980882</v>
      </c>
      <c r="JZ97" s="6">
        <v>34.4677319</v>
      </c>
      <c r="KA97" s="6">
        <v>1305</v>
      </c>
      <c r="KB97" s="15">
        <v>5</v>
      </c>
      <c r="KC97" s="15"/>
    </row>
    <row r="98" spans="1:289">
      <c r="A98" s="6" t="s">
        <v>864</v>
      </c>
      <c r="B98" s="6" t="s">
        <v>420</v>
      </c>
      <c r="C98" s="6" t="s">
        <v>1608</v>
      </c>
      <c r="D98" s="6" t="s">
        <v>1877</v>
      </c>
      <c r="E98" s="6" t="s">
        <v>2026</v>
      </c>
      <c r="F98" s="8" t="s">
        <v>483</v>
      </c>
      <c r="G98" s="6" t="s">
        <v>484</v>
      </c>
      <c r="H98" s="6" t="s">
        <v>517</v>
      </c>
      <c r="I98" s="15"/>
      <c r="J98" s="6" t="s">
        <v>426</v>
      </c>
      <c r="K98" s="6" t="s">
        <v>426</v>
      </c>
      <c r="L98" s="6" t="s">
        <v>426</v>
      </c>
      <c r="M98" s="6" t="s">
        <v>426</v>
      </c>
      <c r="N98" s="6" t="s">
        <v>426</v>
      </c>
      <c r="O98" s="6" t="s">
        <v>426</v>
      </c>
      <c r="P98" s="6" t="s">
        <v>426</v>
      </c>
      <c r="Q98" s="6" t="s">
        <v>426</v>
      </c>
      <c r="R98" s="6" t="s">
        <v>426</v>
      </c>
      <c r="S98" s="6" t="s">
        <v>426</v>
      </c>
      <c r="T98" s="6" t="s">
        <v>426</v>
      </c>
      <c r="U98" s="6" t="s">
        <v>426</v>
      </c>
      <c r="V98" s="6" t="s">
        <v>426</v>
      </c>
      <c r="W98" s="6" t="s">
        <v>426</v>
      </c>
      <c r="X98" s="6" t="s">
        <v>426</v>
      </c>
      <c r="Y98" s="6" t="s">
        <v>426</v>
      </c>
      <c r="Z98" s="6" t="s">
        <v>426</v>
      </c>
      <c r="AA98" s="6" t="s">
        <v>426</v>
      </c>
      <c r="AB98" s="6" t="s">
        <v>426</v>
      </c>
      <c r="AC98" s="15" t="s">
        <v>426</v>
      </c>
      <c r="AD98" s="6" t="s">
        <v>427</v>
      </c>
      <c r="AE98" s="6">
        <v>0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0</v>
      </c>
      <c r="AL98" s="6">
        <v>0</v>
      </c>
      <c r="AM98" s="6"/>
      <c r="AN98" s="15"/>
      <c r="AO98" s="6" t="s">
        <v>426</v>
      </c>
      <c r="AP98" s="6" t="s">
        <v>766</v>
      </c>
      <c r="AQ98" s="6" t="s">
        <v>426</v>
      </c>
      <c r="AR98" s="6" t="s">
        <v>766</v>
      </c>
      <c r="AS98" s="6" t="s">
        <v>426</v>
      </c>
      <c r="AT98" s="6">
        <v>0.2</v>
      </c>
      <c r="AU98" s="6" t="s">
        <v>453</v>
      </c>
      <c r="AV98" s="6"/>
      <c r="AW98" s="6" t="s">
        <v>426</v>
      </c>
      <c r="AX98" s="6">
        <v>0.4</v>
      </c>
      <c r="AY98" s="6" t="s">
        <v>426</v>
      </c>
      <c r="AZ98" s="6">
        <v>1</v>
      </c>
      <c r="BA98" s="6" t="s">
        <v>426</v>
      </c>
      <c r="BB98" s="6">
        <v>0.1</v>
      </c>
      <c r="BC98" s="6" t="s">
        <v>426</v>
      </c>
      <c r="BD98" s="6">
        <v>0.1</v>
      </c>
      <c r="BE98" s="6" t="s">
        <v>453</v>
      </c>
      <c r="BF98" s="6"/>
      <c r="BG98" s="6" t="s">
        <v>426</v>
      </c>
      <c r="BH98" s="6">
        <v>0.1</v>
      </c>
      <c r="BI98" s="6" t="s">
        <v>426</v>
      </c>
      <c r="BJ98" s="6">
        <v>1</v>
      </c>
      <c r="BK98" s="6" t="s">
        <v>426</v>
      </c>
      <c r="BL98" s="6">
        <v>0.4</v>
      </c>
      <c r="BM98" s="6" t="s">
        <v>426</v>
      </c>
      <c r="BN98" s="6">
        <v>24</v>
      </c>
      <c r="BO98" s="6" t="s">
        <v>426</v>
      </c>
      <c r="BP98" s="6">
        <v>0.1</v>
      </c>
      <c r="BQ98" s="6" t="s">
        <v>426</v>
      </c>
      <c r="BR98" s="6">
        <v>2</v>
      </c>
      <c r="BS98" s="6" t="s">
        <v>453</v>
      </c>
      <c r="BT98" s="6"/>
      <c r="BU98" s="6" t="s">
        <v>426</v>
      </c>
      <c r="BV98" s="15">
        <v>0.2</v>
      </c>
      <c r="BW98" s="15" t="s">
        <v>428</v>
      </c>
      <c r="BX98" s="15" t="s">
        <v>429</v>
      </c>
      <c r="BY98" s="6" t="s">
        <v>430</v>
      </c>
      <c r="BZ98" s="6" t="s">
        <v>430</v>
      </c>
      <c r="CA98" s="6" t="s">
        <v>430</v>
      </c>
      <c r="CB98" s="6" t="s">
        <v>487</v>
      </c>
      <c r="CC98" s="6" t="s">
        <v>430</v>
      </c>
      <c r="CD98" s="6" t="s">
        <v>430</v>
      </c>
      <c r="CE98" s="6" t="s">
        <v>430</v>
      </c>
      <c r="CF98" s="6" t="s">
        <v>430</v>
      </c>
      <c r="CG98" s="6" t="s">
        <v>487</v>
      </c>
      <c r="CH98" s="6" t="s">
        <v>430</v>
      </c>
      <c r="CI98" s="6" t="s">
        <v>430</v>
      </c>
      <c r="CJ98" s="6" t="s">
        <v>431</v>
      </c>
      <c r="CK98" s="6" t="s">
        <v>430</v>
      </c>
      <c r="CL98" s="6" t="s">
        <v>430</v>
      </c>
      <c r="CM98" s="6" t="s">
        <v>486</v>
      </c>
      <c r="CN98" s="6" t="s">
        <v>487</v>
      </c>
      <c r="CO98" s="15" t="s">
        <v>430</v>
      </c>
      <c r="CP98" s="15" t="s">
        <v>636</v>
      </c>
      <c r="CQ98" s="6" t="s">
        <v>433</v>
      </c>
      <c r="CR98" s="15"/>
      <c r="CS98" s="6" t="s">
        <v>426</v>
      </c>
      <c r="CT98" s="6" t="s">
        <v>2027</v>
      </c>
      <c r="CU98" s="6" t="s">
        <v>2028</v>
      </c>
      <c r="CV98" s="6" t="s">
        <v>2029</v>
      </c>
      <c r="CW98" s="6" t="s">
        <v>2030</v>
      </c>
      <c r="CX98" s="15" t="s">
        <v>453</v>
      </c>
      <c r="CY98" s="6"/>
      <c r="CZ98" s="6"/>
      <c r="DA98" s="6"/>
      <c r="DB98" s="6"/>
      <c r="DC98" s="6"/>
      <c r="DD98" s="15"/>
      <c r="DE98" s="15" t="s">
        <v>436</v>
      </c>
      <c r="DF98" s="6" t="s">
        <v>611</v>
      </c>
      <c r="DG98" s="6">
        <v>1</v>
      </c>
      <c r="DH98" s="6">
        <v>1</v>
      </c>
      <c r="DI98" s="6">
        <v>0</v>
      </c>
      <c r="DJ98" s="6">
        <v>0</v>
      </c>
      <c r="DK98" s="6">
        <v>0</v>
      </c>
      <c r="DL98" s="6">
        <v>0</v>
      </c>
      <c r="DM98" s="6"/>
      <c r="DN98" s="6"/>
      <c r="DO98" s="6"/>
      <c r="DP98" s="6"/>
      <c r="DQ98" s="6"/>
      <c r="DR98" s="6"/>
      <c r="DS98" s="6"/>
      <c r="DT98" s="66"/>
      <c r="DU98" s="6" t="s">
        <v>438</v>
      </c>
      <c r="DV98" s="6" t="s">
        <v>426</v>
      </c>
      <c r="DW98" s="6" t="s">
        <v>439</v>
      </c>
      <c r="DX98" s="6" t="s">
        <v>491</v>
      </c>
      <c r="DY98" s="6"/>
      <c r="DZ98" s="6" t="s">
        <v>768</v>
      </c>
      <c r="EA98" s="6">
        <v>1</v>
      </c>
      <c r="EB98" s="6">
        <v>1</v>
      </c>
      <c r="EC98" s="6">
        <v>1</v>
      </c>
      <c r="ED98" s="6">
        <v>1</v>
      </c>
      <c r="EE98" s="6">
        <v>1</v>
      </c>
      <c r="EF98" s="6">
        <v>0</v>
      </c>
      <c r="EG98" s="6">
        <v>0</v>
      </c>
      <c r="EH98" s="6">
        <v>0</v>
      </c>
      <c r="EI98" s="6"/>
      <c r="EJ98" s="6" t="s">
        <v>2031</v>
      </c>
      <c r="EK98" s="6">
        <v>1</v>
      </c>
      <c r="EL98" s="6">
        <v>1</v>
      </c>
      <c r="EM98" s="6">
        <v>1</v>
      </c>
      <c r="EN98" s="6">
        <v>1</v>
      </c>
      <c r="EO98" s="6">
        <v>1</v>
      </c>
      <c r="EP98" s="6">
        <v>1</v>
      </c>
      <c r="EQ98" s="6">
        <v>1</v>
      </c>
      <c r="ER98" s="6">
        <v>0</v>
      </c>
      <c r="ES98" s="6">
        <v>0</v>
      </c>
      <c r="ET98" s="6"/>
      <c r="EU98" s="6" t="s">
        <v>443</v>
      </c>
      <c r="EV98" s="6" t="s">
        <v>616</v>
      </c>
      <c r="EW98" s="6"/>
      <c r="EX98" s="6" t="s">
        <v>2032</v>
      </c>
      <c r="EY98" s="6">
        <v>1</v>
      </c>
      <c r="EZ98" s="6">
        <v>1</v>
      </c>
      <c r="FA98" s="6">
        <v>1</v>
      </c>
      <c r="FB98" s="6">
        <v>1</v>
      </c>
      <c r="FC98" s="6">
        <v>1</v>
      </c>
      <c r="FD98" s="6">
        <v>0</v>
      </c>
      <c r="FE98" s="6">
        <v>0</v>
      </c>
      <c r="FF98" s="6">
        <v>0</v>
      </c>
      <c r="FG98" s="6"/>
      <c r="FH98" s="6" t="s">
        <v>742</v>
      </c>
      <c r="FI98" s="6">
        <v>1</v>
      </c>
      <c r="FJ98" s="6">
        <v>0</v>
      </c>
      <c r="FK98" s="6">
        <v>0</v>
      </c>
      <c r="FL98" s="6">
        <v>0</v>
      </c>
      <c r="FM98" s="6">
        <v>1</v>
      </c>
      <c r="FN98" s="6">
        <v>1</v>
      </c>
      <c r="FO98" s="6">
        <v>0</v>
      </c>
      <c r="FP98" s="6">
        <v>0</v>
      </c>
      <c r="FQ98" s="6">
        <v>0</v>
      </c>
      <c r="FR98" s="6">
        <v>0</v>
      </c>
      <c r="FS98" s="6"/>
      <c r="FT98" s="6" t="s">
        <v>556</v>
      </c>
      <c r="FU98" s="6" t="s">
        <v>448</v>
      </c>
      <c r="FV98" s="6"/>
      <c r="FW98" s="6" t="s">
        <v>449</v>
      </c>
      <c r="FX98" s="15" t="s">
        <v>528</v>
      </c>
      <c r="FY98" s="6" t="s">
        <v>529</v>
      </c>
      <c r="FZ98" s="6"/>
      <c r="GA98" s="6" t="s">
        <v>450</v>
      </c>
      <c r="GB98" s="6" t="s">
        <v>501</v>
      </c>
      <c r="GC98" s="6" t="s">
        <v>453</v>
      </c>
      <c r="GD98" s="6"/>
      <c r="GE98" s="6" t="s">
        <v>454</v>
      </c>
      <c r="GF98" s="6" t="s">
        <v>2033</v>
      </c>
      <c r="GG98" s="6" t="s">
        <v>592</v>
      </c>
      <c r="GH98" s="15" t="s">
        <v>2034</v>
      </c>
      <c r="GI98" s="6" t="s">
        <v>458</v>
      </c>
      <c r="GJ98" s="6" t="s">
        <v>2035</v>
      </c>
      <c r="GK98" s="6" t="s">
        <v>460</v>
      </c>
      <c r="GL98" s="6" t="s">
        <v>461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1</v>
      </c>
      <c r="GS98" s="6">
        <v>0</v>
      </c>
      <c r="GT98" s="6"/>
      <c r="GU98" s="6" t="s">
        <v>534</v>
      </c>
      <c r="GV98" s="6" t="s">
        <v>595</v>
      </c>
      <c r="GW98" s="6" t="s">
        <v>464</v>
      </c>
      <c r="GX98" s="6">
        <v>1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/>
      <c r="HE98" s="6" t="s">
        <v>504</v>
      </c>
      <c r="HF98" s="6">
        <v>1</v>
      </c>
      <c r="HG98" s="6">
        <v>1</v>
      </c>
      <c r="HH98" s="6">
        <v>1</v>
      </c>
      <c r="HI98" s="6">
        <v>1</v>
      </c>
      <c r="HJ98" s="6">
        <v>0</v>
      </c>
      <c r="HK98" s="6">
        <v>0</v>
      </c>
      <c r="HL98" s="15"/>
      <c r="HM98" s="6" t="s">
        <v>676</v>
      </c>
      <c r="HN98" s="6"/>
      <c r="HO98" s="6" t="s">
        <v>2036</v>
      </c>
      <c r="HP98" s="6" t="s">
        <v>537</v>
      </c>
      <c r="HQ98" s="6" t="s">
        <v>2037</v>
      </c>
      <c r="HR98" s="6" t="s">
        <v>2038</v>
      </c>
      <c r="HS98" s="6" t="s">
        <v>540</v>
      </c>
      <c r="HT98" s="6">
        <v>1</v>
      </c>
      <c r="HU98" s="6">
        <v>0</v>
      </c>
      <c r="HV98" s="6">
        <v>0</v>
      </c>
      <c r="HW98" s="6">
        <v>0</v>
      </c>
      <c r="HX98" s="6">
        <v>0</v>
      </c>
      <c r="HY98" s="6">
        <v>0</v>
      </c>
      <c r="HZ98" s="6"/>
      <c r="IA98" s="6" t="s">
        <v>2039</v>
      </c>
      <c r="IB98" s="6">
        <v>1</v>
      </c>
      <c r="IC98" s="6">
        <v>1</v>
      </c>
      <c r="ID98" s="6">
        <v>0</v>
      </c>
      <c r="IE98" s="6">
        <v>0</v>
      </c>
      <c r="IF98" s="6">
        <v>1</v>
      </c>
      <c r="IG98" s="6">
        <v>0</v>
      </c>
      <c r="IH98" s="15" t="s">
        <v>1557</v>
      </c>
      <c r="II98" s="6" t="s">
        <v>426</v>
      </c>
      <c r="IJ98" s="6" t="s">
        <v>602</v>
      </c>
      <c r="IK98" s="6">
        <v>1</v>
      </c>
      <c r="IL98" s="6">
        <v>1</v>
      </c>
      <c r="IM98" s="6">
        <v>0</v>
      </c>
      <c r="IN98" s="6"/>
      <c r="IO98" s="6" t="s">
        <v>473</v>
      </c>
      <c r="IP98" s="6">
        <v>1</v>
      </c>
      <c r="IQ98" s="6">
        <v>0</v>
      </c>
      <c r="IR98" s="6">
        <v>0</v>
      </c>
      <c r="IS98" s="6">
        <v>0</v>
      </c>
      <c r="IT98" s="6">
        <v>0</v>
      </c>
      <c r="IU98" s="6">
        <v>0</v>
      </c>
      <c r="IV98" s="6"/>
      <c r="IW98" s="6" t="s">
        <v>453</v>
      </c>
      <c r="IX98" s="6"/>
      <c r="IY98" s="6" t="s">
        <v>510</v>
      </c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 t="s">
        <v>426</v>
      </c>
      <c r="JK98" s="6" t="s">
        <v>426</v>
      </c>
      <c r="JL98" s="6" t="s">
        <v>453</v>
      </c>
      <c r="JM98" s="6" t="s">
        <v>894</v>
      </c>
      <c r="JN98" s="6">
        <v>0</v>
      </c>
      <c r="JO98" s="6">
        <v>1</v>
      </c>
      <c r="JP98" s="6">
        <v>0</v>
      </c>
      <c r="JQ98" s="6">
        <v>0</v>
      </c>
      <c r="JR98" s="6">
        <v>0</v>
      </c>
      <c r="JS98" s="6">
        <v>0</v>
      </c>
      <c r="JT98" s="6"/>
      <c r="JU98" s="6" t="s">
        <v>895</v>
      </c>
      <c r="JV98" s="15" t="s">
        <v>2040</v>
      </c>
      <c r="JW98" s="94" t="s">
        <v>2041</v>
      </c>
      <c r="JX98" s="6" t="s">
        <v>2042</v>
      </c>
      <c r="JY98" s="6">
        <v>0.5951609</v>
      </c>
      <c r="JZ98" s="6">
        <v>34.4779027</v>
      </c>
      <c r="KA98" s="6">
        <v>5301.055</v>
      </c>
      <c r="KB98" s="15">
        <v>1.269</v>
      </c>
      <c r="KC98" s="15"/>
    </row>
    <row r="99" spans="1:289">
      <c r="A99" s="6" t="s">
        <v>547</v>
      </c>
      <c r="B99" s="6" t="s">
        <v>420</v>
      </c>
      <c r="C99" s="6" t="s">
        <v>1608</v>
      </c>
      <c r="D99" s="6" t="s">
        <v>2043</v>
      </c>
      <c r="E99" s="6" t="s">
        <v>2044</v>
      </c>
      <c r="F99" s="8" t="s">
        <v>483</v>
      </c>
      <c r="G99" s="6" t="s">
        <v>567</v>
      </c>
      <c r="H99" s="6" t="s">
        <v>425</v>
      </c>
      <c r="I99" s="15"/>
      <c r="J99" s="6" t="s">
        <v>426</v>
      </c>
      <c r="K99" s="6" t="s">
        <v>426</v>
      </c>
      <c r="L99" s="6" t="s">
        <v>426</v>
      </c>
      <c r="M99" s="6" t="s">
        <v>426</v>
      </c>
      <c r="N99" s="6" t="s">
        <v>426</v>
      </c>
      <c r="O99" s="6" t="s">
        <v>426</v>
      </c>
      <c r="P99" s="6" t="s">
        <v>426</v>
      </c>
      <c r="Q99" s="6" t="s">
        <v>426</v>
      </c>
      <c r="R99" s="6" t="s">
        <v>426</v>
      </c>
      <c r="S99" s="6" t="s">
        <v>426</v>
      </c>
      <c r="T99" s="6" t="s">
        <v>426</v>
      </c>
      <c r="U99" s="6" t="s">
        <v>426</v>
      </c>
      <c r="V99" s="6" t="s">
        <v>426</v>
      </c>
      <c r="W99" s="6" t="s">
        <v>426</v>
      </c>
      <c r="X99" s="6" t="s">
        <v>426</v>
      </c>
      <c r="Y99" s="6" t="s">
        <v>426</v>
      </c>
      <c r="Z99" s="6" t="s">
        <v>426</v>
      </c>
      <c r="AA99" s="6" t="s">
        <v>426</v>
      </c>
      <c r="AB99" s="6" t="s">
        <v>426</v>
      </c>
      <c r="AC99" s="15" t="s">
        <v>426</v>
      </c>
      <c r="AD99" s="6" t="s">
        <v>427</v>
      </c>
      <c r="AE99" s="6">
        <v>0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0</v>
      </c>
      <c r="AM99" s="6"/>
      <c r="AN99" s="15"/>
      <c r="AO99" s="6" t="s">
        <v>426</v>
      </c>
      <c r="AP99" s="6" t="s">
        <v>1188</v>
      </c>
      <c r="AQ99" s="6" t="s">
        <v>426</v>
      </c>
      <c r="AR99" s="6" t="s">
        <v>920</v>
      </c>
      <c r="AS99" s="6" t="s">
        <v>426</v>
      </c>
      <c r="AT99" s="6">
        <v>0.2</v>
      </c>
      <c r="AU99" s="6" t="s">
        <v>453</v>
      </c>
      <c r="AV99" s="6"/>
      <c r="AW99" s="6" t="s">
        <v>426</v>
      </c>
      <c r="AX99" s="6">
        <v>0.2</v>
      </c>
      <c r="AY99" s="6" t="s">
        <v>426</v>
      </c>
      <c r="AZ99" s="6">
        <v>1</v>
      </c>
      <c r="BA99" s="6" t="s">
        <v>426</v>
      </c>
      <c r="BB99" s="6">
        <v>0.4</v>
      </c>
      <c r="BC99" s="6" t="s">
        <v>426</v>
      </c>
      <c r="BD99" s="6">
        <v>0.2</v>
      </c>
      <c r="BE99" s="6" t="s">
        <v>426</v>
      </c>
      <c r="BF99" s="6">
        <v>3</v>
      </c>
      <c r="BG99" s="6" t="s">
        <v>426</v>
      </c>
      <c r="BH99" s="6">
        <v>0.8</v>
      </c>
      <c r="BI99" s="6" t="s">
        <v>426</v>
      </c>
      <c r="BJ99" s="6">
        <v>0.8</v>
      </c>
      <c r="BK99" s="6" t="s">
        <v>426</v>
      </c>
      <c r="BL99" s="6">
        <v>0.4</v>
      </c>
      <c r="BM99" s="6" t="s">
        <v>426</v>
      </c>
      <c r="BN99" s="6">
        <v>20</v>
      </c>
      <c r="BO99" s="6" t="s">
        <v>426</v>
      </c>
      <c r="BP99" s="6">
        <v>0.2</v>
      </c>
      <c r="BQ99" s="6" t="s">
        <v>426</v>
      </c>
      <c r="BR99" s="6">
        <v>20</v>
      </c>
      <c r="BS99" s="6" t="s">
        <v>426</v>
      </c>
      <c r="BT99" s="6">
        <v>20</v>
      </c>
      <c r="BU99" s="6" t="s">
        <v>426</v>
      </c>
      <c r="BV99" s="15">
        <v>0.8</v>
      </c>
      <c r="BW99" s="15" t="s">
        <v>880</v>
      </c>
      <c r="BX99" s="15" t="s">
        <v>429</v>
      </c>
      <c r="BY99" s="6" t="s">
        <v>430</v>
      </c>
      <c r="BZ99" s="6" t="s">
        <v>430</v>
      </c>
      <c r="CA99" s="6" t="s">
        <v>430</v>
      </c>
      <c r="CB99" s="6" t="s">
        <v>431</v>
      </c>
      <c r="CC99" s="6" t="s">
        <v>430</v>
      </c>
      <c r="CD99" s="6" t="s">
        <v>430</v>
      </c>
      <c r="CE99" s="6" t="s">
        <v>430</v>
      </c>
      <c r="CF99" s="6" t="s">
        <v>430</v>
      </c>
      <c r="CG99" s="6" t="s">
        <v>430</v>
      </c>
      <c r="CH99" s="6" t="s">
        <v>430</v>
      </c>
      <c r="CI99" s="6" t="s">
        <v>430</v>
      </c>
      <c r="CJ99" s="6" t="s">
        <v>430</v>
      </c>
      <c r="CK99" s="6" t="s">
        <v>430</v>
      </c>
      <c r="CL99" s="6" t="s">
        <v>430</v>
      </c>
      <c r="CM99" s="6" t="s">
        <v>430</v>
      </c>
      <c r="CN99" s="6" t="s">
        <v>430</v>
      </c>
      <c r="CO99" s="15" t="s">
        <v>430</v>
      </c>
      <c r="CP99" s="15" t="s">
        <v>432</v>
      </c>
      <c r="CQ99" s="6" t="s">
        <v>433</v>
      </c>
      <c r="CR99" s="15"/>
      <c r="CS99" s="6" t="s">
        <v>426</v>
      </c>
      <c r="CT99" s="6" t="s">
        <v>2045</v>
      </c>
      <c r="CU99" s="6" t="s">
        <v>809</v>
      </c>
      <c r="CV99" s="6" t="s">
        <v>845</v>
      </c>
      <c r="CW99" s="6" t="s">
        <v>2046</v>
      </c>
      <c r="CX99" s="15" t="s">
        <v>426</v>
      </c>
      <c r="CY99" s="6" t="s">
        <v>426</v>
      </c>
      <c r="CZ99" s="6" t="s">
        <v>2047</v>
      </c>
      <c r="DA99" s="6" t="s">
        <v>1241</v>
      </c>
      <c r="DB99" s="6" t="s">
        <v>1024</v>
      </c>
      <c r="DC99" s="6" t="s">
        <v>733</v>
      </c>
      <c r="DD99" s="15" t="s">
        <v>662</v>
      </c>
      <c r="DE99" s="15" t="s">
        <v>436</v>
      </c>
      <c r="DF99" s="6" t="s">
        <v>522</v>
      </c>
      <c r="DG99" s="6">
        <v>0</v>
      </c>
      <c r="DH99" s="6">
        <v>1</v>
      </c>
      <c r="DI99" s="6">
        <v>0</v>
      </c>
      <c r="DJ99" s="6">
        <v>0</v>
      </c>
      <c r="DK99" s="6">
        <v>0</v>
      </c>
      <c r="DL99" s="6">
        <v>0</v>
      </c>
      <c r="DM99" s="6"/>
      <c r="DN99" s="6"/>
      <c r="DO99" s="6"/>
      <c r="DP99" s="6"/>
      <c r="DQ99" s="6"/>
      <c r="DR99" s="6"/>
      <c r="DS99" s="6"/>
      <c r="DT99" s="66"/>
      <c r="DU99" s="6" t="s">
        <v>438</v>
      </c>
      <c r="DV99" s="6" t="s">
        <v>426</v>
      </c>
      <c r="DW99" s="6" t="s">
        <v>439</v>
      </c>
      <c r="DX99" s="6" t="s">
        <v>440</v>
      </c>
      <c r="DY99" s="6"/>
      <c r="DZ99" s="6" t="s">
        <v>441</v>
      </c>
      <c r="EA99" s="6">
        <v>1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/>
      <c r="EJ99" s="6" t="s">
        <v>811</v>
      </c>
      <c r="EK99" s="6">
        <v>1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/>
      <c r="EU99" s="6" t="s">
        <v>443</v>
      </c>
      <c r="EV99" s="6" t="s">
        <v>554</v>
      </c>
      <c r="EW99" s="6"/>
      <c r="EX99" s="6" t="s">
        <v>1123</v>
      </c>
      <c r="EY99" s="6">
        <v>1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/>
      <c r="FH99" s="6" t="s">
        <v>618</v>
      </c>
      <c r="FI99" s="6">
        <v>0</v>
      </c>
      <c r="FJ99" s="6">
        <v>0</v>
      </c>
      <c r="FK99" s="6">
        <v>0</v>
      </c>
      <c r="FL99" s="6">
        <v>1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/>
      <c r="FT99" s="6" t="s">
        <v>556</v>
      </c>
      <c r="FU99" s="6" t="s">
        <v>499</v>
      </c>
      <c r="FV99" s="6"/>
      <c r="FW99" s="6" t="s">
        <v>449</v>
      </c>
      <c r="FX99" s="15" t="s">
        <v>450</v>
      </c>
      <c r="FY99" s="6" t="s">
        <v>529</v>
      </c>
      <c r="FZ99" s="6"/>
      <c r="GA99" s="6" t="s">
        <v>450</v>
      </c>
      <c r="GB99" s="6" t="s">
        <v>501</v>
      </c>
      <c r="GC99" s="6" t="s">
        <v>453</v>
      </c>
      <c r="GD99" s="6"/>
      <c r="GE99" s="6" t="s">
        <v>454</v>
      </c>
      <c r="GF99" s="6" t="s">
        <v>2048</v>
      </c>
      <c r="GG99" s="6" t="s">
        <v>456</v>
      </c>
      <c r="GH99" s="15" t="s">
        <v>2049</v>
      </c>
      <c r="GI99" s="6" t="s">
        <v>458</v>
      </c>
      <c r="GJ99" s="6" t="s">
        <v>2050</v>
      </c>
      <c r="GK99" s="6" t="s">
        <v>460</v>
      </c>
      <c r="GL99" s="6" t="s">
        <v>461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1</v>
      </c>
      <c r="GS99" s="6">
        <v>0</v>
      </c>
      <c r="GT99" s="6"/>
      <c r="GU99" s="6" t="s">
        <v>534</v>
      </c>
      <c r="GV99" s="6" t="s">
        <v>559</v>
      </c>
      <c r="GW99" s="6" t="s">
        <v>464</v>
      </c>
      <c r="GX99" s="6">
        <v>1</v>
      </c>
      <c r="GY99" s="6">
        <v>0</v>
      </c>
      <c r="GZ99" s="6">
        <v>0</v>
      </c>
      <c r="HA99" s="6">
        <v>0</v>
      </c>
      <c r="HB99" s="6">
        <v>0</v>
      </c>
      <c r="HC99" s="6">
        <v>0</v>
      </c>
      <c r="HD99" s="6"/>
      <c r="HE99" s="6" t="s">
        <v>646</v>
      </c>
      <c r="HF99" s="6">
        <v>0</v>
      </c>
      <c r="HG99" s="6">
        <v>0</v>
      </c>
      <c r="HH99" s="6">
        <v>1</v>
      </c>
      <c r="HI99" s="6">
        <v>0</v>
      </c>
      <c r="HJ99" s="6">
        <v>0</v>
      </c>
      <c r="HK99" s="6">
        <v>0</v>
      </c>
      <c r="HL99" s="15"/>
      <c r="HM99" s="6" t="s">
        <v>466</v>
      </c>
      <c r="HN99" s="6"/>
      <c r="HO99" s="6" t="s">
        <v>2051</v>
      </c>
      <c r="HP99" s="6" t="s">
        <v>1668</v>
      </c>
      <c r="HQ99" s="6"/>
      <c r="HR99" s="6" t="s">
        <v>2052</v>
      </c>
      <c r="HS99" s="6" t="s">
        <v>470</v>
      </c>
      <c r="HT99" s="6">
        <v>0</v>
      </c>
      <c r="HU99" s="6">
        <v>0</v>
      </c>
      <c r="HV99" s="6">
        <v>0</v>
      </c>
      <c r="HW99" s="6">
        <v>0</v>
      </c>
      <c r="HX99" s="6">
        <v>1</v>
      </c>
      <c r="HY99" s="6">
        <v>0</v>
      </c>
      <c r="HZ99" s="6"/>
      <c r="IA99" s="6" t="s">
        <v>112</v>
      </c>
      <c r="IB99" s="6">
        <v>0</v>
      </c>
      <c r="IC99" s="6">
        <v>1</v>
      </c>
      <c r="ID99" s="6">
        <v>0</v>
      </c>
      <c r="IE99" s="6">
        <v>0</v>
      </c>
      <c r="IF99" s="6">
        <v>0</v>
      </c>
      <c r="IG99" s="6">
        <v>0</v>
      </c>
      <c r="IH99" s="15" t="s">
        <v>2053</v>
      </c>
      <c r="II99" s="6" t="s">
        <v>426</v>
      </c>
      <c r="IJ99" s="6" t="s">
        <v>472</v>
      </c>
      <c r="IK99" s="6">
        <v>1</v>
      </c>
      <c r="IL99" s="6">
        <v>0</v>
      </c>
      <c r="IM99" s="6">
        <v>0</v>
      </c>
      <c r="IN99" s="6"/>
      <c r="IO99" s="6" t="s">
        <v>473</v>
      </c>
      <c r="IP99" s="6">
        <v>1</v>
      </c>
      <c r="IQ99" s="6">
        <v>0</v>
      </c>
      <c r="IR99" s="6">
        <v>0</v>
      </c>
      <c r="IS99" s="6">
        <v>0</v>
      </c>
      <c r="IT99" s="6">
        <v>0</v>
      </c>
      <c r="IU99" s="6">
        <v>0</v>
      </c>
      <c r="IV99" s="6"/>
      <c r="IW99" s="6" t="s">
        <v>426</v>
      </c>
      <c r="IX99" s="6">
        <v>1</v>
      </c>
      <c r="IY99" s="6" t="s">
        <v>474</v>
      </c>
      <c r="IZ99" s="6" t="s">
        <v>475</v>
      </c>
      <c r="JA99" s="6" t="s">
        <v>426</v>
      </c>
      <c r="JB99" s="6" t="s">
        <v>476</v>
      </c>
      <c r="JC99" s="6"/>
      <c r="JD99" s="6"/>
      <c r="JE99" s="6"/>
      <c r="JF99" s="6"/>
      <c r="JG99" s="6"/>
      <c r="JH99" s="6"/>
      <c r="JI99" s="6"/>
      <c r="JJ99" s="6"/>
      <c r="JK99" s="6" t="s">
        <v>426</v>
      </c>
      <c r="JL99" s="6" t="s">
        <v>426</v>
      </c>
      <c r="JM99" s="6"/>
      <c r="JN99" s="6"/>
      <c r="JO99" s="6"/>
      <c r="JP99" s="6"/>
      <c r="JQ99" s="6"/>
      <c r="JR99" s="6"/>
      <c r="JS99" s="6"/>
      <c r="JT99" s="6"/>
      <c r="JU99" s="6" t="s">
        <v>895</v>
      </c>
      <c r="JV99" s="15" t="s">
        <v>1927</v>
      </c>
      <c r="JW99" s="94" t="s">
        <v>2054</v>
      </c>
      <c r="JX99" s="6" t="s">
        <v>2055</v>
      </c>
      <c r="JY99" s="6">
        <v>0.5981601</v>
      </c>
      <c r="JZ99" s="6">
        <v>34.4679245</v>
      </c>
      <c r="KA99" s="6">
        <v>1313.4</v>
      </c>
      <c r="KB99" s="15">
        <v>3.8</v>
      </c>
      <c r="KC99" s="15"/>
    </row>
    <row r="100" spans="1:289">
      <c r="A100" s="6" t="s">
        <v>1301</v>
      </c>
      <c r="B100" s="6" t="s">
        <v>420</v>
      </c>
      <c r="C100" s="6" t="s">
        <v>1608</v>
      </c>
      <c r="D100" s="6" t="s">
        <v>1655</v>
      </c>
      <c r="E100" s="6" t="s">
        <v>2056</v>
      </c>
      <c r="F100" s="8" t="s">
        <v>423</v>
      </c>
      <c r="G100" s="6" t="s">
        <v>567</v>
      </c>
      <c r="H100" s="6" t="s">
        <v>517</v>
      </c>
      <c r="I100" s="15"/>
      <c r="J100" s="6" t="s">
        <v>426</v>
      </c>
      <c r="K100" s="6" t="s">
        <v>426</v>
      </c>
      <c r="L100" s="6" t="s">
        <v>426</v>
      </c>
      <c r="M100" s="6" t="s">
        <v>426</v>
      </c>
      <c r="N100" s="6" t="s">
        <v>426</v>
      </c>
      <c r="O100" s="6" t="s">
        <v>426</v>
      </c>
      <c r="P100" s="6" t="s">
        <v>426</v>
      </c>
      <c r="Q100" s="6" t="s">
        <v>426</v>
      </c>
      <c r="R100" s="6" t="s">
        <v>426</v>
      </c>
      <c r="S100" s="6" t="s">
        <v>426</v>
      </c>
      <c r="T100" s="6" t="s">
        <v>426</v>
      </c>
      <c r="U100" s="6" t="s">
        <v>426</v>
      </c>
      <c r="V100" s="6" t="s">
        <v>426</v>
      </c>
      <c r="W100" s="6" t="s">
        <v>426</v>
      </c>
      <c r="X100" s="6" t="s">
        <v>426</v>
      </c>
      <c r="Y100" s="6" t="s">
        <v>426</v>
      </c>
      <c r="Z100" s="6" t="s">
        <v>426</v>
      </c>
      <c r="AA100" s="6" t="s">
        <v>426</v>
      </c>
      <c r="AB100" s="6" t="s">
        <v>426</v>
      </c>
      <c r="AC100" s="15" t="s">
        <v>426</v>
      </c>
      <c r="AD100" s="6" t="s">
        <v>2057</v>
      </c>
      <c r="AE100" s="6">
        <v>1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0</v>
      </c>
      <c r="AM100" s="6"/>
      <c r="AN100" s="15"/>
      <c r="AO100" s="6" t="s">
        <v>426</v>
      </c>
      <c r="AP100" s="6" t="s">
        <v>766</v>
      </c>
      <c r="AQ100" s="6" t="s">
        <v>426</v>
      </c>
      <c r="AR100" s="6" t="s">
        <v>766</v>
      </c>
      <c r="AS100" s="6" t="s">
        <v>426</v>
      </c>
      <c r="AT100" s="6">
        <v>0.5</v>
      </c>
      <c r="AU100" s="6" t="s">
        <v>426</v>
      </c>
      <c r="AV100" s="6">
        <v>1</v>
      </c>
      <c r="AW100" s="6" t="s">
        <v>426</v>
      </c>
      <c r="AX100" s="6">
        <v>1</v>
      </c>
      <c r="AY100" s="6" t="s">
        <v>426</v>
      </c>
      <c r="AZ100" s="6">
        <v>1</v>
      </c>
      <c r="BA100" s="6" t="s">
        <v>426</v>
      </c>
      <c r="BB100" s="6">
        <v>0.25</v>
      </c>
      <c r="BC100" s="6" t="s">
        <v>426</v>
      </c>
      <c r="BD100" s="6">
        <v>1</v>
      </c>
      <c r="BE100" s="6" t="s">
        <v>453</v>
      </c>
      <c r="BF100" s="6"/>
      <c r="BG100" s="6" t="s">
        <v>426</v>
      </c>
      <c r="BH100" s="6">
        <v>0.5</v>
      </c>
      <c r="BI100" s="6" t="s">
        <v>426</v>
      </c>
      <c r="BJ100" s="6">
        <v>0.1</v>
      </c>
      <c r="BK100" s="6" t="s">
        <v>426</v>
      </c>
      <c r="BL100" s="6">
        <v>1</v>
      </c>
      <c r="BM100" s="6" t="s">
        <v>426</v>
      </c>
      <c r="BN100" s="6">
        <v>120</v>
      </c>
      <c r="BO100" s="6" t="s">
        <v>426</v>
      </c>
      <c r="BP100" s="6">
        <v>0.5</v>
      </c>
      <c r="BQ100" s="6" t="s">
        <v>426</v>
      </c>
      <c r="BR100" s="6">
        <v>25</v>
      </c>
      <c r="BS100" s="6" t="s">
        <v>426</v>
      </c>
      <c r="BT100" s="6">
        <v>40</v>
      </c>
      <c r="BU100" s="6" t="s">
        <v>426</v>
      </c>
      <c r="BV100" s="15">
        <v>1</v>
      </c>
      <c r="BW100" s="15" t="s">
        <v>428</v>
      </c>
      <c r="BX100" s="15" t="s">
        <v>485</v>
      </c>
      <c r="BY100" s="6" t="s">
        <v>430</v>
      </c>
      <c r="BZ100" s="6" t="s">
        <v>430</v>
      </c>
      <c r="CA100" s="6" t="s">
        <v>430</v>
      </c>
      <c r="CB100" s="6" t="s">
        <v>430</v>
      </c>
      <c r="CC100" s="6" t="s">
        <v>430</v>
      </c>
      <c r="CD100" s="6" t="s">
        <v>430</v>
      </c>
      <c r="CE100" s="6" t="s">
        <v>431</v>
      </c>
      <c r="CF100" s="6" t="s">
        <v>430</v>
      </c>
      <c r="CG100" s="6" t="s">
        <v>431</v>
      </c>
      <c r="CH100" s="6" t="s">
        <v>430</v>
      </c>
      <c r="CI100" s="6" t="s">
        <v>430</v>
      </c>
      <c r="CJ100" s="6" t="s">
        <v>430</v>
      </c>
      <c r="CK100" s="6" t="s">
        <v>430</v>
      </c>
      <c r="CL100" s="6" t="s">
        <v>430</v>
      </c>
      <c r="CM100" s="6" t="s">
        <v>430</v>
      </c>
      <c r="CN100" s="6" t="s">
        <v>430</v>
      </c>
      <c r="CO100" s="15" t="s">
        <v>430</v>
      </c>
      <c r="CP100" s="15" t="s">
        <v>432</v>
      </c>
      <c r="CQ100" s="6" t="s">
        <v>433</v>
      </c>
      <c r="CR100" s="15"/>
      <c r="CS100" s="6" t="s">
        <v>426</v>
      </c>
      <c r="CT100" s="6" t="s">
        <v>2058</v>
      </c>
      <c r="CU100" s="6" t="s">
        <v>2059</v>
      </c>
      <c r="CV100" s="6" t="s">
        <v>1091</v>
      </c>
      <c r="CW100" s="6" t="s">
        <v>2060</v>
      </c>
      <c r="CX100" s="15" t="s">
        <v>426</v>
      </c>
      <c r="CY100" s="6" t="s">
        <v>426</v>
      </c>
      <c r="CZ100" s="6" t="s">
        <v>2061</v>
      </c>
      <c r="DA100" s="6" t="s">
        <v>690</v>
      </c>
      <c r="DB100" s="6" t="s">
        <v>1678</v>
      </c>
      <c r="DC100" s="6" t="s">
        <v>1427</v>
      </c>
      <c r="DD100" s="15" t="s">
        <v>690</v>
      </c>
      <c r="DE100" s="15" t="s">
        <v>436</v>
      </c>
      <c r="DF100" s="6" t="s">
        <v>1093</v>
      </c>
      <c r="DG100" s="6">
        <v>1</v>
      </c>
      <c r="DH100" s="6">
        <v>1</v>
      </c>
      <c r="DI100" s="6">
        <v>0</v>
      </c>
      <c r="DJ100" s="6">
        <v>0</v>
      </c>
      <c r="DK100" s="6">
        <v>0</v>
      </c>
      <c r="DL100" s="6">
        <v>0</v>
      </c>
      <c r="DM100" s="6"/>
      <c r="DN100" s="6"/>
      <c r="DO100" s="6"/>
      <c r="DP100" s="6"/>
      <c r="DQ100" s="6"/>
      <c r="DR100" s="6"/>
      <c r="DS100" s="6"/>
      <c r="DT100" s="66"/>
      <c r="DU100" s="6" t="s">
        <v>438</v>
      </c>
      <c r="DV100" s="6" t="s">
        <v>426</v>
      </c>
      <c r="DW100" s="6" t="s">
        <v>439</v>
      </c>
      <c r="DX100" s="6" t="s">
        <v>491</v>
      </c>
      <c r="DY100" s="6"/>
      <c r="DZ100" s="6" t="s">
        <v>2062</v>
      </c>
      <c r="EA100" s="6">
        <v>1</v>
      </c>
      <c r="EB100" s="6">
        <v>0</v>
      </c>
      <c r="EC100" s="6">
        <v>1</v>
      </c>
      <c r="ED100" s="6">
        <v>1</v>
      </c>
      <c r="EE100" s="6">
        <v>0</v>
      </c>
      <c r="EF100" s="6">
        <v>0</v>
      </c>
      <c r="EG100" s="6">
        <v>0</v>
      </c>
      <c r="EH100" s="6">
        <v>0</v>
      </c>
      <c r="EI100" s="6"/>
      <c r="EJ100" s="6" t="s">
        <v>2063</v>
      </c>
      <c r="EK100" s="6">
        <v>1</v>
      </c>
      <c r="EL100" s="6">
        <v>0</v>
      </c>
      <c r="EM100" s="6">
        <v>1</v>
      </c>
      <c r="EN100" s="6">
        <v>1</v>
      </c>
      <c r="EO100" s="6">
        <v>0</v>
      </c>
      <c r="EP100" s="6">
        <v>1</v>
      </c>
      <c r="EQ100" s="6">
        <v>0</v>
      </c>
      <c r="ER100" s="6">
        <v>0</v>
      </c>
      <c r="ES100" s="6">
        <v>0</v>
      </c>
      <c r="ET100" s="6"/>
      <c r="EU100" s="6" t="s">
        <v>443</v>
      </c>
      <c r="EV100" s="6" t="s">
        <v>495</v>
      </c>
      <c r="EW100" s="6"/>
      <c r="EX100" s="6" t="s">
        <v>526</v>
      </c>
      <c r="EY100" s="6">
        <v>1</v>
      </c>
      <c r="EZ100" s="6">
        <v>1</v>
      </c>
      <c r="FA100" s="6">
        <v>1</v>
      </c>
      <c r="FB100" s="6">
        <v>1</v>
      </c>
      <c r="FC100" s="6">
        <v>0</v>
      </c>
      <c r="FD100" s="6">
        <v>0</v>
      </c>
      <c r="FE100" s="6">
        <v>0</v>
      </c>
      <c r="FF100" s="6">
        <v>0</v>
      </c>
      <c r="FG100" s="6"/>
      <c r="FH100" s="6" t="s">
        <v>2064</v>
      </c>
      <c r="FI100" s="6">
        <v>1</v>
      </c>
      <c r="FJ100" s="6">
        <v>0</v>
      </c>
      <c r="FK100" s="6">
        <v>0</v>
      </c>
      <c r="FL100" s="6">
        <v>0</v>
      </c>
      <c r="FM100" s="6">
        <v>0</v>
      </c>
      <c r="FN100" s="6">
        <v>1</v>
      </c>
      <c r="FO100" s="6">
        <v>0</v>
      </c>
      <c r="FP100" s="6">
        <v>0</v>
      </c>
      <c r="FQ100" s="6">
        <v>0</v>
      </c>
      <c r="FR100" s="6">
        <v>0</v>
      </c>
      <c r="FS100" s="6"/>
      <c r="FT100" s="6" t="s">
        <v>447</v>
      </c>
      <c r="FU100" s="6" t="s">
        <v>499</v>
      </c>
      <c r="FV100" s="6"/>
      <c r="FW100" s="6" t="s">
        <v>449</v>
      </c>
      <c r="FX100" s="15" t="s">
        <v>450</v>
      </c>
      <c r="FY100" s="6" t="s">
        <v>500</v>
      </c>
      <c r="FZ100" s="6"/>
      <c r="GA100" s="6" t="s">
        <v>450</v>
      </c>
      <c r="GB100" s="6" t="s">
        <v>501</v>
      </c>
      <c r="GC100" s="6" t="s">
        <v>453</v>
      </c>
      <c r="GD100" s="6"/>
      <c r="GE100" s="6" t="s">
        <v>642</v>
      </c>
      <c r="GF100" s="6" t="s">
        <v>2065</v>
      </c>
      <c r="GG100" s="6" t="s">
        <v>456</v>
      </c>
      <c r="GH100" s="15" t="s">
        <v>2066</v>
      </c>
      <c r="GI100" s="6" t="s">
        <v>458</v>
      </c>
      <c r="GJ100" s="6" t="s">
        <v>2067</v>
      </c>
      <c r="GK100" s="6" t="s">
        <v>460</v>
      </c>
      <c r="GL100" s="6" t="s">
        <v>2068</v>
      </c>
      <c r="GM100" s="6">
        <v>0</v>
      </c>
      <c r="GN100" s="6">
        <v>1</v>
      </c>
      <c r="GO100" s="6">
        <v>1</v>
      </c>
      <c r="GP100" s="6">
        <v>0</v>
      </c>
      <c r="GQ100" s="6">
        <v>0</v>
      </c>
      <c r="GR100" s="6">
        <v>0</v>
      </c>
      <c r="GS100" s="6">
        <v>0</v>
      </c>
      <c r="GT100" s="6"/>
      <c r="GU100" s="6" t="s">
        <v>534</v>
      </c>
      <c r="GV100" s="6" t="s">
        <v>595</v>
      </c>
      <c r="GW100" s="6" t="s">
        <v>464</v>
      </c>
      <c r="GX100" s="6">
        <v>1</v>
      </c>
      <c r="GY100" s="6">
        <v>0</v>
      </c>
      <c r="GZ100" s="6">
        <v>0</v>
      </c>
      <c r="HA100" s="6">
        <v>0</v>
      </c>
      <c r="HB100" s="6">
        <v>0</v>
      </c>
      <c r="HC100" s="6">
        <v>0</v>
      </c>
      <c r="HD100" s="6"/>
      <c r="HE100" s="6" t="s">
        <v>748</v>
      </c>
      <c r="HF100" s="6">
        <v>0</v>
      </c>
      <c r="HG100" s="6">
        <v>0</v>
      </c>
      <c r="HH100" s="6">
        <v>1</v>
      </c>
      <c r="HI100" s="6">
        <v>1</v>
      </c>
      <c r="HJ100" s="6">
        <v>0</v>
      </c>
      <c r="HK100" s="6">
        <v>0</v>
      </c>
      <c r="HL100" s="15"/>
      <c r="HM100" s="6" t="s">
        <v>676</v>
      </c>
      <c r="HN100" s="6"/>
      <c r="HO100" s="6" t="s">
        <v>2069</v>
      </c>
      <c r="HP100" s="6" t="s">
        <v>561</v>
      </c>
      <c r="HQ100" s="6"/>
      <c r="HR100" s="6" t="s">
        <v>2070</v>
      </c>
      <c r="HS100" s="6" t="s">
        <v>508</v>
      </c>
      <c r="HT100" s="6">
        <v>0</v>
      </c>
      <c r="HU100" s="6">
        <v>0</v>
      </c>
      <c r="HV100" s="6">
        <v>1</v>
      </c>
      <c r="HW100" s="6">
        <v>0</v>
      </c>
      <c r="HX100" s="6">
        <v>0</v>
      </c>
      <c r="HY100" s="6">
        <v>0</v>
      </c>
      <c r="HZ100" s="6"/>
      <c r="IA100" s="6" t="s">
        <v>1105</v>
      </c>
      <c r="IB100" s="6">
        <v>1</v>
      </c>
      <c r="IC100" s="6">
        <v>1</v>
      </c>
      <c r="ID100" s="6">
        <v>0</v>
      </c>
      <c r="IE100" s="6">
        <v>0</v>
      </c>
      <c r="IF100" s="6">
        <v>0</v>
      </c>
      <c r="IG100" s="6">
        <v>0</v>
      </c>
      <c r="IH100" s="15" t="s">
        <v>2071</v>
      </c>
      <c r="II100" s="6" t="s">
        <v>426</v>
      </c>
      <c r="IJ100" s="6" t="s">
        <v>472</v>
      </c>
      <c r="IK100" s="6">
        <v>1</v>
      </c>
      <c r="IL100" s="6">
        <v>0</v>
      </c>
      <c r="IM100" s="6">
        <v>0</v>
      </c>
      <c r="IN100" s="6"/>
      <c r="IO100" s="6" t="s">
        <v>473</v>
      </c>
      <c r="IP100" s="6">
        <v>1</v>
      </c>
      <c r="IQ100" s="6">
        <v>0</v>
      </c>
      <c r="IR100" s="6">
        <v>0</v>
      </c>
      <c r="IS100" s="6">
        <v>0</v>
      </c>
      <c r="IT100" s="6">
        <v>0</v>
      </c>
      <c r="IU100" s="6">
        <v>0</v>
      </c>
      <c r="IV100" s="6"/>
      <c r="IW100" s="6" t="s">
        <v>426</v>
      </c>
      <c r="IX100" s="6">
        <v>1</v>
      </c>
      <c r="IY100" s="6" t="s">
        <v>474</v>
      </c>
      <c r="IZ100" s="6" t="s">
        <v>475</v>
      </c>
      <c r="JA100" s="6" t="s">
        <v>426</v>
      </c>
      <c r="JB100" s="6" t="s">
        <v>476</v>
      </c>
      <c r="JC100" s="6"/>
      <c r="JD100" s="6"/>
      <c r="JE100" s="6"/>
      <c r="JF100" s="6"/>
      <c r="JG100" s="6"/>
      <c r="JH100" s="6"/>
      <c r="JI100" s="6"/>
      <c r="JJ100" s="6"/>
      <c r="JK100" s="6" t="s">
        <v>453</v>
      </c>
      <c r="JL100" s="6"/>
      <c r="JM100" s="6"/>
      <c r="JN100" s="6"/>
      <c r="JO100" s="6"/>
      <c r="JP100" s="6"/>
      <c r="JQ100" s="6"/>
      <c r="JR100" s="6"/>
      <c r="JS100" s="6"/>
      <c r="JT100" s="6"/>
      <c r="JU100" s="6" t="s">
        <v>511</v>
      </c>
      <c r="JV100" s="15"/>
      <c r="JW100" s="94" t="s">
        <v>2072</v>
      </c>
      <c r="JX100" s="6" t="s">
        <v>2073</v>
      </c>
      <c r="JY100" s="6">
        <v>0.5978481</v>
      </c>
      <c r="JZ100" s="6">
        <v>34.4678297</v>
      </c>
      <c r="KA100" s="6">
        <v>1309.7</v>
      </c>
      <c r="KB100" s="15">
        <v>4.9</v>
      </c>
      <c r="KC100" s="15"/>
    </row>
    <row r="101" spans="1:289">
      <c r="A101" s="6" t="s">
        <v>480</v>
      </c>
      <c r="B101" s="6" t="s">
        <v>420</v>
      </c>
      <c r="C101" s="6" t="s">
        <v>1608</v>
      </c>
      <c r="D101" s="6" t="s">
        <v>2074</v>
      </c>
      <c r="E101" s="6" t="s">
        <v>2075</v>
      </c>
      <c r="F101" s="8" t="s">
        <v>423</v>
      </c>
      <c r="G101" s="6" t="s">
        <v>567</v>
      </c>
      <c r="H101" s="6" t="s">
        <v>425</v>
      </c>
      <c r="I101" s="15"/>
      <c r="J101" s="6" t="s">
        <v>426</v>
      </c>
      <c r="K101" s="6" t="s">
        <v>426</v>
      </c>
      <c r="L101" s="6" t="s">
        <v>426</v>
      </c>
      <c r="M101" s="6" t="s">
        <v>426</v>
      </c>
      <c r="N101" s="6" t="s">
        <v>426</v>
      </c>
      <c r="O101" s="6" t="s">
        <v>426</v>
      </c>
      <c r="P101" s="6" t="s">
        <v>426</v>
      </c>
      <c r="Q101" s="6" t="s">
        <v>426</v>
      </c>
      <c r="R101" s="6" t="s">
        <v>426</v>
      </c>
      <c r="S101" s="6" t="s">
        <v>426</v>
      </c>
      <c r="T101" s="6" t="s">
        <v>426</v>
      </c>
      <c r="U101" s="6" t="s">
        <v>426</v>
      </c>
      <c r="V101" s="6" t="s">
        <v>426</v>
      </c>
      <c r="W101" s="6" t="s">
        <v>426</v>
      </c>
      <c r="X101" s="6" t="s">
        <v>426</v>
      </c>
      <c r="Y101" s="6" t="s">
        <v>426</v>
      </c>
      <c r="Z101" s="6" t="s">
        <v>426</v>
      </c>
      <c r="AA101" s="6" t="s">
        <v>426</v>
      </c>
      <c r="AB101" s="6" t="s">
        <v>426</v>
      </c>
      <c r="AC101" s="15" t="s">
        <v>426</v>
      </c>
      <c r="AD101" s="6" t="s">
        <v>427</v>
      </c>
      <c r="AE101" s="6">
        <v>0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0</v>
      </c>
      <c r="AL101" s="6">
        <v>0</v>
      </c>
      <c r="AM101" s="6"/>
      <c r="AN101" s="15"/>
      <c r="AO101" s="6" t="s">
        <v>426</v>
      </c>
      <c r="AP101" s="6" t="s">
        <v>823</v>
      </c>
      <c r="AQ101" s="6" t="s">
        <v>426</v>
      </c>
      <c r="AR101" s="6" t="s">
        <v>823</v>
      </c>
      <c r="AS101" s="6" t="s">
        <v>426</v>
      </c>
      <c r="AT101" s="6">
        <v>1</v>
      </c>
      <c r="AU101" s="6" t="s">
        <v>453</v>
      </c>
      <c r="AV101" s="6"/>
      <c r="AW101" s="6" t="s">
        <v>426</v>
      </c>
      <c r="AX101" s="6">
        <v>2</v>
      </c>
      <c r="AY101" s="6" t="s">
        <v>426</v>
      </c>
      <c r="AZ101" s="6">
        <v>1</v>
      </c>
      <c r="BA101" s="6" t="s">
        <v>426</v>
      </c>
      <c r="BB101" s="6">
        <v>1.5</v>
      </c>
      <c r="BC101" s="6" t="s">
        <v>426</v>
      </c>
      <c r="BD101" s="6">
        <v>0.4</v>
      </c>
      <c r="BE101" s="6" t="s">
        <v>453</v>
      </c>
      <c r="BF101" s="6"/>
      <c r="BG101" s="6" t="s">
        <v>426</v>
      </c>
      <c r="BH101" s="6">
        <v>0.2</v>
      </c>
      <c r="BI101" s="6" t="s">
        <v>426</v>
      </c>
      <c r="BJ101" s="6">
        <v>0.5</v>
      </c>
      <c r="BK101" s="6" t="s">
        <v>426</v>
      </c>
      <c r="BL101" s="6">
        <v>0.8</v>
      </c>
      <c r="BM101" s="6" t="s">
        <v>426</v>
      </c>
      <c r="BN101" s="6">
        <v>15</v>
      </c>
      <c r="BO101" s="6" t="s">
        <v>426</v>
      </c>
      <c r="BP101" s="6">
        <v>1</v>
      </c>
      <c r="BQ101" s="6" t="s">
        <v>426</v>
      </c>
      <c r="BR101" s="6">
        <v>150</v>
      </c>
      <c r="BS101" s="6" t="s">
        <v>426</v>
      </c>
      <c r="BT101" s="6">
        <v>5</v>
      </c>
      <c r="BU101" s="6" t="s">
        <v>453</v>
      </c>
      <c r="BV101" s="15"/>
      <c r="BW101" s="15" t="s">
        <v>2076</v>
      </c>
      <c r="BX101" s="15" t="s">
        <v>429</v>
      </c>
      <c r="BY101" s="6" t="s">
        <v>430</v>
      </c>
      <c r="BZ101" s="6" t="s">
        <v>430</v>
      </c>
      <c r="CA101" s="6" t="s">
        <v>430</v>
      </c>
      <c r="CB101" s="6" t="s">
        <v>430</v>
      </c>
      <c r="CC101" s="6" t="s">
        <v>430</v>
      </c>
      <c r="CD101" s="6" t="s">
        <v>430</v>
      </c>
      <c r="CE101" s="6" t="s">
        <v>430</v>
      </c>
      <c r="CF101" s="6" t="s">
        <v>430</v>
      </c>
      <c r="CG101" s="6" t="s">
        <v>487</v>
      </c>
      <c r="CH101" s="6" t="s">
        <v>430</v>
      </c>
      <c r="CI101" s="6" t="s">
        <v>431</v>
      </c>
      <c r="CJ101" s="6" t="s">
        <v>431</v>
      </c>
      <c r="CK101" s="6" t="s">
        <v>430</v>
      </c>
      <c r="CL101" s="6" t="s">
        <v>430</v>
      </c>
      <c r="CM101" s="6" t="s">
        <v>430</v>
      </c>
      <c r="CN101" s="6" t="s">
        <v>430</v>
      </c>
      <c r="CO101" s="15" t="s">
        <v>430</v>
      </c>
      <c r="CP101" s="15" t="s">
        <v>432</v>
      </c>
      <c r="CQ101" s="6" t="s">
        <v>433</v>
      </c>
      <c r="CR101" s="15"/>
      <c r="CS101" s="6" t="s">
        <v>453</v>
      </c>
      <c r="CT101" s="6"/>
      <c r="CU101" s="6"/>
      <c r="CV101" s="6"/>
      <c r="CW101" s="6"/>
      <c r="CX101" s="15" t="s">
        <v>426</v>
      </c>
      <c r="CY101" s="6" t="s">
        <v>453</v>
      </c>
      <c r="CZ101" s="6"/>
      <c r="DA101" s="6"/>
      <c r="DB101" s="6"/>
      <c r="DC101" s="6"/>
      <c r="DD101" s="15"/>
      <c r="DE101" s="15" t="s">
        <v>436</v>
      </c>
      <c r="DF101" s="6" t="s">
        <v>2077</v>
      </c>
      <c r="DG101" s="6">
        <v>1</v>
      </c>
      <c r="DH101" s="6">
        <v>1</v>
      </c>
      <c r="DI101" s="6">
        <v>1</v>
      </c>
      <c r="DJ101" s="6">
        <v>1</v>
      </c>
      <c r="DK101" s="6">
        <v>0</v>
      </c>
      <c r="DL101" s="6">
        <v>0</v>
      </c>
      <c r="DM101" s="6"/>
      <c r="DN101" s="6"/>
      <c r="DO101" s="6"/>
      <c r="DP101" s="6"/>
      <c r="DQ101" s="6"/>
      <c r="DR101" s="6"/>
      <c r="DS101" s="6"/>
      <c r="DT101" s="66"/>
      <c r="DU101" s="6" t="s">
        <v>438</v>
      </c>
      <c r="DV101" s="6" t="s">
        <v>426</v>
      </c>
      <c r="DW101" s="6" t="s">
        <v>1212</v>
      </c>
      <c r="DX101" s="6" t="s">
        <v>440</v>
      </c>
      <c r="DY101" s="6"/>
      <c r="DZ101" s="6" t="s">
        <v>2078</v>
      </c>
      <c r="EA101" s="6">
        <v>1</v>
      </c>
      <c r="EB101" s="6">
        <v>1</v>
      </c>
      <c r="EC101" s="6">
        <v>1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/>
      <c r="EJ101" s="6" t="s">
        <v>1906</v>
      </c>
      <c r="EK101" s="6">
        <v>1</v>
      </c>
      <c r="EL101" s="6">
        <v>0</v>
      </c>
      <c r="EM101" s="6">
        <v>0</v>
      </c>
      <c r="EN101" s="6">
        <v>1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/>
      <c r="EU101" s="6" t="s">
        <v>443</v>
      </c>
      <c r="EV101" s="6" t="s">
        <v>495</v>
      </c>
      <c r="EW101" s="6"/>
      <c r="EX101" s="6" t="s">
        <v>2079</v>
      </c>
      <c r="EY101" s="6">
        <v>1</v>
      </c>
      <c r="EZ101" s="6">
        <v>0</v>
      </c>
      <c r="FA101" s="6">
        <v>0</v>
      </c>
      <c r="FB101" s="6">
        <v>0</v>
      </c>
      <c r="FC101" s="6">
        <v>1</v>
      </c>
      <c r="FD101" s="6">
        <v>1</v>
      </c>
      <c r="FE101" s="6">
        <v>0</v>
      </c>
      <c r="FF101" s="6">
        <v>0</v>
      </c>
      <c r="FG101" s="6"/>
      <c r="FH101" s="6" t="s">
        <v>2080</v>
      </c>
      <c r="FI101" s="6">
        <v>0</v>
      </c>
      <c r="FJ101" s="6">
        <v>0</v>
      </c>
      <c r="FK101" s="6">
        <v>1</v>
      </c>
      <c r="FL101" s="6">
        <v>0</v>
      </c>
      <c r="FM101" s="6">
        <v>1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/>
      <c r="FT101" s="6" t="s">
        <v>556</v>
      </c>
      <c r="FU101" s="6" t="s">
        <v>448</v>
      </c>
      <c r="FV101" s="6"/>
      <c r="FW101" s="6" t="s">
        <v>449</v>
      </c>
      <c r="FX101" s="15" t="s">
        <v>450</v>
      </c>
      <c r="FY101" s="6" t="s">
        <v>451</v>
      </c>
      <c r="FZ101" s="6"/>
      <c r="GA101" s="6" t="s">
        <v>450</v>
      </c>
      <c r="GB101" s="6" t="s">
        <v>501</v>
      </c>
      <c r="GC101" s="6" t="s">
        <v>426</v>
      </c>
      <c r="GD101" s="6" t="s">
        <v>2081</v>
      </c>
      <c r="GE101" s="6" t="s">
        <v>454</v>
      </c>
      <c r="GF101" s="6" t="s">
        <v>2082</v>
      </c>
      <c r="GG101" s="6" t="s">
        <v>456</v>
      </c>
      <c r="GH101" s="15" t="s">
        <v>2083</v>
      </c>
      <c r="GI101" s="6" t="s">
        <v>458</v>
      </c>
      <c r="GJ101" s="6" t="s">
        <v>2084</v>
      </c>
      <c r="GK101" s="6" t="s">
        <v>460</v>
      </c>
      <c r="GL101" s="6" t="s">
        <v>461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1</v>
      </c>
      <c r="GS101" s="6">
        <v>0</v>
      </c>
      <c r="GT101" s="6"/>
      <c r="GU101" s="6" t="s">
        <v>534</v>
      </c>
      <c r="GV101" s="6" t="s">
        <v>595</v>
      </c>
      <c r="GW101" s="6" t="s">
        <v>1529</v>
      </c>
      <c r="GX101" s="6">
        <v>1</v>
      </c>
      <c r="GY101" s="6">
        <v>0</v>
      </c>
      <c r="GZ101" s="6">
        <v>1</v>
      </c>
      <c r="HA101" s="6">
        <v>1</v>
      </c>
      <c r="HB101" s="6">
        <v>0</v>
      </c>
      <c r="HC101" s="6">
        <v>0</v>
      </c>
      <c r="HD101" s="6"/>
      <c r="HE101" s="6" t="s">
        <v>2085</v>
      </c>
      <c r="HF101" s="6">
        <v>1</v>
      </c>
      <c r="HG101" s="6">
        <v>1</v>
      </c>
      <c r="HH101" s="6">
        <v>1</v>
      </c>
      <c r="HI101" s="6">
        <v>0</v>
      </c>
      <c r="HJ101" s="6">
        <v>0</v>
      </c>
      <c r="HK101" s="6">
        <v>0</v>
      </c>
      <c r="HL101" s="15"/>
      <c r="HM101" s="6" t="s">
        <v>505</v>
      </c>
      <c r="HN101" s="6"/>
      <c r="HO101" s="6" t="s">
        <v>2086</v>
      </c>
      <c r="HP101" s="6" t="s">
        <v>648</v>
      </c>
      <c r="HQ101" s="6"/>
      <c r="HR101" s="6" t="s">
        <v>2087</v>
      </c>
      <c r="HS101" s="6" t="s">
        <v>778</v>
      </c>
      <c r="HT101" s="6">
        <v>0</v>
      </c>
      <c r="HU101" s="6">
        <v>0</v>
      </c>
      <c r="HV101" s="6">
        <v>1</v>
      </c>
      <c r="HW101" s="6">
        <v>0</v>
      </c>
      <c r="HX101" s="6">
        <v>1</v>
      </c>
      <c r="HY101" s="6">
        <v>0</v>
      </c>
      <c r="HZ101" s="6"/>
      <c r="IA101" s="6" t="s">
        <v>2088</v>
      </c>
      <c r="IB101" s="6">
        <v>1</v>
      </c>
      <c r="IC101" s="6">
        <v>1</v>
      </c>
      <c r="ID101" s="6">
        <v>1</v>
      </c>
      <c r="IE101" s="6">
        <v>1</v>
      </c>
      <c r="IF101" s="6">
        <v>0</v>
      </c>
      <c r="IG101" s="6">
        <v>0</v>
      </c>
      <c r="IH101" s="15" t="s">
        <v>2089</v>
      </c>
      <c r="II101" s="6" t="s">
        <v>426</v>
      </c>
      <c r="IJ101" s="6" t="s">
        <v>1266</v>
      </c>
      <c r="IK101" s="6">
        <v>1</v>
      </c>
      <c r="IL101" s="6">
        <v>1</v>
      </c>
      <c r="IM101" s="6">
        <v>0</v>
      </c>
      <c r="IN101" s="6"/>
      <c r="IO101" s="6" t="s">
        <v>2090</v>
      </c>
      <c r="IP101" s="6">
        <v>1</v>
      </c>
      <c r="IQ101" s="6">
        <v>1</v>
      </c>
      <c r="IR101" s="6">
        <v>1</v>
      </c>
      <c r="IS101" s="6">
        <v>1</v>
      </c>
      <c r="IT101" s="6">
        <v>1</v>
      </c>
      <c r="IU101" s="6">
        <v>0</v>
      </c>
      <c r="IV101" s="6"/>
      <c r="IW101" s="6" t="s">
        <v>453</v>
      </c>
      <c r="IX101" s="6"/>
      <c r="IY101" s="6" t="s">
        <v>510</v>
      </c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 t="s">
        <v>453</v>
      </c>
      <c r="JK101" s="6" t="s">
        <v>453</v>
      </c>
      <c r="JL101" s="6"/>
      <c r="JM101" s="6"/>
      <c r="JN101" s="6"/>
      <c r="JO101" s="6"/>
      <c r="JP101" s="6"/>
      <c r="JQ101" s="6"/>
      <c r="JR101" s="6"/>
      <c r="JS101" s="6"/>
      <c r="JT101" s="6"/>
      <c r="JU101" s="6" t="s">
        <v>477</v>
      </c>
      <c r="JV101" s="15"/>
      <c r="JW101" s="94" t="s">
        <v>2091</v>
      </c>
      <c r="JX101" s="6" t="s">
        <v>2092</v>
      </c>
      <c r="JY101" s="6">
        <v>0.6177572</v>
      </c>
      <c r="JZ101" s="6">
        <v>34.4606829</v>
      </c>
      <c r="KA101" s="6">
        <v>1325.86938476562</v>
      </c>
      <c r="KB101" s="15">
        <v>4.306</v>
      </c>
      <c r="KC101" s="15"/>
    </row>
    <row r="102" spans="1:289">
      <c r="A102" s="6" t="s">
        <v>480</v>
      </c>
      <c r="B102" s="6" t="s">
        <v>420</v>
      </c>
      <c r="C102" s="6" t="s">
        <v>1608</v>
      </c>
      <c r="D102" s="6" t="s">
        <v>2074</v>
      </c>
      <c r="E102" s="6" t="s">
        <v>2093</v>
      </c>
      <c r="F102" s="8" t="s">
        <v>483</v>
      </c>
      <c r="G102" s="6" t="s">
        <v>567</v>
      </c>
      <c r="H102" s="6" t="s">
        <v>425</v>
      </c>
      <c r="I102" s="15"/>
      <c r="J102" s="6" t="s">
        <v>426</v>
      </c>
      <c r="K102" s="6" t="s">
        <v>426</v>
      </c>
      <c r="L102" s="6" t="s">
        <v>426</v>
      </c>
      <c r="M102" s="6" t="s">
        <v>426</v>
      </c>
      <c r="N102" s="6" t="s">
        <v>426</v>
      </c>
      <c r="O102" s="6" t="s">
        <v>426</v>
      </c>
      <c r="P102" s="6" t="s">
        <v>426</v>
      </c>
      <c r="Q102" s="6" t="s">
        <v>426</v>
      </c>
      <c r="R102" s="6" t="s">
        <v>426</v>
      </c>
      <c r="S102" s="6" t="s">
        <v>426</v>
      </c>
      <c r="T102" s="6" t="s">
        <v>426</v>
      </c>
      <c r="U102" s="6" t="s">
        <v>426</v>
      </c>
      <c r="V102" s="6" t="s">
        <v>426</v>
      </c>
      <c r="W102" s="6" t="s">
        <v>426</v>
      </c>
      <c r="X102" s="6" t="s">
        <v>426</v>
      </c>
      <c r="Y102" s="6" t="s">
        <v>426</v>
      </c>
      <c r="Z102" s="6" t="s">
        <v>426</v>
      </c>
      <c r="AA102" s="6" t="s">
        <v>426</v>
      </c>
      <c r="AB102" s="6" t="s">
        <v>426</v>
      </c>
      <c r="AC102" s="15" t="s">
        <v>426</v>
      </c>
      <c r="AD102" s="6" t="s">
        <v>427</v>
      </c>
      <c r="AE102" s="6">
        <v>0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0</v>
      </c>
      <c r="AL102" s="6">
        <v>0</v>
      </c>
      <c r="AM102" s="6"/>
      <c r="AN102" s="15"/>
      <c r="AO102" s="6" t="s">
        <v>426</v>
      </c>
      <c r="AP102" s="6" t="s">
        <v>656</v>
      </c>
      <c r="AQ102" s="6" t="s">
        <v>426</v>
      </c>
      <c r="AR102" s="6" t="s">
        <v>656</v>
      </c>
      <c r="AS102" s="6" t="s">
        <v>426</v>
      </c>
      <c r="AT102" s="6">
        <v>0.2</v>
      </c>
      <c r="AU102" s="6" t="s">
        <v>453</v>
      </c>
      <c r="AV102" s="6"/>
      <c r="AW102" s="6" t="s">
        <v>426</v>
      </c>
      <c r="AX102" s="6">
        <v>1</v>
      </c>
      <c r="AY102" s="6" t="s">
        <v>426</v>
      </c>
      <c r="AZ102" s="6">
        <v>2</v>
      </c>
      <c r="BA102" s="6" t="s">
        <v>426</v>
      </c>
      <c r="BB102" s="6">
        <v>0.4</v>
      </c>
      <c r="BC102" s="6" t="s">
        <v>426</v>
      </c>
      <c r="BD102" s="6">
        <v>1</v>
      </c>
      <c r="BE102" s="6" t="s">
        <v>453</v>
      </c>
      <c r="BF102" s="6"/>
      <c r="BG102" s="6" t="s">
        <v>426</v>
      </c>
      <c r="BH102" s="6">
        <v>0.2</v>
      </c>
      <c r="BI102" s="6" t="s">
        <v>426</v>
      </c>
      <c r="BJ102" s="6">
        <v>0.2</v>
      </c>
      <c r="BK102" s="6" t="s">
        <v>426</v>
      </c>
      <c r="BL102" s="6">
        <v>1</v>
      </c>
      <c r="BM102" s="6" t="s">
        <v>426</v>
      </c>
      <c r="BN102" s="6">
        <v>20</v>
      </c>
      <c r="BO102" s="6" t="s">
        <v>426</v>
      </c>
      <c r="BP102" s="6">
        <v>1</v>
      </c>
      <c r="BQ102" s="6" t="s">
        <v>426</v>
      </c>
      <c r="BR102" s="6">
        <v>200</v>
      </c>
      <c r="BS102" s="6" t="s">
        <v>453</v>
      </c>
      <c r="BT102" s="6"/>
      <c r="BU102" s="6" t="s">
        <v>453</v>
      </c>
      <c r="BV102" s="15"/>
      <c r="BW102" s="15" t="s">
        <v>518</v>
      </c>
      <c r="BX102" s="15" t="s">
        <v>429</v>
      </c>
      <c r="BY102" s="6" t="s">
        <v>430</v>
      </c>
      <c r="BZ102" s="6" t="s">
        <v>430</v>
      </c>
      <c r="CA102" s="6" t="s">
        <v>430</v>
      </c>
      <c r="CB102" s="6" t="s">
        <v>487</v>
      </c>
      <c r="CC102" s="6" t="s">
        <v>430</v>
      </c>
      <c r="CD102" s="6" t="s">
        <v>430</v>
      </c>
      <c r="CE102" s="6" t="s">
        <v>431</v>
      </c>
      <c r="CF102" s="6" t="s">
        <v>430</v>
      </c>
      <c r="CG102" s="6" t="s">
        <v>487</v>
      </c>
      <c r="CH102" s="6" t="s">
        <v>430</v>
      </c>
      <c r="CI102" s="6" t="s">
        <v>430</v>
      </c>
      <c r="CJ102" s="6" t="s">
        <v>430</v>
      </c>
      <c r="CK102" s="6" t="s">
        <v>430</v>
      </c>
      <c r="CL102" s="6" t="s">
        <v>430</v>
      </c>
      <c r="CM102" s="6" t="s">
        <v>430</v>
      </c>
      <c r="CN102" s="6" t="s">
        <v>487</v>
      </c>
      <c r="CO102" s="15" t="s">
        <v>487</v>
      </c>
      <c r="CP102" s="15" t="s">
        <v>432</v>
      </c>
      <c r="CQ102" s="6" t="s">
        <v>433</v>
      </c>
      <c r="CR102" s="15"/>
      <c r="CS102" s="6" t="s">
        <v>426</v>
      </c>
      <c r="CT102" s="6" t="s">
        <v>2094</v>
      </c>
      <c r="CU102" s="6" t="s">
        <v>809</v>
      </c>
      <c r="CV102" s="6" t="s">
        <v>660</v>
      </c>
      <c r="CW102" s="6" t="s">
        <v>662</v>
      </c>
      <c r="CX102" s="15" t="s">
        <v>426</v>
      </c>
      <c r="CY102" s="6" t="s">
        <v>453</v>
      </c>
      <c r="CZ102" s="6"/>
      <c r="DA102" s="6"/>
      <c r="DB102" s="6"/>
      <c r="DC102" s="6"/>
      <c r="DD102" s="15"/>
      <c r="DE102" s="15" t="s">
        <v>436</v>
      </c>
      <c r="DF102" s="6" t="s">
        <v>585</v>
      </c>
      <c r="DG102" s="6">
        <v>0</v>
      </c>
      <c r="DH102" s="6">
        <v>0</v>
      </c>
      <c r="DI102" s="6">
        <v>1</v>
      </c>
      <c r="DJ102" s="6">
        <v>0</v>
      </c>
      <c r="DK102" s="6">
        <v>0</v>
      </c>
      <c r="DL102" s="6">
        <v>0</v>
      </c>
      <c r="DM102" s="6"/>
      <c r="DN102" s="6"/>
      <c r="DO102" s="6"/>
      <c r="DP102" s="6"/>
      <c r="DQ102" s="6"/>
      <c r="DR102" s="6"/>
      <c r="DS102" s="6"/>
      <c r="DT102" s="66"/>
      <c r="DU102" s="6" t="s">
        <v>438</v>
      </c>
      <c r="DV102" s="6" t="s">
        <v>426</v>
      </c>
      <c r="DW102" s="6" t="s">
        <v>490</v>
      </c>
      <c r="DX102" s="6" t="s">
        <v>440</v>
      </c>
      <c r="DY102" s="6"/>
      <c r="DZ102" s="6" t="s">
        <v>2095</v>
      </c>
      <c r="EA102" s="6">
        <v>0</v>
      </c>
      <c r="EB102" s="6">
        <v>0</v>
      </c>
      <c r="EC102" s="6">
        <v>0</v>
      </c>
      <c r="ED102" s="6">
        <v>1</v>
      </c>
      <c r="EE102" s="6">
        <v>0</v>
      </c>
      <c r="EF102" s="6">
        <v>1</v>
      </c>
      <c r="EG102" s="6">
        <v>1</v>
      </c>
      <c r="EH102" s="6">
        <v>0</v>
      </c>
      <c r="EI102" s="6"/>
      <c r="EJ102" s="6" t="s">
        <v>2063</v>
      </c>
      <c r="EK102" s="6">
        <v>1</v>
      </c>
      <c r="EL102" s="6">
        <v>0</v>
      </c>
      <c r="EM102" s="6">
        <v>1</v>
      </c>
      <c r="EN102" s="6">
        <v>1</v>
      </c>
      <c r="EO102" s="6">
        <v>0</v>
      </c>
      <c r="EP102" s="6">
        <v>1</v>
      </c>
      <c r="EQ102" s="6">
        <v>0</v>
      </c>
      <c r="ER102" s="6">
        <v>0</v>
      </c>
      <c r="ES102" s="6">
        <v>0</v>
      </c>
      <c r="ET102" s="6"/>
      <c r="EU102" s="6" t="s">
        <v>443</v>
      </c>
      <c r="EV102" s="6" t="s">
        <v>588</v>
      </c>
      <c r="EW102" s="6"/>
      <c r="EX102" s="6" t="s">
        <v>496</v>
      </c>
      <c r="EY102" s="6">
        <v>0</v>
      </c>
      <c r="EZ102" s="6">
        <v>1</v>
      </c>
      <c r="FA102" s="6">
        <v>1</v>
      </c>
      <c r="FB102" s="6">
        <v>0</v>
      </c>
      <c r="FC102" s="6">
        <v>1</v>
      </c>
      <c r="FD102" s="6">
        <v>0</v>
      </c>
      <c r="FE102" s="6">
        <v>0</v>
      </c>
      <c r="FF102" s="6">
        <v>0</v>
      </c>
      <c r="FG102" s="6"/>
      <c r="FH102" s="6" t="s">
        <v>2096</v>
      </c>
      <c r="FI102" s="6">
        <v>0</v>
      </c>
      <c r="FJ102" s="6">
        <v>0</v>
      </c>
      <c r="FK102" s="6">
        <v>0</v>
      </c>
      <c r="FL102" s="6">
        <v>1</v>
      </c>
      <c r="FM102" s="6">
        <v>0</v>
      </c>
      <c r="FN102" s="6">
        <v>0</v>
      </c>
      <c r="FO102" s="6">
        <v>0</v>
      </c>
      <c r="FP102" s="6">
        <v>0</v>
      </c>
      <c r="FQ102" s="6">
        <v>1</v>
      </c>
      <c r="FR102" s="6">
        <v>0</v>
      </c>
      <c r="FS102" s="6"/>
      <c r="FT102" s="6" t="s">
        <v>556</v>
      </c>
      <c r="FU102" s="6" t="s">
        <v>499</v>
      </c>
      <c r="FV102" s="6"/>
      <c r="FW102" s="6" t="s">
        <v>449</v>
      </c>
      <c r="FX102" s="15" t="s">
        <v>450</v>
      </c>
      <c r="FY102" s="6" t="s">
        <v>619</v>
      </c>
      <c r="FZ102" s="6"/>
      <c r="GA102" s="6" t="s">
        <v>450</v>
      </c>
      <c r="GB102" s="6" t="s">
        <v>501</v>
      </c>
      <c r="GC102" s="6" t="s">
        <v>453</v>
      </c>
      <c r="GD102" s="6"/>
      <c r="GE102" s="6" t="s">
        <v>642</v>
      </c>
      <c r="GF102" s="6" t="s">
        <v>2097</v>
      </c>
      <c r="GG102" s="6" t="s">
        <v>456</v>
      </c>
      <c r="GH102" s="15" t="s">
        <v>2098</v>
      </c>
      <c r="GI102" s="6" t="s">
        <v>458</v>
      </c>
      <c r="GJ102" s="6" t="s">
        <v>2099</v>
      </c>
      <c r="GK102" s="6" t="s">
        <v>460</v>
      </c>
      <c r="GL102" s="6" t="s">
        <v>461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1</v>
      </c>
      <c r="GS102" s="6">
        <v>0</v>
      </c>
      <c r="GT102" s="6"/>
      <c r="GU102" s="6" t="s">
        <v>534</v>
      </c>
      <c r="GV102" s="6" t="s">
        <v>595</v>
      </c>
      <c r="GW102" s="6" t="s">
        <v>721</v>
      </c>
      <c r="GX102" s="6">
        <v>1</v>
      </c>
      <c r="GY102" s="6">
        <v>0</v>
      </c>
      <c r="GZ102" s="6">
        <v>0</v>
      </c>
      <c r="HA102" s="6">
        <v>1</v>
      </c>
      <c r="HB102" s="6">
        <v>0</v>
      </c>
      <c r="HC102" s="6">
        <v>0</v>
      </c>
      <c r="HD102" s="6"/>
      <c r="HE102" s="6" t="s">
        <v>962</v>
      </c>
      <c r="HF102" s="6">
        <v>1</v>
      </c>
      <c r="HG102" s="6">
        <v>0</v>
      </c>
      <c r="HH102" s="6">
        <v>0</v>
      </c>
      <c r="HI102" s="6">
        <v>1</v>
      </c>
      <c r="HJ102" s="6">
        <v>0</v>
      </c>
      <c r="HK102" s="6">
        <v>0</v>
      </c>
      <c r="HL102" s="15"/>
      <c r="HM102" s="6" t="s">
        <v>1016</v>
      </c>
      <c r="HN102" s="6"/>
      <c r="HO102" s="6" t="s">
        <v>2100</v>
      </c>
      <c r="HP102" s="6" t="s">
        <v>468</v>
      </c>
      <c r="HQ102" s="6"/>
      <c r="HR102" s="6" t="s">
        <v>1162</v>
      </c>
      <c r="HS102" s="6" t="s">
        <v>860</v>
      </c>
      <c r="HT102" s="6">
        <v>0</v>
      </c>
      <c r="HU102" s="6">
        <v>0</v>
      </c>
      <c r="HV102" s="6">
        <v>1</v>
      </c>
      <c r="HW102" s="6">
        <v>1</v>
      </c>
      <c r="HX102" s="6">
        <v>1</v>
      </c>
      <c r="HY102" s="6">
        <v>0</v>
      </c>
      <c r="HZ102" s="6"/>
      <c r="IA102" s="6" t="s">
        <v>2101</v>
      </c>
      <c r="IB102" s="6">
        <v>1</v>
      </c>
      <c r="IC102" s="6">
        <v>1</v>
      </c>
      <c r="ID102" s="6">
        <v>1</v>
      </c>
      <c r="IE102" s="6">
        <v>1</v>
      </c>
      <c r="IF102" s="6">
        <v>1</v>
      </c>
      <c r="IG102" s="6">
        <v>0</v>
      </c>
      <c r="IH102" s="15" t="s">
        <v>1671</v>
      </c>
      <c r="II102" s="6" t="s">
        <v>426</v>
      </c>
      <c r="IJ102" s="6" t="s">
        <v>1266</v>
      </c>
      <c r="IK102" s="6">
        <v>1</v>
      </c>
      <c r="IL102" s="6">
        <v>1</v>
      </c>
      <c r="IM102" s="6">
        <v>0</v>
      </c>
      <c r="IN102" s="6"/>
      <c r="IO102" s="6" t="s">
        <v>473</v>
      </c>
      <c r="IP102" s="6">
        <v>1</v>
      </c>
      <c r="IQ102" s="6">
        <v>0</v>
      </c>
      <c r="IR102" s="6">
        <v>0</v>
      </c>
      <c r="IS102" s="6">
        <v>0</v>
      </c>
      <c r="IT102" s="6">
        <v>0</v>
      </c>
      <c r="IU102" s="6">
        <v>0</v>
      </c>
      <c r="IV102" s="6"/>
      <c r="IW102" s="6" t="s">
        <v>453</v>
      </c>
      <c r="IX102" s="6"/>
      <c r="IY102" s="6" t="s">
        <v>510</v>
      </c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 t="s">
        <v>426</v>
      </c>
      <c r="JK102" s="6" t="s">
        <v>453</v>
      </c>
      <c r="JL102" s="6"/>
      <c r="JM102" s="6"/>
      <c r="JN102" s="6"/>
      <c r="JO102" s="6"/>
      <c r="JP102" s="6"/>
      <c r="JQ102" s="6"/>
      <c r="JR102" s="6"/>
      <c r="JS102" s="6"/>
      <c r="JT102" s="6"/>
      <c r="JU102" s="6" t="s">
        <v>477</v>
      </c>
      <c r="JV102" s="15"/>
      <c r="JW102" s="94" t="s">
        <v>2102</v>
      </c>
      <c r="JX102" s="6" t="s">
        <v>2103</v>
      </c>
      <c r="JY102" s="6">
        <v>0.6177923</v>
      </c>
      <c r="JZ102" s="6">
        <v>34.4607143</v>
      </c>
      <c r="KA102" s="6">
        <v>1322.24914550781</v>
      </c>
      <c r="KB102" s="15">
        <v>7.642</v>
      </c>
      <c r="KC102" s="15"/>
    </row>
    <row r="103" spans="1:289">
      <c r="A103" s="6" t="s">
        <v>419</v>
      </c>
      <c r="B103" s="6" t="s">
        <v>420</v>
      </c>
      <c r="C103" s="6" t="s">
        <v>1608</v>
      </c>
      <c r="D103" s="6" t="s">
        <v>2104</v>
      </c>
      <c r="E103" s="6" t="s">
        <v>2105</v>
      </c>
      <c r="F103" s="8" t="s">
        <v>423</v>
      </c>
      <c r="G103" s="6" t="s">
        <v>567</v>
      </c>
      <c r="H103" s="6" t="s">
        <v>425</v>
      </c>
      <c r="I103" s="15"/>
      <c r="J103" s="6" t="s">
        <v>426</v>
      </c>
      <c r="K103" s="6" t="s">
        <v>426</v>
      </c>
      <c r="L103" s="6" t="s">
        <v>426</v>
      </c>
      <c r="M103" s="6" t="s">
        <v>426</v>
      </c>
      <c r="N103" s="6" t="s">
        <v>426</v>
      </c>
      <c r="O103" s="6" t="s">
        <v>426</v>
      </c>
      <c r="P103" s="6" t="s">
        <v>426</v>
      </c>
      <c r="Q103" s="6" t="s">
        <v>426</v>
      </c>
      <c r="R103" s="6" t="s">
        <v>426</v>
      </c>
      <c r="S103" s="6" t="s">
        <v>426</v>
      </c>
      <c r="T103" s="6" t="s">
        <v>426</v>
      </c>
      <c r="U103" s="6" t="s">
        <v>426</v>
      </c>
      <c r="V103" s="6" t="s">
        <v>426</v>
      </c>
      <c r="W103" s="6" t="s">
        <v>426</v>
      </c>
      <c r="X103" s="6" t="s">
        <v>426</v>
      </c>
      <c r="Y103" s="6" t="s">
        <v>426</v>
      </c>
      <c r="Z103" s="6" t="s">
        <v>426</v>
      </c>
      <c r="AA103" s="6" t="s">
        <v>426</v>
      </c>
      <c r="AB103" s="6" t="s">
        <v>426</v>
      </c>
      <c r="AC103" s="15" t="s">
        <v>426</v>
      </c>
      <c r="AD103" s="6" t="s">
        <v>427</v>
      </c>
      <c r="AE103" s="6">
        <v>0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0</v>
      </c>
      <c r="AL103" s="6">
        <v>0</v>
      </c>
      <c r="AM103" s="6"/>
      <c r="AN103" s="15"/>
      <c r="AO103" s="6" t="s">
        <v>426</v>
      </c>
      <c r="AP103" s="6" t="s">
        <v>1188</v>
      </c>
      <c r="AQ103" s="6" t="s">
        <v>426</v>
      </c>
      <c r="AR103" s="6" t="s">
        <v>1188</v>
      </c>
      <c r="AS103" s="6" t="s">
        <v>426</v>
      </c>
      <c r="AT103" s="6">
        <v>1</v>
      </c>
      <c r="AU103" s="6" t="s">
        <v>426</v>
      </c>
      <c r="AV103" s="6">
        <v>0.2</v>
      </c>
      <c r="AW103" s="6" t="s">
        <v>426</v>
      </c>
      <c r="AX103" s="6">
        <v>1</v>
      </c>
      <c r="AY103" s="6" t="s">
        <v>426</v>
      </c>
      <c r="AZ103" s="6">
        <v>1</v>
      </c>
      <c r="BA103" s="6" t="s">
        <v>426</v>
      </c>
      <c r="BB103" s="6">
        <v>0.2</v>
      </c>
      <c r="BC103" s="6" t="s">
        <v>426</v>
      </c>
      <c r="BD103" s="6">
        <v>0.8</v>
      </c>
      <c r="BE103" s="6" t="s">
        <v>426</v>
      </c>
      <c r="BF103" s="6">
        <v>5</v>
      </c>
      <c r="BG103" s="6" t="s">
        <v>426</v>
      </c>
      <c r="BH103" s="6">
        <v>0.2</v>
      </c>
      <c r="BI103" s="6" t="s">
        <v>426</v>
      </c>
      <c r="BJ103" s="6">
        <v>0.2</v>
      </c>
      <c r="BK103" s="6" t="s">
        <v>426</v>
      </c>
      <c r="BL103" s="6">
        <v>1</v>
      </c>
      <c r="BM103" s="6" t="s">
        <v>426</v>
      </c>
      <c r="BN103" s="6">
        <v>20</v>
      </c>
      <c r="BO103" s="6" t="s">
        <v>426</v>
      </c>
      <c r="BP103" s="6">
        <v>0.75</v>
      </c>
      <c r="BQ103" s="6" t="s">
        <v>426</v>
      </c>
      <c r="BR103" s="6">
        <v>1500</v>
      </c>
      <c r="BS103" s="6" t="s">
        <v>426</v>
      </c>
      <c r="BT103" s="6">
        <v>5</v>
      </c>
      <c r="BU103" s="6" t="s">
        <v>426</v>
      </c>
      <c r="BV103" s="15">
        <v>1</v>
      </c>
      <c r="BW103" s="15" t="s">
        <v>428</v>
      </c>
      <c r="BX103" s="15" t="s">
        <v>429</v>
      </c>
      <c r="BY103" s="6" t="s">
        <v>430</v>
      </c>
      <c r="BZ103" s="6" t="s">
        <v>430</v>
      </c>
      <c r="CA103" s="6" t="s">
        <v>430</v>
      </c>
      <c r="CB103" s="6" t="s">
        <v>431</v>
      </c>
      <c r="CC103" s="6" t="s">
        <v>430</v>
      </c>
      <c r="CD103" s="6" t="s">
        <v>431</v>
      </c>
      <c r="CE103" s="6" t="s">
        <v>431</v>
      </c>
      <c r="CF103" s="6" t="s">
        <v>430</v>
      </c>
      <c r="CG103" s="6" t="s">
        <v>431</v>
      </c>
      <c r="CH103" s="6" t="s">
        <v>431</v>
      </c>
      <c r="CI103" s="6" t="s">
        <v>430</v>
      </c>
      <c r="CJ103" s="6" t="s">
        <v>430</v>
      </c>
      <c r="CK103" s="6" t="s">
        <v>430</v>
      </c>
      <c r="CL103" s="6" t="s">
        <v>430</v>
      </c>
      <c r="CM103" s="6" t="s">
        <v>430</v>
      </c>
      <c r="CN103" s="6" t="s">
        <v>431</v>
      </c>
      <c r="CO103" s="15" t="s">
        <v>431</v>
      </c>
      <c r="CP103" s="15" t="s">
        <v>432</v>
      </c>
      <c r="CQ103" s="6" t="s">
        <v>433</v>
      </c>
      <c r="CR103" s="15"/>
      <c r="CS103" s="6" t="s">
        <v>426</v>
      </c>
      <c r="CT103" s="6" t="s">
        <v>2106</v>
      </c>
      <c r="CU103" s="6" t="s">
        <v>809</v>
      </c>
      <c r="CV103" s="6" t="s">
        <v>737</v>
      </c>
      <c r="CW103" s="6" t="s">
        <v>1137</v>
      </c>
      <c r="CX103" s="15" t="s">
        <v>426</v>
      </c>
      <c r="CY103" s="6" t="s">
        <v>426</v>
      </c>
      <c r="CZ103" s="6" t="s">
        <v>2107</v>
      </c>
      <c r="DA103" s="6" t="s">
        <v>689</v>
      </c>
      <c r="DB103" s="6" t="s">
        <v>766</v>
      </c>
      <c r="DC103" s="6" t="s">
        <v>660</v>
      </c>
      <c r="DD103" s="15" t="s">
        <v>935</v>
      </c>
      <c r="DE103" s="15" t="s">
        <v>436</v>
      </c>
      <c r="DF103" s="6" t="s">
        <v>611</v>
      </c>
      <c r="DG103" s="6">
        <v>1</v>
      </c>
      <c r="DH103" s="6">
        <v>1</v>
      </c>
      <c r="DI103" s="6">
        <v>0</v>
      </c>
      <c r="DJ103" s="6">
        <v>0</v>
      </c>
      <c r="DK103" s="6">
        <v>0</v>
      </c>
      <c r="DL103" s="6">
        <v>0</v>
      </c>
      <c r="DM103" s="6"/>
      <c r="DN103" s="6"/>
      <c r="DO103" s="6"/>
      <c r="DP103" s="6"/>
      <c r="DQ103" s="6"/>
      <c r="DR103" s="6"/>
      <c r="DS103" s="6"/>
      <c r="DT103" s="66"/>
      <c r="DU103" s="6" t="s">
        <v>438</v>
      </c>
      <c r="DV103" s="6" t="s">
        <v>426</v>
      </c>
      <c r="DW103" s="6" t="s">
        <v>439</v>
      </c>
      <c r="DX103" s="6" t="s">
        <v>491</v>
      </c>
      <c r="DY103" s="6"/>
      <c r="DZ103" s="6" t="s">
        <v>940</v>
      </c>
      <c r="EA103" s="6">
        <v>1</v>
      </c>
      <c r="EB103" s="6">
        <v>1</v>
      </c>
      <c r="EC103" s="6">
        <v>1</v>
      </c>
      <c r="ED103" s="6">
        <v>1</v>
      </c>
      <c r="EE103" s="6">
        <v>0</v>
      </c>
      <c r="EF103" s="6">
        <v>0</v>
      </c>
      <c r="EG103" s="6">
        <v>0</v>
      </c>
      <c r="EH103" s="6">
        <v>0</v>
      </c>
      <c r="EI103" s="6"/>
      <c r="EJ103" s="6" t="s">
        <v>697</v>
      </c>
      <c r="EK103" s="6">
        <v>1</v>
      </c>
      <c r="EL103" s="6">
        <v>1</v>
      </c>
      <c r="EM103" s="6">
        <v>1</v>
      </c>
      <c r="EN103" s="6">
        <v>1</v>
      </c>
      <c r="EO103" s="6">
        <v>1</v>
      </c>
      <c r="EP103" s="6">
        <v>1</v>
      </c>
      <c r="EQ103" s="6">
        <v>0</v>
      </c>
      <c r="ER103" s="6">
        <v>0</v>
      </c>
      <c r="ES103" s="6">
        <v>0</v>
      </c>
      <c r="ET103" s="6"/>
      <c r="EU103" s="6" t="s">
        <v>494</v>
      </c>
      <c r="EV103" s="6" t="s">
        <v>495</v>
      </c>
      <c r="EW103" s="6"/>
      <c r="EX103" s="6" t="s">
        <v>445</v>
      </c>
      <c r="EY103" s="6">
        <v>0</v>
      </c>
      <c r="EZ103" s="6">
        <v>0</v>
      </c>
      <c r="FA103" s="6">
        <v>1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/>
      <c r="FH103" s="6" t="s">
        <v>446</v>
      </c>
      <c r="FI103" s="6">
        <v>1</v>
      </c>
      <c r="FJ103" s="6">
        <v>0</v>
      </c>
      <c r="FK103" s="6">
        <v>0</v>
      </c>
      <c r="FL103" s="6">
        <v>0</v>
      </c>
      <c r="FM103" s="6">
        <v>1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/>
      <c r="FT103" s="6" t="s">
        <v>447</v>
      </c>
      <c r="FU103" s="6" t="s">
        <v>448</v>
      </c>
      <c r="FV103" s="6"/>
      <c r="FW103" s="6" t="s">
        <v>449</v>
      </c>
      <c r="FX103" s="15" t="s">
        <v>528</v>
      </c>
      <c r="FY103" s="6" t="s">
        <v>451</v>
      </c>
      <c r="FZ103" s="6"/>
      <c r="GA103" s="6" t="s">
        <v>528</v>
      </c>
      <c r="GB103" s="6" t="s">
        <v>452</v>
      </c>
      <c r="GC103" s="6" t="s">
        <v>453</v>
      </c>
      <c r="GD103" s="6"/>
      <c r="GE103" s="6" t="s">
        <v>454</v>
      </c>
      <c r="GF103" s="6" t="s">
        <v>2108</v>
      </c>
      <c r="GG103" s="6" t="s">
        <v>456</v>
      </c>
      <c r="GH103" s="15" t="s">
        <v>2109</v>
      </c>
      <c r="GI103" s="6" t="s">
        <v>458</v>
      </c>
      <c r="GJ103" s="6" t="s">
        <v>2110</v>
      </c>
      <c r="GK103" s="6" t="s">
        <v>460</v>
      </c>
      <c r="GL103" s="6" t="s">
        <v>704</v>
      </c>
      <c r="GM103" s="6">
        <v>0</v>
      </c>
      <c r="GN103" s="6">
        <v>0</v>
      </c>
      <c r="GO103" s="6">
        <v>0</v>
      </c>
      <c r="GP103" s="6">
        <v>1</v>
      </c>
      <c r="GQ103" s="6">
        <v>0</v>
      </c>
      <c r="GR103" s="6">
        <v>0</v>
      </c>
      <c r="GS103" s="6">
        <v>0</v>
      </c>
      <c r="GT103" s="6"/>
      <c r="GU103" s="6" t="s">
        <v>462</v>
      </c>
      <c r="GV103" s="6" t="s">
        <v>463</v>
      </c>
      <c r="GW103" s="6" t="s">
        <v>464</v>
      </c>
      <c r="GX103" s="6">
        <v>1</v>
      </c>
      <c r="GY103" s="6">
        <v>0</v>
      </c>
      <c r="GZ103" s="6">
        <v>0</v>
      </c>
      <c r="HA103" s="6">
        <v>0</v>
      </c>
      <c r="HB103" s="6">
        <v>0</v>
      </c>
      <c r="HC103" s="6">
        <v>0</v>
      </c>
      <c r="HD103" s="6"/>
      <c r="HE103" s="6" t="s">
        <v>535</v>
      </c>
      <c r="HF103" s="6">
        <v>1</v>
      </c>
      <c r="HG103" s="6">
        <v>0</v>
      </c>
      <c r="HH103" s="6">
        <v>0</v>
      </c>
      <c r="HI103" s="6">
        <v>0</v>
      </c>
      <c r="HJ103" s="6">
        <v>0</v>
      </c>
      <c r="HK103" s="6">
        <v>0</v>
      </c>
      <c r="HL103" s="15"/>
      <c r="HM103" s="6" t="s">
        <v>466</v>
      </c>
      <c r="HN103" s="6"/>
      <c r="HO103" s="6" t="s">
        <v>2111</v>
      </c>
      <c r="HP103" s="6" t="s">
        <v>468</v>
      </c>
      <c r="HQ103" s="6"/>
      <c r="HR103" s="6" t="s">
        <v>1616</v>
      </c>
      <c r="HS103" s="6" t="s">
        <v>470</v>
      </c>
      <c r="HT103" s="6">
        <v>0</v>
      </c>
      <c r="HU103" s="6">
        <v>0</v>
      </c>
      <c r="HV103" s="6">
        <v>0</v>
      </c>
      <c r="HW103" s="6">
        <v>0</v>
      </c>
      <c r="HX103" s="6">
        <v>1</v>
      </c>
      <c r="HY103" s="6">
        <v>0</v>
      </c>
      <c r="HZ103" s="6"/>
      <c r="IA103" s="6" t="s">
        <v>541</v>
      </c>
      <c r="IB103" s="6">
        <v>0</v>
      </c>
      <c r="IC103" s="6">
        <v>0</v>
      </c>
      <c r="ID103" s="6">
        <v>1</v>
      </c>
      <c r="IE103" s="6">
        <v>0</v>
      </c>
      <c r="IF103" s="6">
        <v>0</v>
      </c>
      <c r="IG103" s="6">
        <v>0</v>
      </c>
      <c r="IH103" s="15" t="s">
        <v>2112</v>
      </c>
      <c r="II103" s="6" t="s">
        <v>426</v>
      </c>
      <c r="IJ103" s="6" t="s">
        <v>472</v>
      </c>
      <c r="IK103" s="6">
        <v>1</v>
      </c>
      <c r="IL103" s="6">
        <v>0</v>
      </c>
      <c r="IM103" s="6">
        <v>0</v>
      </c>
      <c r="IN103" s="6"/>
      <c r="IO103" s="6" t="s">
        <v>473</v>
      </c>
      <c r="IP103" s="6">
        <v>1</v>
      </c>
      <c r="IQ103" s="6">
        <v>0</v>
      </c>
      <c r="IR103" s="6">
        <v>0</v>
      </c>
      <c r="IS103" s="6">
        <v>0</v>
      </c>
      <c r="IT103" s="6">
        <v>0</v>
      </c>
      <c r="IU103" s="6">
        <v>0</v>
      </c>
      <c r="IV103" s="6"/>
      <c r="IW103" s="6" t="s">
        <v>453</v>
      </c>
      <c r="IX103" s="6"/>
      <c r="IY103" s="6" t="s">
        <v>510</v>
      </c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 t="s">
        <v>426</v>
      </c>
      <c r="JK103" s="6" t="s">
        <v>426</v>
      </c>
      <c r="JL103" s="6" t="s">
        <v>426</v>
      </c>
      <c r="JM103" s="6"/>
      <c r="JN103" s="6"/>
      <c r="JO103" s="6"/>
      <c r="JP103" s="6"/>
      <c r="JQ103" s="6"/>
      <c r="JR103" s="6"/>
      <c r="JS103" s="6"/>
      <c r="JT103" s="6"/>
      <c r="JU103" s="6" t="s">
        <v>477</v>
      </c>
      <c r="JV103" s="15"/>
      <c r="JW103" s="94" t="s">
        <v>2113</v>
      </c>
      <c r="JX103" s="6" t="s">
        <v>2114</v>
      </c>
      <c r="JY103" s="6">
        <v>0.6176117</v>
      </c>
      <c r="JZ103" s="6">
        <v>34.4607367</v>
      </c>
      <c r="KA103" s="6">
        <v>1337.4</v>
      </c>
      <c r="KB103" s="15">
        <v>4.3</v>
      </c>
      <c r="KC103" s="15"/>
    </row>
    <row r="104" spans="1:289">
      <c r="A104" s="6" t="s">
        <v>2115</v>
      </c>
      <c r="B104" s="6" t="s">
        <v>420</v>
      </c>
      <c r="C104" s="6" t="s">
        <v>1608</v>
      </c>
      <c r="D104" s="6" t="s">
        <v>1877</v>
      </c>
      <c r="E104" s="6" t="s">
        <v>2116</v>
      </c>
      <c r="F104" s="8" t="s">
        <v>423</v>
      </c>
      <c r="G104" s="6" t="s">
        <v>567</v>
      </c>
      <c r="H104" s="6" t="s">
        <v>425</v>
      </c>
      <c r="I104" s="15"/>
      <c r="J104" s="6" t="s">
        <v>426</v>
      </c>
      <c r="K104" s="6" t="s">
        <v>426</v>
      </c>
      <c r="L104" s="6" t="s">
        <v>426</v>
      </c>
      <c r="M104" s="6" t="s">
        <v>453</v>
      </c>
      <c r="N104" s="6" t="s">
        <v>426</v>
      </c>
      <c r="O104" s="6" t="s">
        <v>426</v>
      </c>
      <c r="P104" s="6" t="s">
        <v>426</v>
      </c>
      <c r="Q104" s="6" t="s">
        <v>426</v>
      </c>
      <c r="R104" s="6" t="s">
        <v>426</v>
      </c>
      <c r="S104" s="6" t="s">
        <v>426</v>
      </c>
      <c r="T104" s="6" t="s">
        <v>426</v>
      </c>
      <c r="U104" s="6" t="s">
        <v>426</v>
      </c>
      <c r="V104" s="6" t="s">
        <v>426</v>
      </c>
      <c r="W104" s="6" t="s">
        <v>426</v>
      </c>
      <c r="X104" s="6" t="s">
        <v>426</v>
      </c>
      <c r="Y104" s="6" t="s">
        <v>426</v>
      </c>
      <c r="Z104" s="6" t="s">
        <v>426</v>
      </c>
      <c r="AA104" s="6" t="s">
        <v>426</v>
      </c>
      <c r="AB104" s="6" t="s">
        <v>426</v>
      </c>
      <c r="AC104" s="15" t="s">
        <v>426</v>
      </c>
      <c r="AD104" s="6" t="s">
        <v>427</v>
      </c>
      <c r="AE104" s="6">
        <v>0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0</v>
      </c>
      <c r="AL104" s="6">
        <v>0</v>
      </c>
      <c r="AM104" s="6"/>
      <c r="AN104" s="15"/>
      <c r="AO104" s="6" t="s">
        <v>426</v>
      </c>
      <c r="AP104" s="6" t="s">
        <v>656</v>
      </c>
      <c r="AQ104" s="6" t="s">
        <v>426</v>
      </c>
      <c r="AR104" s="6" t="s">
        <v>656</v>
      </c>
      <c r="AS104" s="6" t="s">
        <v>426</v>
      </c>
      <c r="AT104" s="6">
        <v>1</v>
      </c>
      <c r="AU104" s="6" t="s">
        <v>426</v>
      </c>
      <c r="AV104" s="6">
        <v>1</v>
      </c>
      <c r="AW104" s="6" t="s">
        <v>426</v>
      </c>
      <c r="AX104" s="6">
        <v>1</v>
      </c>
      <c r="AY104" s="6" t="s">
        <v>426</v>
      </c>
      <c r="AZ104" s="6">
        <v>1</v>
      </c>
      <c r="BA104" s="6" t="s">
        <v>426</v>
      </c>
      <c r="BB104" s="6">
        <v>1</v>
      </c>
      <c r="BC104" s="6" t="s">
        <v>426</v>
      </c>
      <c r="BD104" s="6">
        <v>1</v>
      </c>
      <c r="BE104" s="6" t="s">
        <v>426</v>
      </c>
      <c r="BF104" s="6">
        <v>1</v>
      </c>
      <c r="BG104" s="6" t="s">
        <v>453</v>
      </c>
      <c r="BH104" s="6"/>
      <c r="BI104" s="6" t="s">
        <v>426</v>
      </c>
      <c r="BJ104" s="6">
        <v>1</v>
      </c>
      <c r="BK104" s="6" t="s">
        <v>426</v>
      </c>
      <c r="BL104" s="6">
        <v>1</v>
      </c>
      <c r="BM104" s="6" t="s">
        <v>426</v>
      </c>
      <c r="BN104" s="6">
        <v>5</v>
      </c>
      <c r="BO104" s="6" t="s">
        <v>426</v>
      </c>
      <c r="BP104" s="6">
        <v>1</v>
      </c>
      <c r="BQ104" s="6" t="s">
        <v>426</v>
      </c>
      <c r="BR104" s="6">
        <v>500</v>
      </c>
      <c r="BS104" s="6" t="s">
        <v>426</v>
      </c>
      <c r="BT104" s="6">
        <v>2</v>
      </c>
      <c r="BU104" s="6" t="s">
        <v>453</v>
      </c>
      <c r="BV104" s="15"/>
      <c r="BW104" s="15" t="s">
        <v>2117</v>
      </c>
      <c r="BX104" s="15" t="s">
        <v>429</v>
      </c>
      <c r="BY104" s="6" t="s">
        <v>430</v>
      </c>
      <c r="BZ104" s="6" t="s">
        <v>430</v>
      </c>
      <c r="CA104" s="6" t="s">
        <v>430</v>
      </c>
      <c r="CB104" s="6" t="s">
        <v>430</v>
      </c>
      <c r="CC104" s="6" t="s">
        <v>430</v>
      </c>
      <c r="CD104" s="6" t="s">
        <v>430</v>
      </c>
      <c r="CE104" s="6" t="s">
        <v>487</v>
      </c>
      <c r="CF104" s="6" t="s">
        <v>430</v>
      </c>
      <c r="CG104" s="6" t="s">
        <v>430</v>
      </c>
      <c r="CH104" s="6" t="s">
        <v>487</v>
      </c>
      <c r="CI104" s="6" t="s">
        <v>430</v>
      </c>
      <c r="CJ104" s="6" t="s">
        <v>430</v>
      </c>
      <c r="CK104" s="6" t="s">
        <v>430</v>
      </c>
      <c r="CL104" s="6" t="s">
        <v>430</v>
      </c>
      <c r="CM104" s="6" t="s">
        <v>430</v>
      </c>
      <c r="CN104" s="6" t="s">
        <v>430</v>
      </c>
      <c r="CO104" s="15" t="s">
        <v>487</v>
      </c>
      <c r="CP104" s="15" t="s">
        <v>432</v>
      </c>
      <c r="CQ104" s="6" t="s">
        <v>433</v>
      </c>
      <c r="CR104" s="15"/>
      <c r="CS104" s="6" t="s">
        <v>426</v>
      </c>
      <c r="CT104" s="6" t="s">
        <v>2118</v>
      </c>
      <c r="CU104" s="6" t="s">
        <v>758</v>
      </c>
      <c r="CV104" s="6" t="s">
        <v>825</v>
      </c>
      <c r="CW104" s="6" t="s">
        <v>1919</v>
      </c>
      <c r="CX104" s="15" t="s">
        <v>426</v>
      </c>
      <c r="CY104" s="6" t="s">
        <v>426</v>
      </c>
      <c r="CZ104" s="6" t="s">
        <v>2119</v>
      </c>
      <c r="DA104" s="6" t="s">
        <v>683</v>
      </c>
      <c r="DB104" s="6" t="s">
        <v>758</v>
      </c>
      <c r="DC104" s="6" t="s">
        <v>825</v>
      </c>
      <c r="DD104" s="15" t="s">
        <v>1919</v>
      </c>
      <c r="DE104" s="15" t="s">
        <v>436</v>
      </c>
      <c r="DF104" s="6" t="s">
        <v>437</v>
      </c>
      <c r="DG104" s="6">
        <v>1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/>
      <c r="DN104" s="6"/>
      <c r="DO104" s="6"/>
      <c r="DP104" s="6"/>
      <c r="DQ104" s="6"/>
      <c r="DR104" s="6"/>
      <c r="DS104" s="6"/>
      <c r="DT104" s="66"/>
      <c r="DU104" s="6" t="s">
        <v>438</v>
      </c>
      <c r="DV104" s="6" t="s">
        <v>426</v>
      </c>
      <c r="DW104" s="6" t="s">
        <v>439</v>
      </c>
      <c r="DX104" s="6" t="s">
        <v>440</v>
      </c>
      <c r="DY104" s="6"/>
      <c r="DZ104" s="6" t="s">
        <v>441</v>
      </c>
      <c r="EA104" s="6">
        <v>1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/>
      <c r="EJ104" s="6" t="s">
        <v>811</v>
      </c>
      <c r="EK104" s="6">
        <v>1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/>
      <c r="EU104" s="6" t="s">
        <v>443</v>
      </c>
      <c r="EV104" s="6" t="s">
        <v>588</v>
      </c>
      <c r="EW104" s="6"/>
      <c r="EX104" s="6" t="s">
        <v>1123</v>
      </c>
      <c r="EY104" s="6">
        <v>1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/>
      <c r="FH104" s="6" t="s">
        <v>1243</v>
      </c>
      <c r="FI104" s="6">
        <v>0</v>
      </c>
      <c r="FJ104" s="6">
        <v>0</v>
      </c>
      <c r="FK104" s="6">
        <v>1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/>
      <c r="FT104" s="6" t="s">
        <v>447</v>
      </c>
      <c r="FU104" s="6" t="s">
        <v>499</v>
      </c>
      <c r="FV104" s="6"/>
      <c r="FW104" s="6" t="s">
        <v>449</v>
      </c>
      <c r="FX104" s="15" t="s">
        <v>450</v>
      </c>
      <c r="FY104" s="6" t="s">
        <v>619</v>
      </c>
      <c r="FZ104" s="6"/>
      <c r="GA104" s="6" t="s">
        <v>450</v>
      </c>
      <c r="GB104" s="6" t="s">
        <v>501</v>
      </c>
      <c r="GC104" s="6" t="s">
        <v>453</v>
      </c>
      <c r="GD104" s="6"/>
      <c r="GE104" s="6" t="s">
        <v>454</v>
      </c>
      <c r="GF104" s="6" t="s">
        <v>2120</v>
      </c>
      <c r="GG104" s="6" t="s">
        <v>456</v>
      </c>
      <c r="GH104" s="15" t="s">
        <v>2121</v>
      </c>
      <c r="GI104" s="6" t="s">
        <v>458</v>
      </c>
      <c r="GJ104" s="6" t="s">
        <v>2122</v>
      </c>
      <c r="GK104" s="6" t="s">
        <v>460</v>
      </c>
      <c r="GL104" s="6" t="s">
        <v>461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1</v>
      </c>
      <c r="GS104" s="6">
        <v>0</v>
      </c>
      <c r="GT104" s="6"/>
      <c r="GU104" s="6" t="s">
        <v>534</v>
      </c>
      <c r="GV104" s="6" t="s">
        <v>595</v>
      </c>
      <c r="GW104" s="6" t="s">
        <v>464</v>
      </c>
      <c r="GX104" s="6">
        <v>1</v>
      </c>
      <c r="GY104" s="6">
        <v>0</v>
      </c>
      <c r="GZ104" s="6">
        <v>0</v>
      </c>
      <c r="HA104" s="6">
        <v>0</v>
      </c>
      <c r="HB104" s="6">
        <v>0</v>
      </c>
      <c r="HC104" s="6">
        <v>0</v>
      </c>
      <c r="HD104" s="6"/>
      <c r="HE104" s="6" t="s">
        <v>111</v>
      </c>
      <c r="HF104" s="6">
        <v>0</v>
      </c>
      <c r="HG104" s="6">
        <v>0</v>
      </c>
      <c r="HH104" s="6">
        <v>0</v>
      </c>
      <c r="HI104" s="6">
        <v>1</v>
      </c>
      <c r="HJ104" s="6">
        <v>0</v>
      </c>
      <c r="HK104" s="6">
        <v>0</v>
      </c>
      <c r="HL104" s="15"/>
      <c r="HM104" s="6" t="s">
        <v>505</v>
      </c>
      <c r="HN104" s="6"/>
      <c r="HO104" s="6" t="s">
        <v>2123</v>
      </c>
      <c r="HP104" s="6" t="s">
        <v>468</v>
      </c>
      <c r="HQ104" s="6"/>
      <c r="HR104" s="6" t="s">
        <v>2124</v>
      </c>
      <c r="HS104" s="6" t="s">
        <v>540</v>
      </c>
      <c r="HT104" s="6">
        <v>1</v>
      </c>
      <c r="HU104" s="6">
        <v>0</v>
      </c>
      <c r="HV104" s="6">
        <v>0</v>
      </c>
      <c r="HW104" s="6">
        <v>0</v>
      </c>
      <c r="HX104" s="6">
        <v>0</v>
      </c>
      <c r="HY104" s="6">
        <v>0</v>
      </c>
      <c r="HZ104" s="6"/>
      <c r="IA104" s="6" t="s">
        <v>111</v>
      </c>
      <c r="IB104" s="6">
        <v>1</v>
      </c>
      <c r="IC104" s="6">
        <v>0</v>
      </c>
      <c r="ID104" s="6">
        <v>0</v>
      </c>
      <c r="IE104" s="6">
        <v>0</v>
      </c>
      <c r="IF104" s="6">
        <v>0</v>
      </c>
      <c r="IG104" s="6">
        <v>0</v>
      </c>
      <c r="IH104" s="15" t="s">
        <v>538</v>
      </c>
      <c r="II104" s="6" t="s">
        <v>426</v>
      </c>
      <c r="IJ104" s="6" t="s">
        <v>472</v>
      </c>
      <c r="IK104" s="6">
        <v>1</v>
      </c>
      <c r="IL104" s="6">
        <v>0</v>
      </c>
      <c r="IM104" s="6">
        <v>0</v>
      </c>
      <c r="IN104" s="6"/>
      <c r="IO104" s="6" t="s">
        <v>1989</v>
      </c>
      <c r="IP104" s="6">
        <v>0</v>
      </c>
      <c r="IQ104" s="6">
        <v>0</v>
      </c>
      <c r="IR104" s="6">
        <v>0</v>
      </c>
      <c r="IS104" s="6">
        <v>0</v>
      </c>
      <c r="IT104" s="6">
        <v>1</v>
      </c>
      <c r="IU104" s="6">
        <v>0</v>
      </c>
      <c r="IV104" s="6"/>
      <c r="IW104" s="6" t="s">
        <v>453</v>
      </c>
      <c r="IX104" s="6"/>
      <c r="IY104" s="6" t="s">
        <v>510</v>
      </c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 t="s">
        <v>426</v>
      </c>
      <c r="JK104" s="6" t="s">
        <v>426</v>
      </c>
      <c r="JL104" s="6" t="s">
        <v>453</v>
      </c>
      <c r="JM104" s="6" t="s">
        <v>894</v>
      </c>
      <c r="JN104" s="6">
        <v>0</v>
      </c>
      <c r="JO104" s="6">
        <v>1</v>
      </c>
      <c r="JP104" s="6">
        <v>0</v>
      </c>
      <c r="JQ104" s="6">
        <v>0</v>
      </c>
      <c r="JR104" s="6">
        <v>0</v>
      </c>
      <c r="JS104" s="6">
        <v>0</v>
      </c>
      <c r="JT104" s="6"/>
      <c r="JU104" s="6" t="s">
        <v>544</v>
      </c>
      <c r="JV104" s="15"/>
      <c r="JW104" s="94" t="s">
        <v>2125</v>
      </c>
      <c r="JX104" s="6" t="s">
        <v>2126</v>
      </c>
      <c r="JY104" s="6">
        <v>0.5827859</v>
      </c>
      <c r="JZ104" s="6">
        <v>34.4694527</v>
      </c>
      <c r="KA104" s="6">
        <v>1323.94</v>
      </c>
      <c r="KB104" s="15">
        <v>3.791</v>
      </c>
      <c r="KC104" s="15"/>
    </row>
    <row r="105" spans="1:289">
      <c r="A105" s="6" t="s">
        <v>2115</v>
      </c>
      <c r="B105" s="6" t="s">
        <v>420</v>
      </c>
      <c r="C105" s="6" t="s">
        <v>1608</v>
      </c>
      <c r="D105" s="6" t="s">
        <v>1877</v>
      </c>
      <c r="E105" s="6" t="s">
        <v>2127</v>
      </c>
      <c r="F105" s="8" t="s">
        <v>423</v>
      </c>
      <c r="G105" s="6" t="s">
        <v>567</v>
      </c>
      <c r="H105" s="6" t="s">
        <v>425</v>
      </c>
      <c r="I105" s="15"/>
      <c r="J105" s="6" t="s">
        <v>426</v>
      </c>
      <c r="K105" s="6" t="s">
        <v>426</v>
      </c>
      <c r="L105" s="6" t="s">
        <v>426</v>
      </c>
      <c r="M105" s="6" t="s">
        <v>426</v>
      </c>
      <c r="N105" s="6" t="s">
        <v>426</v>
      </c>
      <c r="O105" s="6" t="s">
        <v>426</v>
      </c>
      <c r="P105" s="6" t="s">
        <v>426</v>
      </c>
      <c r="Q105" s="6" t="s">
        <v>426</v>
      </c>
      <c r="R105" s="6" t="s">
        <v>426</v>
      </c>
      <c r="S105" s="6" t="s">
        <v>426</v>
      </c>
      <c r="T105" s="6" t="s">
        <v>426</v>
      </c>
      <c r="U105" s="6" t="s">
        <v>426</v>
      </c>
      <c r="V105" s="6" t="s">
        <v>426</v>
      </c>
      <c r="W105" s="6" t="s">
        <v>426</v>
      </c>
      <c r="X105" s="6" t="s">
        <v>426</v>
      </c>
      <c r="Y105" s="6" t="s">
        <v>426</v>
      </c>
      <c r="Z105" s="6" t="s">
        <v>426</v>
      </c>
      <c r="AA105" s="6" t="s">
        <v>426</v>
      </c>
      <c r="AB105" s="6" t="s">
        <v>426</v>
      </c>
      <c r="AC105" s="15" t="s">
        <v>426</v>
      </c>
      <c r="AD105" s="6" t="s">
        <v>427</v>
      </c>
      <c r="AE105" s="6">
        <v>0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0</v>
      </c>
      <c r="AM105" s="6"/>
      <c r="AN105" s="15"/>
      <c r="AO105" s="6" t="s">
        <v>426</v>
      </c>
      <c r="AP105" s="6" t="s">
        <v>656</v>
      </c>
      <c r="AQ105" s="6" t="s">
        <v>426</v>
      </c>
      <c r="AR105" s="6" t="s">
        <v>656</v>
      </c>
      <c r="AS105" s="6" t="s">
        <v>426</v>
      </c>
      <c r="AT105" s="6">
        <v>2</v>
      </c>
      <c r="AU105" s="6" t="s">
        <v>426</v>
      </c>
      <c r="AV105" s="6">
        <v>2</v>
      </c>
      <c r="AW105" s="6" t="s">
        <v>426</v>
      </c>
      <c r="AX105" s="6">
        <v>2</v>
      </c>
      <c r="AY105" s="6" t="s">
        <v>426</v>
      </c>
      <c r="AZ105" s="6">
        <v>1</v>
      </c>
      <c r="BA105" s="6" t="s">
        <v>426</v>
      </c>
      <c r="BB105" s="6">
        <v>0.25</v>
      </c>
      <c r="BC105" s="6" t="s">
        <v>426</v>
      </c>
      <c r="BD105" s="6">
        <v>1</v>
      </c>
      <c r="BE105" s="6" t="s">
        <v>426</v>
      </c>
      <c r="BF105" s="6">
        <v>19</v>
      </c>
      <c r="BG105" s="6" t="s">
        <v>426</v>
      </c>
      <c r="BH105" s="6">
        <v>0.5</v>
      </c>
      <c r="BI105" s="6" t="s">
        <v>426</v>
      </c>
      <c r="BJ105" s="6">
        <v>0.25</v>
      </c>
      <c r="BK105" s="6" t="s">
        <v>426</v>
      </c>
      <c r="BL105" s="6">
        <v>0.75</v>
      </c>
      <c r="BM105" s="6" t="s">
        <v>426</v>
      </c>
      <c r="BN105" s="6">
        <v>25</v>
      </c>
      <c r="BO105" s="6" t="s">
        <v>426</v>
      </c>
      <c r="BP105" s="6">
        <v>0.5</v>
      </c>
      <c r="BQ105" s="6" t="s">
        <v>426</v>
      </c>
      <c r="BR105" s="6">
        <v>100</v>
      </c>
      <c r="BS105" s="6" t="s">
        <v>426</v>
      </c>
      <c r="BT105" s="6">
        <v>2</v>
      </c>
      <c r="BU105" s="6" t="s">
        <v>426</v>
      </c>
      <c r="BV105" s="15">
        <v>0.5</v>
      </c>
      <c r="BW105" s="15" t="s">
        <v>518</v>
      </c>
      <c r="BX105" s="15" t="s">
        <v>429</v>
      </c>
      <c r="BY105" s="6" t="s">
        <v>430</v>
      </c>
      <c r="BZ105" s="6" t="s">
        <v>430</v>
      </c>
      <c r="CA105" s="6" t="s">
        <v>430</v>
      </c>
      <c r="CB105" s="6" t="s">
        <v>430</v>
      </c>
      <c r="CC105" s="6" t="s">
        <v>430</v>
      </c>
      <c r="CD105" s="6" t="s">
        <v>430</v>
      </c>
      <c r="CE105" s="6" t="s">
        <v>430</v>
      </c>
      <c r="CF105" s="6" t="s">
        <v>430</v>
      </c>
      <c r="CG105" s="6" t="s">
        <v>430</v>
      </c>
      <c r="CH105" s="6" t="s">
        <v>430</v>
      </c>
      <c r="CI105" s="6" t="s">
        <v>430</v>
      </c>
      <c r="CJ105" s="6" t="s">
        <v>430</v>
      </c>
      <c r="CK105" s="6" t="s">
        <v>430</v>
      </c>
      <c r="CL105" s="6" t="s">
        <v>430</v>
      </c>
      <c r="CM105" s="6" t="s">
        <v>430</v>
      </c>
      <c r="CN105" s="6" t="s">
        <v>430</v>
      </c>
      <c r="CO105" s="15" t="s">
        <v>430</v>
      </c>
      <c r="CP105" s="15" t="s">
        <v>432</v>
      </c>
      <c r="CQ105" s="6" t="s">
        <v>433</v>
      </c>
      <c r="CR105" s="15"/>
      <c r="CS105" s="6" t="s">
        <v>426</v>
      </c>
      <c r="CT105" s="6" t="s">
        <v>2128</v>
      </c>
      <c r="CU105" s="6" t="s">
        <v>733</v>
      </c>
      <c r="CV105" s="6" t="s">
        <v>660</v>
      </c>
      <c r="CW105" s="6" t="s">
        <v>736</v>
      </c>
      <c r="CX105" s="15" t="s">
        <v>426</v>
      </c>
      <c r="CY105" s="6" t="s">
        <v>426</v>
      </c>
      <c r="CZ105" s="6" t="s">
        <v>2129</v>
      </c>
      <c r="DA105" s="6" t="s">
        <v>809</v>
      </c>
      <c r="DB105" s="6" t="s">
        <v>733</v>
      </c>
      <c r="DC105" s="6" t="s">
        <v>660</v>
      </c>
      <c r="DD105" s="15" t="s">
        <v>662</v>
      </c>
      <c r="DE105" s="15" t="s">
        <v>436</v>
      </c>
      <c r="DF105" s="6" t="s">
        <v>437</v>
      </c>
      <c r="DG105" s="6">
        <v>1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/>
      <c r="DN105" s="6"/>
      <c r="DO105" s="6"/>
      <c r="DP105" s="6"/>
      <c r="DQ105" s="6"/>
      <c r="DR105" s="6"/>
      <c r="DS105" s="6"/>
      <c r="DT105" s="66"/>
      <c r="DU105" s="6" t="s">
        <v>438</v>
      </c>
      <c r="DV105" s="6" t="s">
        <v>426</v>
      </c>
      <c r="DW105" s="6" t="s">
        <v>439</v>
      </c>
      <c r="DX105" s="6" t="s">
        <v>440</v>
      </c>
      <c r="DY105" s="6"/>
      <c r="DZ105" s="6" t="s">
        <v>810</v>
      </c>
      <c r="EA105" s="6">
        <v>0</v>
      </c>
      <c r="EB105" s="6">
        <v>1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/>
      <c r="EJ105" s="6" t="s">
        <v>2130</v>
      </c>
      <c r="EK105" s="6">
        <v>0</v>
      </c>
      <c r="EL105" s="6">
        <v>1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/>
      <c r="EU105" s="6" t="s">
        <v>443</v>
      </c>
      <c r="EV105" s="6" t="s">
        <v>588</v>
      </c>
      <c r="EW105" s="6"/>
      <c r="EX105" s="6" t="s">
        <v>1123</v>
      </c>
      <c r="EY105" s="6">
        <v>1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/>
      <c r="FH105" s="6" t="s">
        <v>1243</v>
      </c>
      <c r="FI105" s="6">
        <v>0</v>
      </c>
      <c r="FJ105" s="6">
        <v>0</v>
      </c>
      <c r="FK105" s="6">
        <v>1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/>
      <c r="FT105" s="6" t="s">
        <v>447</v>
      </c>
      <c r="FU105" s="6" t="s">
        <v>499</v>
      </c>
      <c r="FV105" s="6"/>
      <c r="FW105" s="6" t="s">
        <v>449</v>
      </c>
      <c r="FX105" s="15" t="s">
        <v>450</v>
      </c>
      <c r="FY105" s="6" t="s">
        <v>529</v>
      </c>
      <c r="FZ105" s="6"/>
      <c r="GA105" s="6" t="s">
        <v>450</v>
      </c>
      <c r="GB105" s="6" t="s">
        <v>501</v>
      </c>
      <c r="GC105" s="6" t="s">
        <v>453</v>
      </c>
      <c r="GD105" s="6"/>
      <c r="GE105" s="6" t="s">
        <v>454</v>
      </c>
      <c r="GF105" s="6" t="s">
        <v>2131</v>
      </c>
      <c r="GG105" s="6" t="s">
        <v>456</v>
      </c>
      <c r="GH105" s="15" t="s">
        <v>2131</v>
      </c>
      <c r="GI105" s="6" t="s">
        <v>458</v>
      </c>
      <c r="GJ105" s="6" t="s">
        <v>2132</v>
      </c>
      <c r="GK105" s="6" t="s">
        <v>460</v>
      </c>
      <c r="GL105" s="6" t="s">
        <v>461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1</v>
      </c>
      <c r="GS105" s="6">
        <v>0</v>
      </c>
      <c r="GT105" s="6"/>
      <c r="GU105" s="6" t="s">
        <v>534</v>
      </c>
      <c r="GV105" s="6" t="s">
        <v>595</v>
      </c>
      <c r="GW105" s="6" t="s">
        <v>464</v>
      </c>
      <c r="GX105" s="6">
        <v>1</v>
      </c>
      <c r="GY105" s="6">
        <v>0</v>
      </c>
      <c r="GZ105" s="6">
        <v>0</v>
      </c>
      <c r="HA105" s="6">
        <v>0</v>
      </c>
      <c r="HB105" s="6">
        <v>0</v>
      </c>
      <c r="HC105" s="6">
        <v>0</v>
      </c>
      <c r="HD105" s="6"/>
      <c r="HE105" s="6" t="s">
        <v>111</v>
      </c>
      <c r="HF105" s="6">
        <v>0</v>
      </c>
      <c r="HG105" s="6">
        <v>0</v>
      </c>
      <c r="HH105" s="6">
        <v>0</v>
      </c>
      <c r="HI105" s="6">
        <v>1</v>
      </c>
      <c r="HJ105" s="6">
        <v>0</v>
      </c>
      <c r="HK105" s="6">
        <v>0</v>
      </c>
      <c r="HL105" s="15"/>
      <c r="HM105" s="6" t="s">
        <v>505</v>
      </c>
      <c r="HN105" s="6"/>
      <c r="HO105" s="6" t="s">
        <v>2133</v>
      </c>
      <c r="HP105" s="6" t="s">
        <v>468</v>
      </c>
      <c r="HQ105" s="6"/>
      <c r="HR105" s="6" t="s">
        <v>2134</v>
      </c>
      <c r="HS105" s="6" t="s">
        <v>540</v>
      </c>
      <c r="HT105" s="6">
        <v>1</v>
      </c>
      <c r="HU105" s="6">
        <v>0</v>
      </c>
      <c r="HV105" s="6">
        <v>0</v>
      </c>
      <c r="HW105" s="6">
        <v>0</v>
      </c>
      <c r="HX105" s="6">
        <v>0</v>
      </c>
      <c r="HY105" s="6">
        <v>0</v>
      </c>
      <c r="HZ105" s="6"/>
      <c r="IA105" s="6" t="s">
        <v>111</v>
      </c>
      <c r="IB105" s="6">
        <v>1</v>
      </c>
      <c r="IC105" s="6">
        <v>0</v>
      </c>
      <c r="ID105" s="6">
        <v>0</v>
      </c>
      <c r="IE105" s="6">
        <v>0</v>
      </c>
      <c r="IF105" s="6">
        <v>0</v>
      </c>
      <c r="IG105" s="6">
        <v>0</v>
      </c>
      <c r="IH105" s="15" t="s">
        <v>2135</v>
      </c>
      <c r="II105" s="6" t="s">
        <v>426</v>
      </c>
      <c r="IJ105" s="6" t="s">
        <v>543</v>
      </c>
      <c r="IK105" s="6">
        <v>0</v>
      </c>
      <c r="IL105" s="6">
        <v>1</v>
      </c>
      <c r="IM105" s="6">
        <v>0</v>
      </c>
      <c r="IN105" s="6"/>
      <c r="IO105" s="6" t="s">
        <v>473</v>
      </c>
      <c r="IP105" s="6">
        <v>1</v>
      </c>
      <c r="IQ105" s="6">
        <v>0</v>
      </c>
      <c r="IR105" s="6">
        <v>0</v>
      </c>
      <c r="IS105" s="6">
        <v>0</v>
      </c>
      <c r="IT105" s="6">
        <v>0</v>
      </c>
      <c r="IU105" s="6">
        <v>0</v>
      </c>
      <c r="IV105" s="6"/>
      <c r="IW105" s="6" t="s">
        <v>453</v>
      </c>
      <c r="IX105" s="6"/>
      <c r="IY105" s="6" t="s">
        <v>510</v>
      </c>
      <c r="IZ105" s="6"/>
      <c r="JA105" s="6"/>
      <c r="JB105" s="6"/>
      <c r="JC105" s="6"/>
      <c r="JD105" s="6"/>
      <c r="JE105" s="6"/>
      <c r="JF105" s="6"/>
      <c r="JG105" s="6"/>
      <c r="JH105" s="6"/>
      <c r="JI105" s="6"/>
      <c r="JJ105" s="6" t="s">
        <v>453</v>
      </c>
      <c r="JK105" s="6" t="s">
        <v>426</v>
      </c>
      <c r="JL105" s="6" t="s">
        <v>453</v>
      </c>
      <c r="JM105" s="6" t="s">
        <v>894</v>
      </c>
      <c r="JN105" s="6">
        <v>0</v>
      </c>
      <c r="JO105" s="6">
        <v>1</v>
      </c>
      <c r="JP105" s="6">
        <v>0</v>
      </c>
      <c r="JQ105" s="6">
        <v>0</v>
      </c>
      <c r="JR105" s="6">
        <v>0</v>
      </c>
      <c r="JS105" s="6">
        <v>0</v>
      </c>
      <c r="JT105" s="6"/>
      <c r="JU105" s="6" t="s">
        <v>544</v>
      </c>
      <c r="JV105" s="15"/>
      <c r="JW105" s="94" t="s">
        <v>2136</v>
      </c>
      <c r="JX105" s="6" t="s">
        <v>2137</v>
      </c>
      <c r="JY105" s="6">
        <v>0.5827929</v>
      </c>
      <c r="JZ105" s="6">
        <v>34.4693972</v>
      </c>
      <c r="KA105" s="6">
        <v>1306.561</v>
      </c>
      <c r="KB105" s="15">
        <v>1.651</v>
      </c>
      <c r="KC105" s="15"/>
    </row>
    <row r="106" spans="1:289">
      <c r="A106" s="6" t="s">
        <v>2115</v>
      </c>
      <c r="B106" s="6" t="s">
        <v>420</v>
      </c>
      <c r="C106" s="6" t="s">
        <v>1608</v>
      </c>
      <c r="D106" s="6" t="s">
        <v>2138</v>
      </c>
      <c r="E106" s="6" t="s">
        <v>2139</v>
      </c>
      <c r="F106" s="8" t="s">
        <v>423</v>
      </c>
      <c r="G106" s="6" t="s">
        <v>567</v>
      </c>
      <c r="H106" s="6" t="s">
        <v>425</v>
      </c>
      <c r="I106" s="15"/>
      <c r="J106" s="6" t="s">
        <v>426</v>
      </c>
      <c r="K106" s="6" t="s">
        <v>426</v>
      </c>
      <c r="L106" s="6" t="s">
        <v>426</v>
      </c>
      <c r="M106" s="6" t="s">
        <v>426</v>
      </c>
      <c r="N106" s="6" t="s">
        <v>426</v>
      </c>
      <c r="O106" s="6" t="s">
        <v>426</v>
      </c>
      <c r="P106" s="6" t="s">
        <v>426</v>
      </c>
      <c r="Q106" s="6" t="s">
        <v>426</v>
      </c>
      <c r="R106" s="6" t="s">
        <v>426</v>
      </c>
      <c r="S106" s="6" t="s">
        <v>426</v>
      </c>
      <c r="T106" s="6" t="s">
        <v>426</v>
      </c>
      <c r="U106" s="6" t="s">
        <v>426</v>
      </c>
      <c r="V106" s="6" t="s">
        <v>426</v>
      </c>
      <c r="W106" s="6" t="s">
        <v>426</v>
      </c>
      <c r="X106" s="6" t="s">
        <v>426</v>
      </c>
      <c r="Y106" s="6" t="s">
        <v>426</v>
      </c>
      <c r="Z106" s="6" t="s">
        <v>426</v>
      </c>
      <c r="AA106" s="6" t="s">
        <v>426</v>
      </c>
      <c r="AB106" s="6" t="s">
        <v>426</v>
      </c>
      <c r="AC106" s="15" t="s">
        <v>426</v>
      </c>
      <c r="AD106" s="6" t="s">
        <v>427</v>
      </c>
      <c r="AE106" s="6">
        <v>0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/>
      <c r="AN106" s="15"/>
      <c r="AO106" s="6" t="s">
        <v>426</v>
      </c>
      <c r="AP106" s="6" t="s">
        <v>656</v>
      </c>
      <c r="AQ106" s="6" t="s">
        <v>426</v>
      </c>
      <c r="AR106" s="6" t="s">
        <v>656</v>
      </c>
      <c r="AS106" s="6" t="s">
        <v>426</v>
      </c>
      <c r="AT106" s="6">
        <v>0.5</v>
      </c>
      <c r="AU106" s="6" t="s">
        <v>426</v>
      </c>
      <c r="AV106" s="6">
        <v>0.5</v>
      </c>
      <c r="AW106" s="6" t="s">
        <v>426</v>
      </c>
      <c r="AX106" s="6">
        <v>0.25</v>
      </c>
      <c r="AY106" s="6" t="s">
        <v>426</v>
      </c>
      <c r="AZ106" s="6">
        <v>1</v>
      </c>
      <c r="BA106" s="6" t="s">
        <v>426</v>
      </c>
      <c r="BB106" s="6">
        <v>0.125</v>
      </c>
      <c r="BC106" s="6" t="s">
        <v>426</v>
      </c>
      <c r="BD106" s="6">
        <v>0.25</v>
      </c>
      <c r="BE106" s="6" t="s">
        <v>426</v>
      </c>
      <c r="BF106" s="6">
        <v>6</v>
      </c>
      <c r="BG106" s="6" t="s">
        <v>426</v>
      </c>
      <c r="BH106" s="6">
        <v>0.125</v>
      </c>
      <c r="BI106" s="6" t="s">
        <v>426</v>
      </c>
      <c r="BJ106" s="6">
        <v>0.125</v>
      </c>
      <c r="BK106" s="6" t="s">
        <v>426</v>
      </c>
      <c r="BL106" s="6">
        <v>0.125</v>
      </c>
      <c r="BM106" s="6" t="s">
        <v>426</v>
      </c>
      <c r="BN106" s="6">
        <v>9</v>
      </c>
      <c r="BO106" s="6" t="s">
        <v>426</v>
      </c>
      <c r="BP106" s="6">
        <v>0.125</v>
      </c>
      <c r="BQ106" s="6" t="s">
        <v>426</v>
      </c>
      <c r="BR106" s="6">
        <v>8</v>
      </c>
      <c r="BS106" s="6" t="s">
        <v>426</v>
      </c>
      <c r="BT106" s="6">
        <v>2</v>
      </c>
      <c r="BU106" s="6" t="s">
        <v>426</v>
      </c>
      <c r="BV106" s="15">
        <v>0.5</v>
      </c>
      <c r="BW106" s="15" t="s">
        <v>518</v>
      </c>
      <c r="BX106" s="15" t="s">
        <v>429</v>
      </c>
      <c r="BY106" s="6" t="s">
        <v>430</v>
      </c>
      <c r="BZ106" s="6" t="s">
        <v>430</v>
      </c>
      <c r="CA106" s="6" t="s">
        <v>430</v>
      </c>
      <c r="CB106" s="6" t="s">
        <v>430</v>
      </c>
      <c r="CC106" s="6" t="s">
        <v>430</v>
      </c>
      <c r="CD106" s="6" t="s">
        <v>430</v>
      </c>
      <c r="CE106" s="6" t="s">
        <v>430</v>
      </c>
      <c r="CF106" s="6" t="s">
        <v>430</v>
      </c>
      <c r="CG106" s="6" t="s">
        <v>430</v>
      </c>
      <c r="CH106" s="6" t="s">
        <v>430</v>
      </c>
      <c r="CI106" s="6" t="s">
        <v>430</v>
      </c>
      <c r="CJ106" s="6" t="s">
        <v>430</v>
      </c>
      <c r="CK106" s="6" t="s">
        <v>430</v>
      </c>
      <c r="CL106" s="6" t="s">
        <v>430</v>
      </c>
      <c r="CM106" s="6" t="s">
        <v>430</v>
      </c>
      <c r="CN106" s="6" t="s">
        <v>430</v>
      </c>
      <c r="CO106" s="15" t="s">
        <v>430</v>
      </c>
      <c r="CP106" s="15" t="s">
        <v>432</v>
      </c>
      <c r="CQ106" s="6" t="s">
        <v>433</v>
      </c>
      <c r="CR106" s="15"/>
      <c r="CS106" s="6" t="s">
        <v>426</v>
      </c>
      <c r="CT106" s="6" t="s">
        <v>2140</v>
      </c>
      <c r="CU106" s="6" t="s">
        <v>766</v>
      </c>
      <c r="CV106" s="6" t="s">
        <v>660</v>
      </c>
      <c r="CW106" s="6" t="s">
        <v>935</v>
      </c>
      <c r="CX106" s="15" t="s">
        <v>426</v>
      </c>
      <c r="CY106" s="6" t="s">
        <v>426</v>
      </c>
      <c r="CZ106" s="6" t="s">
        <v>2141</v>
      </c>
      <c r="DA106" s="6" t="s">
        <v>658</v>
      </c>
      <c r="DB106" s="6" t="s">
        <v>658</v>
      </c>
      <c r="DC106" s="6" t="s">
        <v>660</v>
      </c>
      <c r="DD106" s="15" t="s">
        <v>1678</v>
      </c>
      <c r="DE106" s="15" t="s">
        <v>436</v>
      </c>
      <c r="DF106" s="6" t="s">
        <v>437</v>
      </c>
      <c r="DG106" s="6">
        <v>1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/>
      <c r="DN106" s="6"/>
      <c r="DO106" s="6"/>
      <c r="DP106" s="6"/>
      <c r="DQ106" s="6"/>
      <c r="DR106" s="6"/>
      <c r="DS106" s="6"/>
      <c r="DT106" s="66"/>
      <c r="DU106" s="6" t="s">
        <v>438</v>
      </c>
      <c r="DV106" s="6" t="s">
        <v>426</v>
      </c>
      <c r="DW106" s="6" t="s">
        <v>439</v>
      </c>
      <c r="DX106" s="6" t="s">
        <v>440</v>
      </c>
      <c r="DY106" s="6"/>
      <c r="DZ106" s="6" t="s">
        <v>441</v>
      </c>
      <c r="EA106" s="6">
        <v>1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/>
      <c r="EJ106" s="6" t="s">
        <v>811</v>
      </c>
      <c r="EK106" s="6">
        <v>1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0</v>
      </c>
      <c r="ET106" s="6"/>
      <c r="EU106" s="6" t="s">
        <v>443</v>
      </c>
      <c r="EV106" s="6" t="s">
        <v>588</v>
      </c>
      <c r="EW106" s="6"/>
      <c r="EX106" s="6" t="s">
        <v>1123</v>
      </c>
      <c r="EY106" s="6">
        <v>1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/>
      <c r="FH106" s="6" t="s">
        <v>909</v>
      </c>
      <c r="FI106" s="6">
        <v>0</v>
      </c>
      <c r="FJ106" s="6">
        <v>0</v>
      </c>
      <c r="FK106" s="6">
        <v>0</v>
      </c>
      <c r="FL106" s="6">
        <v>0</v>
      </c>
      <c r="FM106" s="6">
        <v>1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/>
      <c r="FT106" s="6" t="s">
        <v>447</v>
      </c>
      <c r="FU106" s="6" t="s">
        <v>499</v>
      </c>
      <c r="FV106" s="6"/>
      <c r="FW106" s="6" t="s">
        <v>449</v>
      </c>
      <c r="FX106" s="15" t="s">
        <v>450</v>
      </c>
      <c r="FY106" s="6" t="s">
        <v>1012</v>
      </c>
      <c r="FZ106" s="6"/>
      <c r="GA106" s="6" t="s">
        <v>450</v>
      </c>
      <c r="GB106" s="6" t="s">
        <v>501</v>
      </c>
      <c r="GC106" s="6" t="s">
        <v>453</v>
      </c>
      <c r="GD106" s="6"/>
      <c r="GE106" s="6" t="s">
        <v>454</v>
      </c>
      <c r="GF106" s="6" t="s">
        <v>2142</v>
      </c>
      <c r="GG106" s="6" t="s">
        <v>456</v>
      </c>
      <c r="GH106" s="15" t="s">
        <v>2143</v>
      </c>
      <c r="GI106" s="6" t="s">
        <v>458</v>
      </c>
      <c r="GJ106" s="6" t="s">
        <v>2144</v>
      </c>
      <c r="GK106" s="6" t="s">
        <v>460</v>
      </c>
      <c r="GL106" s="6" t="s">
        <v>461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1</v>
      </c>
      <c r="GS106" s="6">
        <v>0</v>
      </c>
      <c r="GT106" s="6"/>
      <c r="GU106" s="6" t="s">
        <v>534</v>
      </c>
      <c r="GV106" s="6" t="s">
        <v>595</v>
      </c>
      <c r="GW106" s="6" t="s">
        <v>464</v>
      </c>
      <c r="GX106" s="6">
        <v>1</v>
      </c>
      <c r="GY106" s="6">
        <v>0</v>
      </c>
      <c r="GZ106" s="6">
        <v>0</v>
      </c>
      <c r="HA106" s="6">
        <v>0</v>
      </c>
      <c r="HB106" s="6">
        <v>0</v>
      </c>
      <c r="HC106" s="6">
        <v>0</v>
      </c>
      <c r="HD106" s="6"/>
      <c r="HE106" s="6" t="s">
        <v>111</v>
      </c>
      <c r="HF106" s="6">
        <v>0</v>
      </c>
      <c r="HG106" s="6">
        <v>0</v>
      </c>
      <c r="HH106" s="6">
        <v>0</v>
      </c>
      <c r="HI106" s="6">
        <v>1</v>
      </c>
      <c r="HJ106" s="6">
        <v>0</v>
      </c>
      <c r="HK106" s="6">
        <v>0</v>
      </c>
      <c r="HL106" s="15"/>
      <c r="HM106" s="6" t="s">
        <v>505</v>
      </c>
      <c r="HN106" s="6"/>
      <c r="HO106" s="6" t="s">
        <v>2145</v>
      </c>
      <c r="HP106" s="6" t="s">
        <v>648</v>
      </c>
      <c r="HQ106" s="6"/>
      <c r="HR106" s="6" t="s">
        <v>2146</v>
      </c>
      <c r="HS106" s="6" t="s">
        <v>540</v>
      </c>
      <c r="HT106" s="6">
        <v>1</v>
      </c>
      <c r="HU106" s="6">
        <v>0</v>
      </c>
      <c r="HV106" s="6">
        <v>0</v>
      </c>
      <c r="HW106" s="6">
        <v>0</v>
      </c>
      <c r="HX106" s="6">
        <v>0</v>
      </c>
      <c r="HY106" s="6">
        <v>0</v>
      </c>
      <c r="HZ106" s="6"/>
      <c r="IA106" s="6" t="s">
        <v>111</v>
      </c>
      <c r="IB106" s="6">
        <v>1</v>
      </c>
      <c r="IC106" s="6">
        <v>0</v>
      </c>
      <c r="ID106" s="6">
        <v>0</v>
      </c>
      <c r="IE106" s="6">
        <v>0</v>
      </c>
      <c r="IF106" s="6">
        <v>0</v>
      </c>
      <c r="IG106" s="6">
        <v>0</v>
      </c>
      <c r="IH106" s="15" t="s">
        <v>2147</v>
      </c>
      <c r="II106" s="6" t="s">
        <v>426</v>
      </c>
      <c r="IJ106" s="6" t="s">
        <v>543</v>
      </c>
      <c r="IK106" s="6">
        <v>0</v>
      </c>
      <c r="IL106" s="6">
        <v>1</v>
      </c>
      <c r="IM106" s="6">
        <v>0</v>
      </c>
      <c r="IN106" s="6"/>
      <c r="IO106" s="6" t="s">
        <v>473</v>
      </c>
      <c r="IP106" s="6">
        <v>1</v>
      </c>
      <c r="IQ106" s="6">
        <v>0</v>
      </c>
      <c r="IR106" s="6">
        <v>0</v>
      </c>
      <c r="IS106" s="6">
        <v>0</v>
      </c>
      <c r="IT106" s="6">
        <v>0</v>
      </c>
      <c r="IU106" s="6">
        <v>0</v>
      </c>
      <c r="IV106" s="6"/>
      <c r="IW106" s="6" t="s">
        <v>426</v>
      </c>
      <c r="IX106" s="6">
        <v>1</v>
      </c>
      <c r="IY106" s="6" t="s">
        <v>474</v>
      </c>
      <c r="IZ106" s="6" t="s">
        <v>604</v>
      </c>
      <c r="JA106" s="6" t="s">
        <v>605</v>
      </c>
      <c r="JB106" s="6"/>
      <c r="JC106" s="6"/>
      <c r="JD106" s="6"/>
      <c r="JE106" s="6"/>
      <c r="JF106" s="6"/>
      <c r="JG106" s="6"/>
      <c r="JH106" s="6"/>
      <c r="JI106" s="6"/>
      <c r="JJ106" s="6"/>
      <c r="JK106" s="6" t="s">
        <v>453</v>
      </c>
      <c r="JL106" s="6"/>
      <c r="JM106" s="6"/>
      <c r="JN106" s="6"/>
      <c r="JO106" s="6"/>
      <c r="JP106" s="6"/>
      <c r="JQ106" s="6"/>
      <c r="JR106" s="6"/>
      <c r="JS106" s="6"/>
      <c r="JT106" s="6"/>
      <c r="JU106" s="6" t="s">
        <v>544</v>
      </c>
      <c r="JV106" s="15"/>
      <c r="JW106" s="94" t="s">
        <v>2148</v>
      </c>
      <c r="JX106" s="6" t="s">
        <v>2149</v>
      </c>
      <c r="JY106" s="6">
        <v>0.6176386</v>
      </c>
      <c r="JZ106" s="6">
        <v>34.4606516</v>
      </c>
      <c r="KA106" s="6">
        <v>1317.999</v>
      </c>
      <c r="KB106" s="15">
        <v>1.015</v>
      </c>
      <c r="KC106" s="15"/>
    </row>
    <row r="107" spans="1:289">
      <c r="A107" s="7" t="s">
        <v>755</v>
      </c>
      <c r="B107" s="6" t="s">
        <v>420</v>
      </c>
      <c r="C107" s="6" t="s">
        <v>1608</v>
      </c>
      <c r="D107" s="6" t="s">
        <v>2150</v>
      </c>
      <c r="E107" s="6" t="s">
        <v>2151</v>
      </c>
      <c r="F107" s="8" t="s">
        <v>483</v>
      </c>
      <c r="G107" s="6" t="s">
        <v>567</v>
      </c>
      <c r="H107" s="6" t="s">
        <v>517</v>
      </c>
      <c r="I107" s="15"/>
      <c r="J107" s="6" t="s">
        <v>426</v>
      </c>
      <c r="K107" s="6" t="s">
        <v>426</v>
      </c>
      <c r="L107" s="6" t="s">
        <v>426</v>
      </c>
      <c r="M107" s="6" t="s">
        <v>426</v>
      </c>
      <c r="N107" s="6" t="s">
        <v>426</v>
      </c>
      <c r="O107" s="6" t="s">
        <v>426</v>
      </c>
      <c r="P107" s="6" t="s">
        <v>426</v>
      </c>
      <c r="Q107" s="6" t="s">
        <v>426</v>
      </c>
      <c r="R107" s="6" t="s">
        <v>426</v>
      </c>
      <c r="S107" s="6" t="s">
        <v>426</v>
      </c>
      <c r="T107" s="6" t="s">
        <v>426</v>
      </c>
      <c r="U107" s="6" t="s">
        <v>426</v>
      </c>
      <c r="V107" s="6" t="s">
        <v>453</v>
      </c>
      <c r="W107" s="6" t="s">
        <v>453</v>
      </c>
      <c r="X107" s="6" t="s">
        <v>426</v>
      </c>
      <c r="Y107" s="6" t="s">
        <v>426</v>
      </c>
      <c r="Z107" s="6" t="s">
        <v>426</v>
      </c>
      <c r="AA107" s="6" t="s">
        <v>426</v>
      </c>
      <c r="AB107" s="6" t="s">
        <v>453</v>
      </c>
      <c r="AC107" s="15" t="s">
        <v>453</v>
      </c>
      <c r="AD107" s="6" t="s">
        <v>427</v>
      </c>
      <c r="AE107" s="6">
        <v>0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0</v>
      </c>
      <c r="AM107" s="6"/>
      <c r="AN107" s="15"/>
      <c r="AO107" s="6" t="s">
        <v>426</v>
      </c>
      <c r="AP107" s="6" t="s">
        <v>2152</v>
      </c>
      <c r="AQ107" s="6" t="s">
        <v>426</v>
      </c>
      <c r="AR107" s="6" t="s">
        <v>2153</v>
      </c>
      <c r="AS107" s="6" t="s">
        <v>426</v>
      </c>
      <c r="AT107" s="6">
        <v>1</v>
      </c>
      <c r="AU107" s="6" t="s">
        <v>453</v>
      </c>
      <c r="AV107" s="6"/>
      <c r="AW107" s="6" t="s">
        <v>426</v>
      </c>
      <c r="AX107" s="6">
        <v>1</v>
      </c>
      <c r="AY107" s="6" t="s">
        <v>426</v>
      </c>
      <c r="AZ107" s="6">
        <v>8</v>
      </c>
      <c r="BA107" s="6" t="s">
        <v>453</v>
      </c>
      <c r="BB107" s="6"/>
      <c r="BC107" s="6" t="s">
        <v>426</v>
      </c>
      <c r="BD107" s="6">
        <v>1</v>
      </c>
      <c r="BE107" s="6" t="s">
        <v>453</v>
      </c>
      <c r="BF107" s="6"/>
      <c r="BG107" s="6" t="s">
        <v>426</v>
      </c>
      <c r="BH107" s="6">
        <v>1</v>
      </c>
      <c r="BI107" s="6" t="s">
        <v>426</v>
      </c>
      <c r="BJ107" s="6">
        <v>1</v>
      </c>
      <c r="BK107" s="6" t="s">
        <v>426</v>
      </c>
      <c r="BL107" s="6">
        <v>1</v>
      </c>
      <c r="BM107" s="6" t="s">
        <v>426</v>
      </c>
      <c r="BN107" s="6">
        <v>60</v>
      </c>
      <c r="BO107" s="6" t="s">
        <v>426</v>
      </c>
      <c r="BP107" s="6">
        <v>1</v>
      </c>
      <c r="BQ107" s="6" t="s">
        <v>426</v>
      </c>
      <c r="BR107" s="6">
        <v>40</v>
      </c>
      <c r="BS107" s="6" t="s">
        <v>453</v>
      </c>
      <c r="BT107" s="6"/>
      <c r="BU107" s="6" t="s">
        <v>453</v>
      </c>
      <c r="BV107" s="15"/>
      <c r="BW107" s="15" t="s">
        <v>518</v>
      </c>
      <c r="BX107" s="15" t="s">
        <v>429</v>
      </c>
      <c r="BY107" s="6" t="s">
        <v>430</v>
      </c>
      <c r="BZ107" s="6" t="s">
        <v>430</v>
      </c>
      <c r="CA107" s="6" t="s">
        <v>430</v>
      </c>
      <c r="CB107" s="6" t="s">
        <v>487</v>
      </c>
      <c r="CC107" s="6" t="s">
        <v>430</v>
      </c>
      <c r="CD107" s="6" t="s">
        <v>430</v>
      </c>
      <c r="CE107" s="6" t="s">
        <v>487</v>
      </c>
      <c r="CF107" s="6" t="s">
        <v>430</v>
      </c>
      <c r="CG107" s="6" t="s">
        <v>487</v>
      </c>
      <c r="CH107" s="6" t="s">
        <v>430</v>
      </c>
      <c r="CI107" s="6" t="s">
        <v>430</v>
      </c>
      <c r="CJ107" s="6" t="s">
        <v>430</v>
      </c>
      <c r="CK107" s="6" t="s">
        <v>430</v>
      </c>
      <c r="CL107" s="6" t="s">
        <v>430</v>
      </c>
      <c r="CM107" s="6" t="s">
        <v>430</v>
      </c>
      <c r="CN107" s="6" t="s">
        <v>487</v>
      </c>
      <c r="CO107" s="15" t="s">
        <v>431</v>
      </c>
      <c r="CP107" s="15" t="s">
        <v>432</v>
      </c>
      <c r="CQ107" s="6" t="s">
        <v>433</v>
      </c>
      <c r="CR107" s="15"/>
      <c r="CS107" s="6" t="s">
        <v>426</v>
      </c>
      <c r="CT107" s="6" t="s">
        <v>2154</v>
      </c>
      <c r="CU107" s="6" t="s">
        <v>985</v>
      </c>
      <c r="CV107" s="6" t="s">
        <v>1241</v>
      </c>
      <c r="CW107" s="6" t="s">
        <v>2155</v>
      </c>
      <c r="CX107" s="15" t="s">
        <v>426</v>
      </c>
      <c r="CY107" s="6" t="s">
        <v>426</v>
      </c>
      <c r="CZ107" s="6" t="s">
        <v>2156</v>
      </c>
      <c r="DA107" s="6" t="s">
        <v>990</v>
      </c>
      <c r="DB107" s="6" t="s">
        <v>656</v>
      </c>
      <c r="DC107" s="6" t="s">
        <v>692</v>
      </c>
      <c r="DD107" s="15" t="s">
        <v>988</v>
      </c>
      <c r="DE107" s="15" t="s">
        <v>436</v>
      </c>
      <c r="DF107" s="6" t="s">
        <v>437</v>
      </c>
      <c r="DG107" s="6">
        <v>1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/>
      <c r="DN107" s="6"/>
      <c r="DO107" s="6"/>
      <c r="DP107" s="6"/>
      <c r="DQ107" s="6"/>
      <c r="DR107" s="6"/>
      <c r="DS107" s="6"/>
      <c r="DT107" s="66"/>
      <c r="DU107" s="6" t="s">
        <v>438</v>
      </c>
      <c r="DV107" s="6" t="s">
        <v>426</v>
      </c>
      <c r="DW107" s="6" t="s">
        <v>490</v>
      </c>
      <c r="DX107" s="6" t="s">
        <v>440</v>
      </c>
      <c r="DY107" s="6"/>
      <c r="DZ107" s="6" t="s">
        <v>586</v>
      </c>
      <c r="EA107" s="6">
        <v>1</v>
      </c>
      <c r="EB107" s="6">
        <v>1</v>
      </c>
      <c r="EC107" s="6">
        <v>1</v>
      </c>
      <c r="ED107" s="6">
        <v>1</v>
      </c>
      <c r="EE107" s="6">
        <v>1</v>
      </c>
      <c r="EF107" s="6">
        <v>1</v>
      </c>
      <c r="EG107" s="6">
        <v>0</v>
      </c>
      <c r="EH107" s="6">
        <v>0</v>
      </c>
      <c r="EI107" s="6"/>
      <c r="EJ107" s="6" t="s">
        <v>2157</v>
      </c>
      <c r="EK107" s="6">
        <v>1</v>
      </c>
      <c r="EL107" s="6">
        <v>1</v>
      </c>
      <c r="EM107" s="6">
        <v>1</v>
      </c>
      <c r="EN107" s="6">
        <v>1</v>
      </c>
      <c r="EO107" s="6">
        <v>1</v>
      </c>
      <c r="EP107" s="6">
        <v>1</v>
      </c>
      <c r="EQ107" s="6">
        <v>0</v>
      </c>
      <c r="ER107" s="6">
        <v>0</v>
      </c>
      <c r="ES107" s="6">
        <v>0</v>
      </c>
      <c r="ET107" s="6"/>
      <c r="EU107" s="6" t="s">
        <v>443</v>
      </c>
      <c r="EV107" s="6" t="s">
        <v>554</v>
      </c>
      <c r="EW107" s="6"/>
      <c r="EX107" s="6" t="s">
        <v>669</v>
      </c>
      <c r="EY107" s="6">
        <v>0</v>
      </c>
      <c r="EZ107" s="6">
        <v>1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/>
      <c r="FH107" s="6" t="s">
        <v>1243</v>
      </c>
      <c r="FI107" s="6">
        <v>0</v>
      </c>
      <c r="FJ107" s="6">
        <v>0</v>
      </c>
      <c r="FK107" s="6">
        <v>1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/>
      <c r="FT107" s="6" t="s">
        <v>447</v>
      </c>
      <c r="FU107" s="6" t="s">
        <v>499</v>
      </c>
      <c r="FV107" s="6"/>
      <c r="FW107" s="6" t="s">
        <v>449</v>
      </c>
      <c r="FX107" s="15" t="s">
        <v>450</v>
      </c>
      <c r="FY107" s="6" t="s">
        <v>451</v>
      </c>
      <c r="FZ107" s="6"/>
      <c r="GA107" s="6" t="s">
        <v>450</v>
      </c>
      <c r="GB107" s="6" t="s">
        <v>501</v>
      </c>
      <c r="GC107" s="6" t="s">
        <v>453</v>
      </c>
      <c r="GD107" s="6"/>
      <c r="GE107" s="6" t="s">
        <v>454</v>
      </c>
      <c r="GF107" s="6" t="s">
        <v>2158</v>
      </c>
      <c r="GG107" s="6" t="s">
        <v>456</v>
      </c>
      <c r="GH107" s="15" t="s">
        <v>2159</v>
      </c>
      <c r="GI107" s="6" t="s">
        <v>458</v>
      </c>
      <c r="GJ107" s="6" t="s">
        <v>2160</v>
      </c>
      <c r="GK107" s="6" t="s">
        <v>460</v>
      </c>
      <c r="GL107" s="6" t="s">
        <v>1474</v>
      </c>
      <c r="GM107" s="6">
        <v>1</v>
      </c>
      <c r="GN107" s="6">
        <v>1</v>
      </c>
      <c r="GO107" s="6">
        <v>1</v>
      </c>
      <c r="GP107" s="6">
        <v>1</v>
      </c>
      <c r="GQ107" s="6">
        <v>0</v>
      </c>
      <c r="GR107" s="6">
        <v>0</v>
      </c>
      <c r="GS107" s="6">
        <v>0</v>
      </c>
      <c r="GT107" s="6"/>
      <c r="GU107" s="6" t="s">
        <v>534</v>
      </c>
      <c r="GV107" s="6" t="s">
        <v>595</v>
      </c>
      <c r="GW107" s="6" t="s">
        <v>464</v>
      </c>
      <c r="GX107" s="6">
        <v>1</v>
      </c>
      <c r="GY107" s="6">
        <v>0</v>
      </c>
      <c r="GZ107" s="6">
        <v>0</v>
      </c>
      <c r="HA107" s="6">
        <v>0</v>
      </c>
      <c r="HB107" s="6">
        <v>0</v>
      </c>
      <c r="HC107" s="6">
        <v>0</v>
      </c>
      <c r="HD107" s="6"/>
      <c r="HE107" s="6" t="s">
        <v>596</v>
      </c>
      <c r="HF107" s="6">
        <v>1</v>
      </c>
      <c r="HG107" s="6">
        <v>1</v>
      </c>
      <c r="HH107" s="6">
        <v>1</v>
      </c>
      <c r="HI107" s="6">
        <v>1</v>
      </c>
      <c r="HJ107" s="6">
        <v>0</v>
      </c>
      <c r="HK107" s="6">
        <v>0</v>
      </c>
      <c r="HL107" s="15"/>
      <c r="HM107" s="6" t="s">
        <v>466</v>
      </c>
      <c r="HN107" s="6"/>
      <c r="HO107" s="6" t="s">
        <v>2161</v>
      </c>
      <c r="HP107" s="6" t="s">
        <v>648</v>
      </c>
      <c r="HQ107" s="6"/>
      <c r="HR107" s="6" t="s">
        <v>2162</v>
      </c>
      <c r="HS107" s="6" t="s">
        <v>1315</v>
      </c>
      <c r="HT107" s="6">
        <v>0</v>
      </c>
      <c r="HU107" s="6">
        <v>0</v>
      </c>
      <c r="HV107" s="6">
        <v>1</v>
      </c>
      <c r="HW107" s="6">
        <v>0</v>
      </c>
      <c r="HX107" s="6">
        <v>1</v>
      </c>
      <c r="HY107" s="6">
        <v>1</v>
      </c>
      <c r="HZ107" s="6"/>
      <c r="IA107" s="6" t="s">
        <v>1602</v>
      </c>
      <c r="IB107" s="6">
        <v>1</v>
      </c>
      <c r="IC107" s="6">
        <v>1</v>
      </c>
      <c r="ID107" s="6">
        <v>0</v>
      </c>
      <c r="IE107" s="6">
        <v>1</v>
      </c>
      <c r="IF107" s="6">
        <v>0</v>
      </c>
      <c r="IG107" s="6">
        <v>0</v>
      </c>
      <c r="IH107" s="15" t="s">
        <v>2163</v>
      </c>
      <c r="II107" s="6" t="s">
        <v>426</v>
      </c>
      <c r="IJ107" s="6" t="s">
        <v>472</v>
      </c>
      <c r="IK107" s="6">
        <v>1</v>
      </c>
      <c r="IL107" s="6">
        <v>0</v>
      </c>
      <c r="IM107" s="6">
        <v>0</v>
      </c>
      <c r="IN107" s="6"/>
      <c r="IO107" s="6" t="s">
        <v>473</v>
      </c>
      <c r="IP107" s="6">
        <v>1</v>
      </c>
      <c r="IQ107" s="6">
        <v>0</v>
      </c>
      <c r="IR107" s="6">
        <v>0</v>
      </c>
      <c r="IS107" s="6">
        <v>0</v>
      </c>
      <c r="IT107" s="6">
        <v>0</v>
      </c>
      <c r="IU107" s="6">
        <v>0</v>
      </c>
      <c r="IV107" s="6"/>
      <c r="IW107" s="6" t="s">
        <v>453</v>
      </c>
      <c r="IX107" s="6"/>
      <c r="IY107" s="6" t="s">
        <v>510</v>
      </c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 t="s">
        <v>453</v>
      </c>
      <c r="JK107" s="6" t="s">
        <v>453</v>
      </c>
      <c r="JL107" s="6"/>
      <c r="JM107" s="6"/>
      <c r="JN107" s="6"/>
      <c r="JO107" s="6"/>
      <c r="JP107" s="6"/>
      <c r="JQ107" s="6"/>
      <c r="JR107" s="6"/>
      <c r="JS107" s="6"/>
      <c r="JT107" s="6"/>
      <c r="JU107" s="6" t="s">
        <v>895</v>
      </c>
      <c r="JV107" s="15" t="s">
        <v>2164</v>
      </c>
      <c r="JW107" s="94" t="s">
        <v>2165</v>
      </c>
      <c r="JX107" s="6" t="s">
        <v>2166</v>
      </c>
      <c r="JY107" s="6">
        <v>0.6176065</v>
      </c>
      <c r="JZ107" s="6">
        <v>34.4608198</v>
      </c>
      <c r="KA107" s="6">
        <v>1339.09</v>
      </c>
      <c r="KB107" s="15">
        <v>1.423</v>
      </c>
      <c r="KC107" s="15"/>
    </row>
    <row r="108" s="9" customFormat="1" spans="1:289">
      <c r="A108" s="9" t="s">
        <v>514</v>
      </c>
      <c r="B108" s="9" t="s">
        <v>420</v>
      </c>
      <c r="C108" s="9" t="s">
        <v>1608</v>
      </c>
      <c r="D108" s="9" t="s">
        <v>2167</v>
      </c>
      <c r="E108" s="9" t="s">
        <v>2168</v>
      </c>
      <c r="F108" s="9" t="s">
        <v>483</v>
      </c>
      <c r="G108" s="9" t="s">
        <v>731</v>
      </c>
      <c r="H108" s="9" t="s">
        <v>425</v>
      </c>
      <c r="J108" s="36" t="s">
        <v>426</v>
      </c>
      <c r="K108" s="36" t="s">
        <v>426</v>
      </c>
      <c r="L108" s="9" t="s">
        <v>426</v>
      </c>
      <c r="M108" s="9" t="s">
        <v>426</v>
      </c>
      <c r="N108" s="36" t="s">
        <v>426</v>
      </c>
      <c r="O108" s="9" t="s">
        <v>426</v>
      </c>
      <c r="P108" s="9" t="s">
        <v>426</v>
      </c>
      <c r="R108" s="9" t="s">
        <v>426</v>
      </c>
      <c r="S108" s="9" t="s">
        <v>426</v>
      </c>
      <c r="T108" s="36" t="s">
        <v>426</v>
      </c>
      <c r="U108" s="9" t="s">
        <v>426</v>
      </c>
      <c r="V108" s="9" t="s">
        <v>426</v>
      </c>
      <c r="W108" s="36" t="s">
        <v>426</v>
      </c>
      <c r="X108" s="9" t="s">
        <v>426</v>
      </c>
      <c r="Y108" s="9" t="s">
        <v>426</v>
      </c>
      <c r="Z108" s="36" t="s">
        <v>426</v>
      </c>
      <c r="AA108" s="9" t="s">
        <v>426</v>
      </c>
      <c r="AB108" s="9" t="s">
        <v>426</v>
      </c>
      <c r="AC108" s="36" t="s">
        <v>426</v>
      </c>
      <c r="AD108" s="98" t="s">
        <v>427</v>
      </c>
      <c r="AE108" s="98">
        <v>0</v>
      </c>
      <c r="AF108" s="98">
        <v>0</v>
      </c>
      <c r="AG108" s="98">
        <v>0</v>
      </c>
      <c r="AH108" s="98">
        <v>1</v>
      </c>
      <c r="AI108" s="98">
        <v>0</v>
      </c>
      <c r="AJ108" s="98">
        <v>0</v>
      </c>
      <c r="AK108" s="98">
        <v>0</v>
      </c>
      <c r="AL108" s="98">
        <v>0</v>
      </c>
      <c r="AN108" s="42"/>
      <c r="AO108" s="16" t="s">
        <v>426</v>
      </c>
      <c r="AP108" s="16" t="s">
        <v>2152</v>
      </c>
      <c r="AQ108" s="16" t="s">
        <v>426</v>
      </c>
      <c r="AR108" s="16" t="s">
        <v>2153</v>
      </c>
      <c r="AS108" s="16" t="s">
        <v>426</v>
      </c>
      <c r="AT108" s="16">
        <v>1</v>
      </c>
      <c r="AU108" s="16" t="s">
        <v>453</v>
      </c>
      <c r="AV108" s="16"/>
      <c r="AW108" s="16" t="s">
        <v>426</v>
      </c>
      <c r="AX108" s="16">
        <v>1</v>
      </c>
      <c r="AY108" s="16" t="s">
        <v>426</v>
      </c>
      <c r="AZ108" s="16">
        <v>8</v>
      </c>
      <c r="BA108" s="16" t="s">
        <v>453</v>
      </c>
      <c r="BB108" s="16"/>
      <c r="BC108" s="16" t="s">
        <v>426</v>
      </c>
      <c r="BD108" s="16">
        <v>1</v>
      </c>
      <c r="BE108" s="16" t="s">
        <v>453</v>
      </c>
      <c r="BF108" s="16"/>
      <c r="BG108" s="16" t="s">
        <v>426</v>
      </c>
      <c r="BH108" s="16">
        <v>1</v>
      </c>
      <c r="BI108" s="16" t="s">
        <v>426</v>
      </c>
      <c r="BJ108" s="16">
        <v>1</v>
      </c>
      <c r="BK108" s="16" t="s">
        <v>426</v>
      </c>
      <c r="BL108" s="16">
        <v>1</v>
      </c>
      <c r="BM108" s="16" t="s">
        <v>426</v>
      </c>
      <c r="BN108" s="16">
        <v>60</v>
      </c>
      <c r="BO108" s="16" t="s">
        <v>426</v>
      </c>
      <c r="BP108" s="16">
        <v>1</v>
      </c>
      <c r="BQ108" s="16" t="s">
        <v>426</v>
      </c>
      <c r="BR108" s="16">
        <v>40</v>
      </c>
      <c r="BS108" s="16" t="s">
        <v>453</v>
      </c>
      <c r="BT108" s="16"/>
      <c r="BU108" s="16" t="s">
        <v>453</v>
      </c>
      <c r="BV108" s="42"/>
      <c r="BW108" s="42" t="s">
        <v>518</v>
      </c>
      <c r="BX108" s="42" t="s">
        <v>429</v>
      </c>
      <c r="BY108" s="16" t="s">
        <v>430</v>
      </c>
      <c r="BZ108" s="16" t="s">
        <v>430</v>
      </c>
      <c r="CA108" s="16" t="s">
        <v>430</v>
      </c>
      <c r="CB108" s="16" t="s">
        <v>487</v>
      </c>
      <c r="CC108" s="16" t="s">
        <v>430</v>
      </c>
      <c r="CD108" s="16" t="s">
        <v>430</v>
      </c>
      <c r="CE108" s="16" t="s">
        <v>487</v>
      </c>
      <c r="CF108" s="16" t="s">
        <v>430</v>
      </c>
      <c r="CG108" s="16" t="s">
        <v>487</v>
      </c>
      <c r="CH108" s="16" t="s">
        <v>430</v>
      </c>
      <c r="CI108" s="16" t="s">
        <v>430</v>
      </c>
      <c r="CJ108" s="16" t="s">
        <v>430</v>
      </c>
      <c r="CK108" s="16" t="s">
        <v>430</v>
      </c>
      <c r="CL108" s="16" t="s">
        <v>430</v>
      </c>
      <c r="CM108" s="16" t="s">
        <v>430</v>
      </c>
      <c r="CN108" s="16" t="s">
        <v>487</v>
      </c>
      <c r="CO108" s="42" t="s">
        <v>431</v>
      </c>
      <c r="CP108" s="42" t="s">
        <v>432</v>
      </c>
      <c r="CQ108" s="16" t="s">
        <v>433</v>
      </c>
      <c r="CR108" s="42"/>
      <c r="CS108" s="16" t="s">
        <v>426</v>
      </c>
      <c r="CT108" s="16" t="s">
        <v>2154</v>
      </c>
      <c r="CU108" s="16" t="s">
        <v>985</v>
      </c>
      <c r="CV108" s="16" t="s">
        <v>1241</v>
      </c>
      <c r="CW108" s="16" t="s">
        <v>2155</v>
      </c>
      <c r="CX108" s="42" t="s">
        <v>426</v>
      </c>
      <c r="CY108" s="16" t="s">
        <v>426</v>
      </c>
      <c r="CZ108" s="16" t="s">
        <v>2156</v>
      </c>
      <c r="DA108" s="16" t="s">
        <v>990</v>
      </c>
      <c r="DB108" s="16" t="s">
        <v>656</v>
      </c>
      <c r="DC108" s="16" t="s">
        <v>692</v>
      </c>
      <c r="DD108" s="42" t="s">
        <v>988</v>
      </c>
      <c r="DE108" s="42" t="s">
        <v>436</v>
      </c>
      <c r="DF108" s="16" t="s">
        <v>437</v>
      </c>
      <c r="DG108" s="16">
        <v>1</v>
      </c>
      <c r="DH108" s="16">
        <v>0</v>
      </c>
      <c r="DI108" s="16">
        <v>0</v>
      </c>
      <c r="DJ108" s="16">
        <v>0</v>
      </c>
      <c r="DK108" s="16">
        <v>0</v>
      </c>
      <c r="DL108" s="16">
        <v>0</v>
      </c>
      <c r="DM108" s="16"/>
      <c r="DN108" s="16"/>
      <c r="DO108" s="16"/>
      <c r="DP108" s="16"/>
      <c r="DQ108" s="16"/>
      <c r="DR108" s="16"/>
      <c r="DS108" s="16"/>
      <c r="DT108" s="67"/>
      <c r="DU108" s="16" t="s">
        <v>438</v>
      </c>
      <c r="DV108" s="16" t="s">
        <v>426</v>
      </c>
      <c r="DW108" s="16" t="s">
        <v>490</v>
      </c>
      <c r="DX108" s="16" t="s">
        <v>440</v>
      </c>
      <c r="DY108" s="16"/>
      <c r="DZ108" s="16" t="s">
        <v>586</v>
      </c>
      <c r="EA108" s="16">
        <v>1</v>
      </c>
      <c r="EB108" s="16">
        <v>1</v>
      </c>
      <c r="EC108" s="16">
        <v>1</v>
      </c>
      <c r="ED108" s="16">
        <v>1</v>
      </c>
      <c r="EE108" s="16">
        <v>1</v>
      </c>
      <c r="EF108" s="16">
        <v>1</v>
      </c>
      <c r="EG108" s="16">
        <v>0</v>
      </c>
      <c r="EH108" s="16">
        <v>0</v>
      </c>
      <c r="EI108" s="16"/>
      <c r="EJ108" s="16" t="s">
        <v>2157</v>
      </c>
      <c r="EK108" s="16">
        <v>1</v>
      </c>
      <c r="EL108" s="16">
        <v>1</v>
      </c>
      <c r="EM108" s="16">
        <v>1</v>
      </c>
      <c r="EN108" s="16">
        <v>1</v>
      </c>
      <c r="EO108" s="16">
        <v>1</v>
      </c>
      <c r="EP108" s="16">
        <v>1</v>
      </c>
      <c r="EQ108" s="16">
        <v>0</v>
      </c>
      <c r="ER108" s="16">
        <v>0</v>
      </c>
      <c r="ES108" s="16">
        <v>0</v>
      </c>
      <c r="ET108" s="16"/>
      <c r="EU108" s="16" t="s">
        <v>443</v>
      </c>
      <c r="EV108" s="16" t="s">
        <v>554</v>
      </c>
      <c r="EW108" s="16"/>
      <c r="EX108" s="16" t="s">
        <v>669</v>
      </c>
      <c r="EY108" s="16">
        <v>0</v>
      </c>
      <c r="EZ108" s="16">
        <v>1</v>
      </c>
      <c r="FA108" s="16">
        <v>0</v>
      </c>
      <c r="FB108" s="16">
        <v>0</v>
      </c>
      <c r="FC108" s="16">
        <v>0</v>
      </c>
      <c r="FD108" s="16">
        <v>0</v>
      </c>
      <c r="FE108" s="16">
        <v>0</v>
      </c>
      <c r="FF108" s="16">
        <v>0</v>
      </c>
      <c r="FG108" s="16"/>
      <c r="FH108" s="16" t="s">
        <v>1243</v>
      </c>
      <c r="FI108" s="16">
        <v>0</v>
      </c>
      <c r="FJ108" s="16">
        <v>0</v>
      </c>
      <c r="FK108" s="16">
        <v>1</v>
      </c>
      <c r="FL108" s="16">
        <v>0</v>
      </c>
      <c r="FM108" s="16">
        <v>0</v>
      </c>
      <c r="FN108" s="16">
        <v>0</v>
      </c>
      <c r="FO108" s="16">
        <v>0</v>
      </c>
      <c r="FP108" s="16">
        <v>0</v>
      </c>
      <c r="FQ108" s="16">
        <v>0</v>
      </c>
      <c r="FR108" s="16">
        <v>0</v>
      </c>
      <c r="FS108" s="16"/>
      <c r="FT108" s="16" t="s">
        <v>447</v>
      </c>
      <c r="FU108" s="16" t="s">
        <v>499</v>
      </c>
      <c r="FV108" s="16"/>
      <c r="FW108" s="16" t="s">
        <v>449</v>
      </c>
      <c r="FX108" s="42" t="s">
        <v>450</v>
      </c>
      <c r="FY108" s="16" t="s">
        <v>451</v>
      </c>
      <c r="FZ108" s="16"/>
      <c r="GA108" s="16" t="s">
        <v>450</v>
      </c>
      <c r="GB108" s="16" t="s">
        <v>501</v>
      </c>
      <c r="GC108" s="16" t="s">
        <v>453</v>
      </c>
      <c r="GD108" s="16"/>
      <c r="GE108" s="16" t="s">
        <v>454</v>
      </c>
      <c r="GF108" s="16" t="s">
        <v>2158</v>
      </c>
      <c r="GG108" s="16" t="s">
        <v>456</v>
      </c>
      <c r="GH108" s="42" t="s">
        <v>2159</v>
      </c>
      <c r="GI108" s="16" t="s">
        <v>458</v>
      </c>
      <c r="GJ108" s="16" t="s">
        <v>2160</v>
      </c>
      <c r="GK108" s="16" t="s">
        <v>460</v>
      </c>
      <c r="GL108" s="16" t="s">
        <v>1474</v>
      </c>
      <c r="GM108" s="16">
        <v>1</v>
      </c>
      <c r="GN108" s="16">
        <v>1</v>
      </c>
      <c r="GO108" s="16">
        <v>1</v>
      </c>
      <c r="GP108" s="16">
        <v>1</v>
      </c>
      <c r="GQ108" s="16">
        <v>0</v>
      </c>
      <c r="GR108" s="16">
        <v>0</v>
      </c>
      <c r="GS108" s="16">
        <v>0</v>
      </c>
      <c r="GT108" s="16"/>
      <c r="GU108" s="16" t="s">
        <v>534</v>
      </c>
      <c r="GV108" s="16" t="s">
        <v>595</v>
      </c>
      <c r="GW108" s="16" t="s">
        <v>464</v>
      </c>
      <c r="GX108" s="16">
        <v>1</v>
      </c>
      <c r="GY108" s="16">
        <v>0</v>
      </c>
      <c r="GZ108" s="16">
        <v>0</v>
      </c>
      <c r="HA108" s="16">
        <v>0</v>
      </c>
      <c r="HB108" s="16">
        <v>0</v>
      </c>
      <c r="HC108" s="16">
        <v>0</v>
      </c>
      <c r="HD108" s="16"/>
      <c r="HE108" s="16" t="s">
        <v>596</v>
      </c>
      <c r="HF108" s="16">
        <v>1</v>
      </c>
      <c r="HG108" s="16">
        <v>1</v>
      </c>
      <c r="HH108" s="16">
        <v>1</v>
      </c>
      <c r="HI108" s="16">
        <v>1</v>
      </c>
      <c r="HJ108" s="16">
        <v>0</v>
      </c>
      <c r="HK108" s="16">
        <v>0</v>
      </c>
      <c r="HL108" s="42"/>
      <c r="HM108" s="16" t="s">
        <v>466</v>
      </c>
      <c r="HN108" s="16"/>
      <c r="HO108" s="16" t="s">
        <v>2161</v>
      </c>
      <c r="HP108" s="16" t="s">
        <v>648</v>
      </c>
      <c r="HQ108" s="16"/>
      <c r="HR108" s="16" t="s">
        <v>2162</v>
      </c>
      <c r="HS108" s="16" t="s">
        <v>1315</v>
      </c>
      <c r="HT108" s="16">
        <v>0</v>
      </c>
      <c r="HU108" s="16">
        <v>0</v>
      </c>
      <c r="HV108" s="16">
        <v>1</v>
      </c>
      <c r="HW108" s="16">
        <v>0</v>
      </c>
      <c r="HX108" s="16">
        <v>1</v>
      </c>
      <c r="HY108" s="16">
        <v>1</v>
      </c>
      <c r="HZ108" s="16"/>
      <c r="IA108" s="16" t="s">
        <v>1602</v>
      </c>
      <c r="IB108" s="16">
        <v>1</v>
      </c>
      <c r="IC108" s="16">
        <v>1</v>
      </c>
      <c r="ID108" s="16">
        <v>0</v>
      </c>
      <c r="IE108" s="16">
        <v>1</v>
      </c>
      <c r="IF108" s="16">
        <v>0</v>
      </c>
      <c r="IG108" s="16">
        <v>0</v>
      </c>
      <c r="IH108" s="42" t="s">
        <v>2163</v>
      </c>
      <c r="II108" s="16" t="s">
        <v>426</v>
      </c>
      <c r="IJ108" s="16" t="s">
        <v>472</v>
      </c>
      <c r="IK108" s="16">
        <v>1</v>
      </c>
      <c r="IL108" s="16">
        <v>0</v>
      </c>
      <c r="IM108" s="16">
        <v>0</v>
      </c>
      <c r="IN108" s="16"/>
      <c r="IO108" s="16" t="s">
        <v>473</v>
      </c>
      <c r="IP108" s="16">
        <v>1</v>
      </c>
      <c r="IQ108" s="16">
        <v>0</v>
      </c>
      <c r="IR108" s="16">
        <v>0</v>
      </c>
      <c r="IS108" s="16">
        <v>0</v>
      </c>
      <c r="IT108" s="16">
        <v>0</v>
      </c>
      <c r="IU108" s="16">
        <v>0</v>
      </c>
      <c r="IV108" s="16"/>
      <c r="IW108" s="16" t="s">
        <v>453</v>
      </c>
      <c r="IX108" s="16"/>
      <c r="IY108" s="16" t="s">
        <v>510</v>
      </c>
      <c r="IZ108" s="16"/>
      <c r="JA108" s="16"/>
      <c r="JB108" s="16"/>
      <c r="JC108" s="16"/>
      <c r="JD108" s="16"/>
      <c r="JE108" s="16"/>
      <c r="JF108" s="16"/>
      <c r="JG108" s="16"/>
      <c r="JH108" s="16"/>
      <c r="JI108" s="16"/>
      <c r="JJ108" s="16" t="s">
        <v>453</v>
      </c>
      <c r="JK108" s="16" t="s">
        <v>453</v>
      </c>
      <c r="JL108" s="16"/>
      <c r="JM108" s="16"/>
      <c r="JN108" s="16"/>
      <c r="JO108" s="16"/>
      <c r="JP108" s="16"/>
      <c r="JQ108" s="16"/>
      <c r="JR108" s="16"/>
      <c r="JS108" s="16"/>
      <c r="JT108" s="16"/>
      <c r="JU108" s="16" t="s">
        <v>895</v>
      </c>
      <c r="JV108" s="42" t="s">
        <v>2164</v>
      </c>
      <c r="JW108" s="95" t="s">
        <v>2165</v>
      </c>
      <c r="JX108" s="16" t="s">
        <v>2166</v>
      </c>
      <c r="JY108" s="16">
        <v>0.6176065</v>
      </c>
      <c r="JZ108" s="16">
        <v>34.4608198</v>
      </c>
      <c r="KA108" s="16">
        <v>1339.09</v>
      </c>
      <c r="KB108" s="42">
        <v>1.423</v>
      </c>
      <c r="KC108" s="42"/>
    </row>
    <row r="109" spans="1:289">
      <c r="A109" s="6" t="s">
        <v>633</v>
      </c>
      <c r="B109" s="6" t="s">
        <v>420</v>
      </c>
      <c r="C109" s="6" t="s">
        <v>1608</v>
      </c>
      <c r="D109" s="6" t="s">
        <v>2169</v>
      </c>
      <c r="E109" s="6" t="s">
        <v>2170</v>
      </c>
      <c r="F109" s="8" t="s">
        <v>483</v>
      </c>
      <c r="G109" s="6" t="s">
        <v>567</v>
      </c>
      <c r="H109" s="6" t="s">
        <v>517</v>
      </c>
      <c r="I109" s="15"/>
      <c r="J109" s="6" t="s">
        <v>426</v>
      </c>
      <c r="K109" s="6" t="s">
        <v>426</v>
      </c>
      <c r="L109" s="6" t="s">
        <v>426</v>
      </c>
      <c r="M109" s="6" t="s">
        <v>426</v>
      </c>
      <c r="N109" s="6" t="s">
        <v>426</v>
      </c>
      <c r="O109" s="6" t="s">
        <v>426</v>
      </c>
      <c r="P109" s="6" t="s">
        <v>426</v>
      </c>
      <c r="Q109" s="6" t="s">
        <v>426</v>
      </c>
      <c r="R109" s="6" t="s">
        <v>426</v>
      </c>
      <c r="S109" s="6" t="s">
        <v>426</v>
      </c>
      <c r="T109" s="6" t="s">
        <v>426</v>
      </c>
      <c r="U109" s="6" t="s">
        <v>426</v>
      </c>
      <c r="V109" s="6" t="s">
        <v>426</v>
      </c>
      <c r="W109" s="6" t="s">
        <v>426</v>
      </c>
      <c r="X109" s="6" t="s">
        <v>426</v>
      </c>
      <c r="Y109" s="6" t="s">
        <v>426</v>
      </c>
      <c r="Z109" s="6" t="s">
        <v>426</v>
      </c>
      <c r="AA109" s="6" t="s">
        <v>426</v>
      </c>
      <c r="AB109" s="6" t="s">
        <v>426</v>
      </c>
      <c r="AC109" s="15" t="s">
        <v>426</v>
      </c>
      <c r="AD109" s="6" t="s">
        <v>427</v>
      </c>
      <c r="AE109" s="6">
        <v>0</v>
      </c>
      <c r="AF109" s="6">
        <v>0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0</v>
      </c>
      <c r="AM109" s="6"/>
      <c r="AN109" s="15"/>
      <c r="AO109" s="6" t="s">
        <v>426</v>
      </c>
      <c r="AP109" s="6" t="s">
        <v>656</v>
      </c>
      <c r="AQ109" s="6" t="s">
        <v>426</v>
      </c>
      <c r="AR109" s="6" t="s">
        <v>656</v>
      </c>
      <c r="AS109" s="6" t="s">
        <v>426</v>
      </c>
      <c r="AT109" s="6">
        <v>0.5</v>
      </c>
      <c r="AU109" s="6" t="s">
        <v>426</v>
      </c>
      <c r="AV109" s="6">
        <v>0.5</v>
      </c>
      <c r="AW109" s="6" t="s">
        <v>426</v>
      </c>
      <c r="AX109" s="6">
        <v>0.5</v>
      </c>
      <c r="AY109" s="6" t="s">
        <v>426</v>
      </c>
      <c r="AZ109" s="6">
        <v>0</v>
      </c>
      <c r="BA109" s="6" t="s">
        <v>453</v>
      </c>
      <c r="BB109" s="6"/>
      <c r="BC109" s="6" t="s">
        <v>426</v>
      </c>
      <c r="BD109" s="6">
        <v>0.08</v>
      </c>
      <c r="BE109" s="6" t="s">
        <v>453</v>
      </c>
      <c r="BF109" s="6"/>
      <c r="BG109" s="6" t="s">
        <v>453</v>
      </c>
      <c r="BH109" s="6"/>
      <c r="BI109" s="6" t="s">
        <v>426</v>
      </c>
      <c r="BJ109" s="6">
        <v>0.5</v>
      </c>
      <c r="BK109" s="6" t="s">
        <v>426</v>
      </c>
      <c r="BL109" s="6">
        <v>0.5</v>
      </c>
      <c r="BM109" s="6" t="s">
        <v>426</v>
      </c>
      <c r="BN109" s="6">
        <v>20</v>
      </c>
      <c r="BO109" s="6" t="s">
        <v>426</v>
      </c>
      <c r="BP109" s="6">
        <v>0.8</v>
      </c>
      <c r="BQ109" s="6" t="s">
        <v>426</v>
      </c>
      <c r="BR109" s="6">
        <v>100</v>
      </c>
      <c r="BS109" s="6" t="s">
        <v>426</v>
      </c>
      <c r="BT109" s="6">
        <v>2</v>
      </c>
      <c r="BU109" s="6" t="s">
        <v>453</v>
      </c>
      <c r="BV109" s="15"/>
      <c r="BW109" s="15" t="s">
        <v>518</v>
      </c>
      <c r="BX109" s="15" t="s">
        <v>429</v>
      </c>
      <c r="BY109" s="6" t="s">
        <v>430</v>
      </c>
      <c r="BZ109" s="6" t="s">
        <v>430</v>
      </c>
      <c r="CA109" s="6" t="s">
        <v>430</v>
      </c>
      <c r="CB109" s="6" t="s">
        <v>430</v>
      </c>
      <c r="CC109" s="6" t="s">
        <v>430</v>
      </c>
      <c r="CD109" s="6" t="s">
        <v>430</v>
      </c>
      <c r="CE109" s="6" t="s">
        <v>430</v>
      </c>
      <c r="CF109" s="6" t="s">
        <v>430</v>
      </c>
      <c r="CG109" s="6" t="s">
        <v>430</v>
      </c>
      <c r="CH109" s="6" t="s">
        <v>430</v>
      </c>
      <c r="CI109" s="6" t="s">
        <v>430</v>
      </c>
      <c r="CJ109" s="6" t="s">
        <v>430</v>
      </c>
      <c r="CK109" s="6" t="s">
        <v>430</v>
      </c>
      <c r="CL109" s="6" t="s">
        <v>430</v>
      </c>
      <c r="CM109" s="6" t="s">
        <v>430</v>
      </c>
      <c r="CN109" s="6" t="s">
        <v>430</v>
      </c>
      <c r="CO109" s="15" t="s">
        <v>430</v>
      </c>
      <c r="CP109" s="15" t="s">
        <v>432</v>
      </c>
      <c r="CQ109" s="6" t="s">
        <v>433</v>
      </c>
      <c r="CR109" s="15"/>
      <c r="CS109" s="6" t="s">
        <v>453</v>
      </c>
      <c r="CT109" s="6"/>
      <c r="CU109" s="6"/>
      <c r="CV109" s="6"/>
      <c r="CW109" s="6"/>
      <c r="CX109" s="15" t="s">
        <v>426</v>
      </c>
      <c r="CY109" s="6" t="s">
        <v>426</v>
      </c>
      <c r="CZ109" s="6" t="s">
        <v>1086</v>
      </c>
      <c r="DA109" s="6" t="s">
        <v>988</v>
      </c>
      <c r="DB109" s="6" t="s">
        <v>660</v>
      </c>
      <c r="DC109" s="6" t="s">
        <v>987</v>
      </c>
      <c r="DD109" s="15" t="s">
        <v>988</v>
      </c>
      <c r="DE109" s="15" t="s">
        <v>521</v>
      </c>
      <c r="DF109" s="6" t="s">
        <v>522</v>
      </c>
      <c r="DG109" s="6">
        <v>0</v>
      </c>
      <c r="DH109" s="6">
        <v>1</v>
      </c>
      <c r="DI109" s="6">
        <v>0</v>
      </c>
      <c r="DJ109" s="6">
        <v>0</v>
      </c>
      <c r="DK109" s="6">
        <v>0</v>
      </c>
      <c r="DL109" s="6">
        <v>0</v>
      </c>
      <c r="DM109" s="6"/>
      <c r="DN109" s="6"/>
      <c r="DO109" s="6"/>
      <c r="DP109" s="6"/>
      <c r="DQ109" s="6"/>
      <c r="DR109" s="6"/>
      <c r="DS109" s="6"/>
      <c r="DT109" s="66"/>
      <c r="DU109" s="6" t="s">
        <v>523</v>
      </c>
      <c r="DV109" s="6" t="s">
        <v>453</v>
      </c>
      <c r="DW109" s="6"/>
      <c r="DX109" s="6" t="s">
        <v>440</v>
      </c>
      <c r="DY109" s="6"/>
      <c r="DZ109" s="6" t="s">
        <v>991</v>
      </c>
      <c r="EA109" s="6">
        <v>1</v>
      </c>
      <c r="EB109" s="6">
        <v>1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/>
      <c r="EJ109" s="6" t="s">
        <v>2171</v>
      </c>
      <c r="EK109" s="6">
        <v>1</v>
      </c>
      <c r="EL109" s="6">
        <v>0</v>
      </c>
      <c r="EM109" s="6">
        <v>1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6"/>
      <c r="EU109" s="6" t="s">
        <v>443</v>
      </c>
      <c r="EV109" s="6" t="s">
        <v>554</v>
      </c>
      <c r="EW109" s="6"/>
      <c r="EX109" s="6" t="s">
        <v>992</v>
      </c>
      <c r="EY109" s="6">
        <v>1</v>
      </c>
      <c r="EZ109" s="6">
        <v>0</v>
      </c>
      <c r="FA109" s="6">
        <v>1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/>
      <c r="FH109" s="6" t="s">
        <v>446</v>
      </c>
      <c r="FI109" s="6">
        <v>1</v>
      </c>
      <c r="FJ109" s="6">
        <v>0</v>
      </c>
      <c r="FK109" s="6">
        <v>0</v>
      </c>
      <c r="FL109" s="6">
        <v>0</v>
      </c>
      <c r="FM109" s="6">
        <v>1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/>
      <c r="FT109" s="6" t="s">
        <v>2172</v>
      </c>
      <c r="FU109" s="6" t="s">
        <v>448</v>
      </c>
      <c r="FV109" s="6"/>
      <c r="FW109" s="6" t="s">
        <v>449</v>
      </c>
      <c r="FX109" s="15" t="s">
        <v>450</v>
      </c>
      <c r="FY109" s="6" t="s">
        <v>500</v>
      </c>
      <c r="FZ109" s="6"/>
      <c r="GA109" s="6" t="s">
        <v>450</v>
      </c>
      <c r="GB109" s="6" t="s">
        <v>501</v>
      </c>
      <c r="GC109" s="6" t="s">
        <v>453</v>
      </c>
      <c r="GD109" s="6"/>
      <c r="GE109" s="6" t="s">
        <v>642</v>
      </c>
      <c r="GF109" s="6" t="s">
        <v>2173</v>
      </c>
      <c r="GG109" s="6" t="s">
        <v>592</v>
      </c>
      <c r="GH109" s="15" t="s">
        <v>2174</v>
      </c>
      <c r="GI109" s="6" t="s">
        <v>458</v>
      </c>
      <c r="GJ109" s="6" t="s">
        <v>2175</v>
      </c>
      <c r="GK109" s="6" t="s">
        <v>460</v>
      </c>
      <c r="GL109" s="6" t="s">
        <v>461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1</v>
      </c>
      <c r="GS109" s="6">
        <v>0</v>
      </c>
      <c r="GT109" s="6"/>
      <c r="GU109" s="6" t="s">
        <v>462</v>
      </c>
      <c r="GV109" s="6" t="s">
        <v>595</v>
      </c>
      <c r="GW109" s="6" t="s">
        <v>2176</v>
      </c>
      <c r="GX109" s="6">
        <v>1</v>
      </c>
      <c r="GY109" s="6">
        <v>1</v>
      </c>
      <c r="GZ109" s="6">
        <v>0</v>
      </c>
      <c r="HA109" s="6">
        <v>0</v>
      </c>
      <c r="HB109" s="6">
        <v>0</v>
      </c>
      <c r="HC109" s="6">
        <v>0</v>
      </c>
      <c r="HD109" s="6"/>
      <c r="HE109" s="6" t="s">
        <v>748</v>
      </c>
      <c r="HF109" s="6">
        <v>0</v>
      </c>
      <c r="HG109" s="6">
        <v>0</v>
      </c>
      <c r="HH109" s="6">
        <v>1</v>
      </c>
      <c r="HI109" s="6">
        <v>1</v>
      </c>
      <c r="HJ109" s="6">
        <v>0</v>
      </c>
      <c r="HK109" s="6">
        <v>0</v>
      </c>
      <c r="HL109" s="15"/>
      <c r="HM109" s="6" t="s">
        <v>505</v>
      </c>
      <c r="HN109" s="6"/>
      <c r="HO109" s="6" t="s">
        <v>2177</v>
      </c>
      <c r="HP109" s="6" t="s">
        <v>648</v>
      </c>
      <c r="HQ109" s="6"/>
      <c r="HR109" s="6" t="s">
        <v>2178</v>
      </c>
      <c r="HS109" s="6" t="s">
        <v>508</v>
      </c>
      <c r="HT109" s="6">
        <v>0</v>
      </c>
      <c r="HU109" s="6">
        <v>0</v>
      </c>
      <c r="HV109" s="6">
        <v>1</v>
      </c>
      <c r="HW109" s="6">
        <v>0</v>
      </c>
      <c r="HX109" s="6">
        <v>0</v>
      </c>
      <c r="HY109" s="6">
        <v>0</v>
      </c>
      <c r="HZ109" s="6"/>
      <c r="IA109" s="6" t="s">
        <v>1105</v>
      </c>
      <c r="IB109" s="6">
        <v>1</v>
      </c>
      <c r="IC109" s="6">
        <v>1</v>
      </c>
      <c r="ID109" s="6">
        <v>0</v>
      </c>
      <c r="IE109" s="6">
        <v>0</v>
      </c>
      <c r="IF109" s="6">
        <v>0</v>
      </c>
      <c r="IG109" s="6">
        <v>0</v>
      </c>
      <c r="IH109" s="15" t="s">
        <v>2179</v>
      </c>
      <c r="II109" s="6" t="s">
        <v>453</v>
      </c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 t="s">
        <v>453</v>
      </c>
      <c r="IX109" s="6"/>
      <c r="IY109" s="6" t="s">
        <v>510</v>
      </c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 t="s">
        <v>453</v>
      </c>
      <c r="JK109" s="6" t="s">
        <v>426</v>
      </c>
      <c r="JL109" s="6" t="s">
        <v>453</v>
      </c>
      <c r="JM109" s="6" t="s">
        <v>913</v>
      </c>
      <c r="JN109" s="6">
        <v>1</v>
      </c>
      <c r="JO109" s="6">
        <v>0</v>
      </c>
      <c r="JP109" s="6">
        <v>0</v>
      </c>
      <c r="JQ109" s="6">
        <v>0</v>
      </c>
      <c r="JR109" s="6">
        <v>0</v>
      </c>
      <c r="JS109" s="6">
        <v>0</v>
      </c>
      <c r="JT109" s="6"/>
      <c r="JU109" s="6" t="s">
        <v>511</v>
      </c>
      <c r="JV109" s="15"/>
      <c r="JW109" s="94" t="s">
        <v>2180</v>
      </c>
      <c r="JX109" s="6" t="s">
        <v>2181</v>
      </c>
      <c r="JY109" s="6">
        <v>0.6177885</v>
      </c>
      <c r="JZ109" s="6">
        <v>34.4606567</v>
      </c>
      <c r="KA109" s="6">
        <v>1326</v>
      </c>
      <c r="KB109" s="15">
        <v>4.4</v>
      </c>
      <c r="KC109" s="15"/>
    </row>
    <row r="110" spans="1:289">
      <c r="A110" s="6" t="s">
        <v>581</v>
      </c>
      <c r="B110" s="6" t="s">
        <v>420</v>
      </c>
      <c r="C110" s="6" t="s">
        <v>1608</v>
      </c>
      <c r="D110" s="6" t="s">
        <v>2182</v>
      </c>
      <c r="E110" s="6" t="s">
        <v>2183</v>
      </c>
      <c r="F110" s="8" t="s">
        <v>483</v>
      </c>
      <c r="G110" s="6" t="s">
        <v>424</v>
      </c>
      <c r="H110" s="6" t="s">
        <v>425</v>
      </c>
      <c r="I110" s="15"/>
      <c r="J110" s="6" t="s">
        <v>426</v>
      </c>
      <c r="K110" s="6" t="s">
        <v>426</v>
      </c>
      <c r="L110" s="6" t="s">
        <v>426</v>
      </c>
      <c r="M110" s="6" t="s">
        <v>426</v>
      </c>
      <c r="N110" s="6" t="s">
        <v>426</v>
      </c>
      <c r="O110" s="6" t="s">
        <v>426</v>
      </c>
      <c r="P110" s="6" t="s">
        <v>426</v>
      </c>
      <c r="Q110" s="6" t="s">
        <v>426</v>
      </c>
      <c r="R110" s="6" t="s">
        <v>426</v>
      </c>
      <c r="S110" s="6" t="s">
        <v>426</v>
      </c>
      <c r="T110" s="6" t="s">
        <v>426</v>
      </c>
      <c r="U110" s="6" t="s">
        <v>426</v>
      </c>
      <c r="V110" s="6" t="s">
        <v>426</v>
      </c>
      <c r="W110" s="6" t="s">
        <v>426</v>
      </c>
      <c r="X110" s="6" t="s">
        <v>426</v>
      </c>
      <c r="Y110" s="6" t="s">
        <v>426</v>
      </c>
      <c r="Z110" s="6" t="s">
        <v>426</v>
      </c>
      <c r="AA110" s="6" t="s">
        <v>426</v>
      </c>
      <c r="AB110" s="6" t="s">
        <v>426</v>
      </c>
      <c r="AC110" s="15" t="s">
        <v>426</v>
      </c>
      <c r="AD110" s="6" t="s">
        <v>2184</v>
      </c>
      <c r="AE110" s="6">
        <v>1</v>
      </c>
      <c r="AF110" s="6">
        <v>1</v>
      </c>
      <c r="AG110" s="6">
        <v>0</v>
      </c>
      <c r="AH110" s="6">
        <v>1</v>
      </c>
      <c r="AI110" s="6">
        <v>0</v>
      </c>
      <c r="AJ110" s="6">
        <v>0</v>
      </c>
      <c r="AK110" s="6">
        <v>0</v>
      </c>
      <c r="AL110" s="6">
        <v>0</v>
      </c>
      <c r="AM110" s="6"/>
      <c r="AN110" s="15"/>
      <c r="AO110" s="6" t="s">
        <v>426</v>
      </c>
      <c r="AP110" s="6" t="s">
        <v>683</v>
      </c>
      <c r="AQ110" s="6" t="s">
        <v>426</v>
      </c>
      <c r="AR110" s="6" t="s">
        <v>1188</v>
      </c>
      <c r="AS110" s="6" t="s">
        <v>426</v>
      </c>
      <c r="AT110" s="6">
        <v>1</v>
      </c>
      <c r="AU110" s="6" t="s">
        <v>426</v>
      </c>
      <c r="AV110" s="6">
        <v>1</v>
      </c>
      <c r="AW110" s="6" t="s">
        <v>426</v>
      </c>
      <c r="AX110" s="6">
        <v>1</v>
      </c>
      <c r="AY110" s="6" t="s">
        <v>426</v>
      </c>
      <c r="AZ110" s="6">
        <v>1</v>
      </c>
      <c r="BA110" s="6" t="s">
        <v>426</v>
      </c>
      <c r="BB110" s="6">
        <v>1</v>
      </c>
      <c r="BC110" s="6" t="s">
        <v>426</v>
      </c>
      <c r="BD110" s="6">
        <v>1</v>
      </c>
      <c r="BE110" s="6" t="s">
        <v>426</v>
      </c>
      <c r="BF110" s="6">
        <v>8</v>
      </c>
      <c r="BG110" s="6" t="s">
        <v>426</v>
      </c>
      <c r="BH110" s="6">
        <v>1</v>
      </c>
      <c r="BI110" s="6" t="s">
        <v>426</v>
      </c>
      <c r="BJ110" s="6">
        <v>1</v>
      </c>
      <c r="BK110" s="6" t="s">
        <v>426</v>
      </c>
      <c r="BL110" s="6">
        <v>1</v>
      </c>
      <c r="BM110" s="6" t="s">
        <v>426</v>
      </c>
      <c r="BN110" s="6">
        <v>30</v>
      </c>
      <c r="BO110" s="6" t="s">
        <v>426</v>
      </c>
      <c r="BP110" s="6">
        <v>1</v>
      </c>
      <c r="BQ110" s="6" t="s">
        <v>426</v>
      </c>
      <c r="BR110" s="6">
        <v>20</v>
      </c>
      <c r="BS110" s="6" t="s">
        <v>426</v>
      </c>
      <c r="BT110" s="6">
        <v>30</v>
      </c>
      <c r="BU110" s="6" t="s">
        <v>426</v>
      </c>
      <c r="BV110" s="15">
        <v>1</v>
      </c>
      <c r="BW110" s="15" t="s">
        <v>518</v>
      </c>
      <c r="BX110" s="15" t="s">
        <v>429</v>
      </c>
      <c r="BY110" s="6" t="s">
        <v>430</v>
      </c>
      <c r="BZ110" s="6" t="s">
        <v>430</v>
      </c>
      <c r="CA110" s="6" t="s">
        <v>430</v>
      </c>
      <c r="CB110" s="6" t="s">
        <v>430</v>
      </c>
      <c r="CC110" s="6" t="s">
        <v>430</v>
      </c>
      <c r="CD110" s="6" t="s">
        <v>430</v>
      </c>
      <c r="CE110" s="6" t="s">
        <v>430</v>
      </c>
      <c r="CF110" s="6" t="s">
        <v>430</v>
      </c>
      <c r="CG110" s="6" t="s">
        <v>430</v>
      </c>
      <c r="CH110" s="6" t="s">
        <v>430</v>
      </c>
      <c r="CI110" s="6" t="s">
        <v>430</v>
      </c>
      <c r="CJ110" s="6" t="s">
        <v>430</v>
      </c>
      <c r="CK110" s="6" t="s">
        <v>430</v>
      </c>
      <c r="CL110" s="6" t="s">
        <v>430</v>
      </c>
      <c r="CM110" s="6" t="s">
        <v>430</v>
      </c>
      <c r="CN110" s="6" t="s">
        <v>430</v>
      </c>
      <c r="CO110" s="15" t="s">
        <v>430</v>
      </c>
      <c r="CP110" s="15" t="s">
        <v>432</v>
      </c>
      <c r="CQ110" s="6" t="s">
        <v>433</v>
      </c>
      <c r="CR110" s="15"/>
      <c r="CS110" s="6" t="s">
        <v>426</v>
      </c>
      <c r="CT110" s="6" t="s">
        <v>2185</v>
      </c>
      <c r="CU110" s="6" t="s">
        <v>907</v>
      </c>
      <c r="CV110" s="6" t="s">
        <v>734</v>
      </c>
      <c r="CW110" s="6" t="s">
        <v>2186</v>
      </c>
      <c r="CX110" s="15" t="s">
        <v>426</v>
      </c>
      <c r="CY110" s="6" t="s">
        <v>453</v>
      </c>
      <c r="CZ110" s="6"/>
      <c r="DA110" s="6"/>
      <c r="DB110" s="6"/>
      <c r="DC110" s="6"/>
      <c r="DD110" s="15"/>
      <c r="DE110" s="15" t="s">
        <v>436</v>
      </c>
      <c r="DF110" s="6" t="s">
        <v>1171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1</v>
      </c>
      <c r="DM110" s="6" t="s">
        <v>2187</v>
      </c>
      <c r="DN110" s="6"/>
      <c r="DO110" s="6"/>
      <c r="DP110" s="6"/>
      <c r="DQ110" s="6"/>
      <c r="DR110" s="6"/>
      <c r="DS110" s="6"/>
      <c r="DT110" s="66"/>
      <c r="DU110" s="6" t="s">
        <v>523</v>
      </c>
      <c r="DV110" s="6" t="s">
        <v>426</v>
      </c>
      <c r="DW110" s="6" t="s">
        <v>490</v>
      </c>
      <c r="DX110" s="6" t="s">
        <v>440</v>
      </c>
      <c r="DY110" s="6"/>
      <c r="DZ110" s="6" t="s">
        <v>2188</v>
      </c>
      <c r="EA110" s="6">
        <v>1</v>
      </c>
      <c r="EB110" s="6">
        <v>1</v>
      </c>
      <c r="EC110" s="6">
        <v>1</v>
      </c>
      <c r="ED110" s="6">
        <v>1</v>
      </c>
      <c r="EE110" s="6">
        <v>1</v>
      </c>
      <c r="EF110" s="6">
        <v>1</v>
      </c>
      <c r="EG110" s="6">
        <v>0</v>
      </c>
      <c r="EH110" s="6">
        <v>0</v>
      </c>
      <c r="EI110" s="6"/>
      <c r="EJ110" s="6" t="s">
        <v>1227</v>
      </c>
      <c r="EK110" s="6">
        <v>1</v>
      </c>
      <c r="EL110" s="6">
        <v>0</v>
      </c>
      <c r="EM110" s="6">
        <v>1</v>
      </c>
      <c r="EN110" s="6">
        <v>1</v>
      </c>
      <c r="EO110" s="6">
        <v>1</v>
      </c>
      <c r="EP110" s="6">
        <v>1</v>
      </c>
      <c r="EQ110" s="6">
        <v>0</v>
      </c>
      <c r="ER110" s="6">
        <v>0</v>
      </c>
      <c r="ES110" s="6">
        <v>0</v>
      </c>
      <c r="ET110" s="6"/>
      <c r="EU110" s="6" t="s">
        <v>443</v>
      </c>
      <c r="EV110" s="6" t="s">
        <v>588</v>
      </c>
      <c r="EW110" s="6"/>
      <c r="EX110" s="6" t="s">
        <v>589</v>
      </c>
      <c r="EY110" s="6">
        <v>1</v>
      </c>
      <c r="EZ110" s="6">
        <v>1</v>
      </c>
      <c r="FA110" s="6">
        <v>1</v>
      </c>
      <c r="FB110" s="6">
        <v>1</v>
      </c>
      <c r="FC110" s="6">
        <v>1</v>
      </c>
      <c r="FD110" s="6">
        <v>1</v>
      </c>
      <c r="FE110" s="6">
        <v>0</v>
      </c>
      <c r="FF110" s="6">
        <v>0</v>
      </c>
      <c r="FG110" s="6"/>
      <c r="FH110" s="6" t="s">
        <v>2189</v>
      </c>
      <c r="FI110" s="6">
        <v>1</v>
      </c>
      <c r="FJ110" s="6">
        <v>0</v>
      </c>
      <c r="FK110" s="6">
        <v>1</v>
      </c>
      <c r="FL110" s="6">
        <v>1</v>
      </c>
      <c r="FM110" s="6">
        <v>0</v>
      </c>
      <c r="FN110" s="6">
        <v>1</v>
      </c>
      <c r="FO110" s="6">
        <v>0</v>
      </c>
      <c r="FP110" s="6">
        <v>0</v>
      </c>
      <c r="FQ110" s="6">
        <v>1</v>
      </c>
      <c r="FR110" s="6">
        <v>0</v>
      </c>
      <c r="FS110" s="6"/>
      <c r="FT110" s="6" t="s">
        <v>556</v>
      </c>
      <c r="FU110" s="6" t="s">
        <v>448</v>
      </c>
      <c r="FV110" s="6"/>
      <c r="FW110" s="6" t="s">
        <v>449</v>
      </c>
      <c r="FX110" s="15" t="s">
        <v>450</v>
      </c>
      <c r="FY110" s="6" t="s">
        <v>500</v>
      </c>
      <c r="FZ110" s="6"/>
      <c r="GA110" s="6" t="s">
        <v>450</v>
      </c>
      <c r="GB110" s="6" t="s">
        <v>501</v>
      </c>
      <c r="GC110" s="6" t="s">
        <v>453</v>
      </c>
      <c r="GD110" s="6"/>
      <c r="GE110" s="6" t="s">
        <v>454</v>
      </c>
      <c r="GF110" s="6" t="s">
        <v>718</v>
      </c>
      <c r="GG110" s="6" t="s">
        <v>456</v>
      </c>
      <c r="GH110" s="15" t="s">
        <v>1776</v>
      </c>
      <c r="GI110" s="6" t="s">
        <v>458</v>
      </c>
      <c r="GJ110" s="6" t="s">
        <v>2190</v>
      </c>
      <c r="GK110" s="6" t="s">
        <v>460</v>
      </c>
      <c r="GL110" s="6" t="s">
        <v>461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1</v>
      </c>
      <c r="GS110" s="6">
        <v>0</v>
      </c>
      <c r="GT110" s="6"/>
      <c r="GU110" s="6" t="s">
        <v>534</v>
      </c>
      <c r="GV110" s="6" t="s">
        <v>595</v>
      </c>
      <c r="GW110" s="6" t="s">
        <v>2191</v>
      </c>
      <c r="GX110" s="6">
        <v>1</v>
      </c>
      <c r="GY110" s="6">
        <v>0</v>
      </c>
      <c r="GZ110" s="6">
        <v>0</v>
      </c>
      <c r="HA110" s="6">
        <v>1</v>
      </c>
      <c r="HB110" s="6">
        <v>0</v>
      </c>
      <c r="HC110" s="6">
        <v>0</v>
      </c>
      <c r="HD110" s="6"/>
      <c r="HE110" s="6" t="s">
        <v>596</v>
      </c>
      <c r="HF110" s="6">
        <v>1</v>
      </c>
      <c r="HG110" s="6">
        <v>1</v>
      </c>
      <c r="HH110" s="6">
        <v>1</v>
      </c>
      <c r="HI110" s="6">
        <v>1</v>
      </c>
      <c r="HJ110" s="6">
        <v>0</v>
      </c>
      <c r="HK110" s="6">
        <v>0</v>
      </c>
      <c r="HL110" s="15"/>
      <c r="HM110" s="6" t="s">
        <v>505</v>
      </c>
      <c r="HN110" s="6"/>
      <c r="HO110" s="6" t="s">
        <v>2192</v>
      </c>
      <c r="HP110" s="6" t="s">
        <v>537</v>
      </c>
      <c r="HQ110" s="6" t="s">
        <v>2193</v>
      </c>
      <c r="HR110" s="6" t="s">
        <v>2194</v>
      </c>
      <c r="HS110" s="6" t="s">
        <v>1315</v>
      </c>
      <c r="HT110" s="6">
        <v>0</v>
      </c>
      <c r="HU110" s="6">
        <v>0</v>
      </c>
      <c r="HV110" s="6">
        <v>1</v>
      </c>
      <c r="HW110" s="6">
        <v>0</v>
      </c>
      <c r="HX110" s="6">
        <v>1</v>
      </c>
      <c r="HY110" s="6">
        <v>1</v>
      </c>
      <c r="HZ110" s="6"/>
      <c r="IA110" s="6" t="s">
        <v>2195</v>
      </c>
      <c r="IB110" s="6">
        <v>1</v>
      </c>
      <c r="IC110" s="6">
        <v>0</v>
      </c>
      <c r="ID110" s="6">
        <v>1</v>
      </c>
      <c r="IE110" s="6">
        <v>1</v>
      </c>
      <c r="IF110" s="6">
        <v>0</v>
      </c>
      <c r="IG110" s="6">
        <v>0</v>
      </c>
      <c r="IH110" s="15" t="s">
        <v>2196</v>
      </c>
      <c r="II110" s="6" t="s">
        <v>426</v>
      </c>
      <c r="IJ110" s="6" t="s">
        <v>602</v>
      </c>
      <c r="IK110" s="6">
        <v>1</v>
      </c>
      <c r="IL110" s="6">
        <v>1</v>
      </c>
      <c r="IM110" s="6">
        <v>0</v>
      </c>
      <c r="IN110" s="6"/>
      <c r="IO110" s="6" t="s">
        <v>473</v>
      </c>
      <c r="IP110" s="6">
        <v>1</v>
      </c>
      <c r="IQ110" s="6">
        <v>0</v>
      </c>
      <c r="IR110" s="6">
        <v>0</v>
      </c>
      <c r="IS110" s="6">
        <v>0</v>
      </c>
      <c r="IT110" s="6">
        <v>0</v>
      </c>
      <c r="IU110" s="6">
        <v>0</v>
      </c>
      <c r="IV110" s="6"/>
      <c r="IW110" s="6" t="s">
        <v>426</v>
      </c>
      <c r="IX110" s="6">
        <v>1</v>
      </c>
      <c r="IY110" s="6" t="s">
        <v>474</v>
      </c>
      <c r="IZ110" s="6" t="s">
        <v>475</v>
      </c>
      <c r="JA110" s="6" t="s">
        <v>426</v>
      </c>
      <c r="JB110" s="6" t="s">
        <v>476</v>
      </c>
      <c r="JC110" s="6"/>
      <c r="JD110" s="6"/>
      <c r="JE110" s="6"/>
      <c r="JF110" s="6"/>
      <c r="JG110" s="6"/>
      <c r="JH110" s="6"/>
      <c r="JI110" s="6"/>
      <c r="JJ110" s="6"/>
      <c r="JK110" s="6" t="s">
        <v>426</v>
      </c>
      <c r="JL110" s="6" t="s">
        <v>426</v>
      </c>
      <c r="JM110" s="6"/>
      <c r="JN110" s="6"/>
      <c r="JO110" s="6"/>
      <c r="JP110" s="6"/>
      <c r="JQ110" s="6"/>
      <c r="JR110" s="6"/>
      <c r="JS110" s="6"/>
      <c r="JT110" s="6"/>
      <c r="JU110" s="6" t="s">
        <v>895</v>
      </c>
      <c r="JV110" s="15" t="s">
        <v>2197</v>
      </c>
      <c r="JW110" s="94" t="s">
        <v>2198</v>
      </c>
      <c r="JX110" s="6" t="s">
        <v>2199</v>
      </c>
      <c r="JY110" s="6">
        <v>0.6176728</v>
      </c>
      <c r="JZ110" s="6">
        <v>34.4606712</v>
      </c>
      <c r="KA110" s="6">
        <v>1308.4</v>
      </c>
      <c r="KB110" s="15">
        <v>3.45</v>
      </c>
      <c r="KC110" s="15"/>
    </row>
    <row r="111" spans="1:289">
      <c r="A111" s="6" t="s">
        <v>480</v>
      </c>
      <c r="B111" s="6" t="s">
        <v>420</v>
      </c>
      <c r="C111" s="6" t="s">
        <v>1608</v>
      </c>
      <c r="D111" s="6" t="s">
        <v>2200</v>
      </c>
      <c r="E111" s="6" t="s">
        <v>2201</v>
      </c>
      <c r="F111" s="8" t="s">
        <v>483</v>
      </c>
      <c r="G111" s="6" t="s">
        <v>567</v>
      </c>
      <c r="H111" s="6" t="s">
        <v>425</v>
      </c>
      <c r="I111" s="15"/>
      <c r="J111" s="6" t="s">
        <v>426</v>
      </c>
      <c r="K111" s="6" t="s">
        <v>426</v>
      </c>
      <c r="L111" s="6" t="s">
        <v>426</v>
      </c>
      <c r="M111" s="6" t="s">
        <v>453</v>
      </c>
      <c r="N111" s="6" t="s">
        <v>426</v>
      </c>
      <c r="O111" s="6" t="s">
        <v>426</v>
      </c>
      <c r="P111" s="6" t="s">
        <v>426</v>
      </c>
      <c r="Q111" s="6" t="s">
        <v>426</v>
      </c>
      <c r="R111" s="6" t="s">
        <v>426</v>
      </c>
      <c r="S111" s="6" t="s">
        <v>426</v>
      </c>
      <c r="T111" s="6" t="s">
        <v>426</v>
      </c>
      <c r="U111" s="6" t="s">
        <v>426</v>
      </c>
      <c r="V111" s="6" t="s">
        <v>426</v>
      </c>
      <c r="W111" s="6" t="s">
        <v>426</v>
      </c>
      <c r="X111" s="6" t="s">
        <v>426</v>
      </c>
      <c r="Y111" s="6" t="s">
        <v>426</v>
      </c>
      <c r="Z111" s="6" t="s">
        <v>426</v>
      </c>
      <c r="AA111" s="6" t="s">
        <v>426</v>
      </c>
      <c r="AB111" s="6" t="s">
        <v>426</v>
      </c>
      <c r="AC111" s="15" t="s">
        <v>426</v>
      </c>
      <c r="AD111" s="6" t="s">
        <v>427</v>
      </c>
      <c r="AE111" s="6">
        <v>0</v>
      </c>
      <c r="AF111" s="6">
        <v>0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/>
      <c r="AN111" s="15"/>
      <c r="AO111" s="6" t="s">
        <v>426</v>
      </c>
      <c r="AP111" s="6" t="s">
        <v>656</v>
      </c>
      <c r="AQ111" s="6" t="s">
        <v>426</v>
      </c>
      <c r="AR111" s="6" t="s">
        <v>985</v>
      </c>
      <c r="AS111" s="6" t="s">
        <v>426</v>
      </c>
      <c r="AT111" s="6">
        <v>0.2</v>
      </c>
      <c r="AU111" s="6" t="s">
        <v>426</v>
      </c>
      <c r="AV111" s="6">
        <v>0.2</v>
      </c>
      <c r="AW111" s="6" t="s">
        <v>426</v>
      </c>
      <c r="AX111" s="6">
        <v>0.2</v>
      </c>
      <c r="AY111" s="6" t="s">
        <v>426</v>
      </c>
      <c r="AZ111" s="6">
        <v>1</v>
      </c>
      <c r="BA111" s="6" t="s">
        <v>426</v>
      </c>
      <c r="BB111" s="6">
        <v>0.8</v>
      </c>
      <c r="BC111" s="6" t="s">
        <v>426</v>
      </c>
      <c r="BD111" s="6">
        <v>0.4</v>
      </c>
      <c r="BE111" s="6" t="s">
        <v>426</v>
      </c>
      <c r="BF111" s="6">
        <v>1</v>
      </c>
      <c r="BG111" s="6" t="s">
        <v>453</v>
      </c>
      <c r="BH111" s="6"/>
      <c r="BI111" s="6" t="s">
        <v>426</v>
      </c>
      <c r="BJ111" s="6">
        <v>0.4</v>
      </c>
      <c r="BK111" s="6" t="s">
        <v>426</v>
      </c>
      <c r="BL111" s="6">
        <v>0.2</v>
      </c>
      <c r="BM111" s="6" t="s">
        <v>426</v>
      </c>
      <c r="BN111" s="6">
        <v>6</v>
      </c>
      <c r="BO111" s="6" t="s">
        <v>426</v>
      </c>
      <c r="BP111" s="6">
        <v>0.4</v>
      </c>
      <c r="BQ111" s="6" t="s">
        <v>426</v>
      </c>
      <c r="BR111" s="6">
        <v>10</v>
      </c>
      <c r="BS111" s="6" t="s">
        <v>453</v>
      </c>
      <c r="BT111" s="6"/>
      <c r="BU111" s="6" t="s">
        <v>426</v>
      </c>
      <c r="BV111" s="15">
        <v>0.2</v>
      </c>
      <c r="BW111" s="15" t="s">
        <v>428</v>
      </c>
      <c r="BX111" s="15" t="s">
        <v>2202</v>
      </c>
      <c r="BY111" s="6" t="s">
        <v>430</v>
      </c>
      <c r="BZ111" s="6" t="s">
        <v>430</v>
      </c>
      <c r="CA111" s="6" t="s">
        <v>430</v>
      </c>
      <c r="CB111" s="6" t="s">
        <v>431</v>
      </c>
      <c r="CC111" s="6" t="s">
        <v>430</v>
      </c>
      <c r="CD111" s="6" t="s">
        <v>430</v>
      </c>
      <c r="CE111" s="6" t="s">
        <v>486</v>
      </c>
      <c r="CF111" s="6" t="s">
        <v>430</v>
      </c>
      <c r="CG111" s="6" t="s">
        <v>487</v>
      </c>
      <c r="CH111" s="6" t="s">
        <v>487</v>
      </c>
      <c r="CI111" s="6" t="s">
        <v>430</v>
      </c>
      <c r="CJ111" s="6" t="s">
        <v>430</v>
      </c>
      <c r="CK111" s="6" t="s">
        <v>430</v>
      </c>
      <c r="CL111" s="6" t="s">
        <v>430</v>
      </c>
      <c r="CM111" s="6" t="s">
        <v>430</v>
      </c>
      <c r="CN111" s="6" t="s">
        <v>430</v>
      </c>
      <c r="CO111" s="15" t="s">
        <v>487</v>
      </c>
      <c r="CP111" s="15" t="s">
        <v>432</v>
      </c>
      <c r="CQ111" s="6" t="s">
        <v>433</v>
      </c>
      <c r="CR111" s="15"/>
      <c r="CS111" s="6" t="s">
        <v>453</v>
      </c>
      <c r="CT111" s="6"/>
      <c r="CU111" s="6"/>
      <c r="CV111" s="6"/>
      <c r="CW111" s="6"/>
      <c r="CX111" s="15" t="s">
        <v>426</v>
      </c>
      <c r="CY111" s="6" t="s">
        <v>453</v>
      </c>
      <c r="CZ111" s="6"/>
      <c r="DA111" s="6"/>
      <c r="DB111" s="6"/>
      <c r="DC111" s="6"/>
      <c r="DD111" s="15"/>
      <c r="DE111" s="15" t="s">
        <v>521</v>
      </c>
      <c r="DF111" s="6" t="s">
        <v>489</v>
      </c>
      <c r="DG111" s="6">
        <v>1</v>
      </c>
      <c r="DH111" s="6">
        <v>1</v>
      </c>
      <c r="DI111" s="6">
        <v>1</v>
      </c>
      <c r="DJ111" s="6">
        <v>0</v>
      </c>
      <c r="DK111" s="6">
        <v>0</v>
      </c>
      <c r="DL111" s="6">
        <v>0</v>
      </c>
      <c r="DM111" s="6"/>
      <c r="DN111" s="6"/>
      <c r="DO111" s="6"/>
      <c r="DP111" s="6"/>
      <c r="DQ111" s="6"/>
      <c r="DR111" s="6"/>
      <c r="DS111" s="6"/>
      <c r="DT111" s="66"/>
      <c r="DU111" s="6" t="s">
        <v>523</v>
      </c>
      <c r="DV111" s="6" t="s">
        <v>426</v>
      </c>
      <c r="DW111" s="6" t="s">
        <v>1195</v>
      </c>
      <c r="DX111" s="6" t="s">
        <v>612</v>
      </c>
      <c r="DY111" s="6" t="s">
        <v>2203</v>
      </c>
      <c r="DZ111" s="6" t="s">
        <v>714</v>
      </c>
      <c r="EA111" s="6">
        <v>1</v>
      </c>
      <c r="EB111" s="6">
        <v>1</v>
      </c>
      <c r="EC111" s="6">
        <v>1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/>
      <c r="EJ111" s="6" t="s">
        <v>2204</v>
      </c>
      <c r="EK111" s="6">
        <v>1</v>
      </c>
      <c r="EL111" s="6">
        <v>0</v>
      </c>
      <c r="EM111" s="6">
        <v>0</v>
      </c>
      <c r="EN111" s="6">
        <v>0</v>
      </c>
      <c r="EO111" s="6">
        <v>1</v>
      </c>
      <c r="EP111" s="6">
        <v>0</v>
      </c>
      <c r="EQ111" s="6">
        <v>0</v>
      </c>
      <c r="ER111" s="6">
        <v>0</v>
      </c>
      <c r="ES111" s="6">
        <v>0</v>
      </c>
      <c r="ET111" s="6"/>
      <c r="EU111" s="6" t="s">
        <v>2205</v>
      </c>
      <c r="EV111" s="6" t="s">
        <v>444</v>
      </c>
      <c r="EW111" s="6"/>
      <c r="EX111" s="6" t="s">
        <v>2206</v>
      </c>
      <c r="EY111" s="6">
        <v>1</v>
      </c>
      <c r="EZ111" s="6">
        <v>0</v>
      </c>
      <c r="FA111" s="6">
        <v>0</v>
      </c>
      <c r="FB111" s="6">
        <v>1</v>
      </c>
      <c r="FC111" s="6">
        <v>0</v>
      </c>
      <c r="FD111" s="6">
        <v>0</v>
      </c>
      <c r="FE111" s="6">
        <v>0</v>
      </c>
      <c r="FF111" s="6">
        <v>0</v>
      </c>
      <c r="FG111" s="6"/>
      <c r="FH111" s="6" t="s">
        <v>2207</v>
      </c>
      <c r="FI111" s="6">
        <v>1</v>
      </c>
      <c r="FJ111" s="6">
        <v>0</v>
      </c>
      <c r="FK111" s="6">
        <v>0</v>
      </c>
      <c r="FL111" s="6">
        <v>1</v>
      </c>
      <c r="FM111" s="6">
        <v>0</v>
      </c>
      <c r="FN111" s="6">
        <v>0</v>
      </c>
      <c r="FO111" s="6">
        <v>0</v>
      </c>
      <c r="FP111" s="6">
        <v>0</v>
      </c>
      <c r="FQ111" s="6">
        <v>1</v>
      </c>
      <c r="FR111" s="6">
        <v>0</v>
      </c>
      <c r="FS111" s="6"/>
      <c r="FT111" s="6" t="s">
        <v>556</v>
      </c>
      <c r="FU111" s="6" t="s">
        <v>448</v>
      </c>
      <c r="FV111" s="6"/>
      <c r="FW111" s="6" t="s">
        <v>449</v>
      </c>
      <c r="FX111" s="15" t="s">
        <v>450</v>
      </c>
      <c r="FY111" s="6" t="s">
        <v>529</v>
      </c>
      <c r="FZ111" s="6"/>
      <c r="GA111" s="6" t="s">
        <v>450</v>
      </c>
      <c r="GB111" s="6" t="s">
        <v>501</v>
      </c>
      <c r="GC111" s="6" t="s">
        <v>453</v>
      </c>
      <c r="GD111" s="6"/>
      <c r="GE111" s="6" t="s">
        <v>454</v>
      </c>
      <c r="GF111" s="6" t="s">
        <v>2208</v>
      </c>
      <c r="GG111" s="6" t="s">
        <v>456</v>
      </c>
      <c r="GH111" s="15" t="s">
        <v>2209</v>
      </c>
      <c r="GI111" s="6" t="s">
        <v>458</v>
      </c>
      <c r="GJ111" s="6" t="s">
        <v>2210</v>
      </c>
      <c r="GK111" s="6" t="s">
        <v>460</v>
      </c>
      <c r="GL111" s="6" t="s">
        <v>461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1</v>
      </c>
      <c r="GS111" s="6">
        <v>0</v>
      </c>
      <c r="GT111" s="6"/>
      <c r="GU111" s="6" t="s">
        <v>534</v>
      </c>
      <c r="GV111" s="6" t="s">
        <v>595</v>
      </c>
      <c r="GW111" s="6" t="s">
        <v>2211</v>
      </c>
      <c r="GX111" s="6">
        <v>0</v>
      </c>
      <c r="GY111" s="6">
        <v>0</v>
      </c>
      <c r="GZ111" s="6">
        <v>1</v>
      </c>
      <c r="HA111" s="6">
        <v>0</v>
      </c>
      <c r="HB111" s="6">
        <v>1</v>
      </c>
      <c r="HC111" s="6">
        <v>0</v>
      </c>
      <c r="HD111" s="6"/>
      <c r="HE111" s="6" t="s">
        <v>2212</v>
      </c>
      <c r="HF111" s="6">
        <v>1</v>
      </c>
      <c r="HG111" s="6">
        <v>1</v>
      </c>
      <c r="HH111" s="6">
        <v>0</v>
      </c>
      <c r="HI111" s="6">
        <v>1</v>
      </c>
      <c r="HJ111" s="6">
        <v>0</v>
      </c>
      <c r="HK111" s="6">
        <v>0</v>
      </c>
      <c r="HL111" s="15"/>
      <c r="HM111" s="6" t="s">
        <v>466</v>
      </c>
      <c r="HN111" s="6"/>
      <c r="HO111" s="6" t="s">
        <v>2213</v>
      </c>
      <c r="HP111" s="6" t="s">
        <v>1668</v>
      </c>
      <c r="HQ111" s="6"/>
      <c r="HR111" s="6" t="s">
        <v>2214</v>
      </c>
      <c r="HS111" s="6" t="s">
        <v>2215</v>
      </c>
      <c r="HT111" s="6">
        <v>0</v>
      </c>
      <c r="HU111" s="6">
        <v>0</v>
      </c>
      <c r="HV111" s="6">
        <v>0</v>
      </c>
      <c r="HW111" s="6">
        <v>1</v>
      </c>
      <c r="HX111" s="6">
        <v>1</v>
      </c>
      <c r="HY111" s="6">
        <v>1</v>
      </c>
      <c r="HZ111" s="6"/>
      <c r="IA111" s="6" t="s">
        <v>2216</v>
      </c>
      <c r="IB111" s="6">
        <v>1</v>
      </c>
      <c r="IC111" s="6">
        <v>0</v>
      </c>
      <c r="ID111" s="6">
        <v>1</v>
      </c>
      <c r="IE111" s="6">
        <v>1</v>
      </c>
      <c r="IF111" s="6">
        <v>1</v>
      </c>
      <c r="IG111" s="6">
        <v>0</v>
      </c>
      <c r="IH111" s="15" t="s">
        <v>2217</v>
      </c>
      <c r="II111" s="6" t="s">
        <v>426</v>
      </c>
      <c r="IJ111" s="6" t="s">
        <v>472</v>
      </c>
      <c r="IK111" s="6">
        <v>1</v>
      </c>
      <c r="IL111" s="6">
        <v>0</v>
      </c>
      <c r="IM111" s="6">
        <v>0</v>
      </c>
      <c r="IN111" s="6"/>
      <c r="IO111" s="6" t="s">
        <v>473</v>
      </c>
      <c r="IP111" s="6">
        <v>1</v>
      </c>
      <c r="IQ111" s="6">
        <v>0</v>
      </c>
      <c r="IR111" s="6">
        <v>0</v>
      </c>
      <c r="IS111" s="6">
        <v>0</v>
      </c>
      <c r="IT111" s="6">
        <v>0</v>
      </c>
      <c r="IU111" s="6">
        <v>0</v>
      </c>
      <c r="IV111" s="6"/>
      <c r="IW111" s="6" t="s">
        <v>426</v>
      </c>
      <c r="IX111" s="6">
        <v>1</v>
      </c>
      <c r="IY111" s="6" t="s">
        <v>474</v>
      </c>
      <c r="IZ111" s="6" t="s">
        <v>475</v>
      </c>
      <c r="JA111" s="6" t="s">
        <v>426</v>
      </c>
      <c r="JB111" s="6" t="s">
        <v>476</v>
      </c>
      <c r="JC111" s="6"/>
      <c r="JD111" s="6"/>
      <c r="JE111" s="6"/>
      <c r="JF111" s="6"/>
      <c r="JG111" s="6"/>
      <c r="JH111" s="6"/>
      <c r="JI111" s="6"/>
      <c r="JJ111" s="6"/>
      <c r="JK111" s="6" t="s">
        <v>453</v>
      </c>
      <c r="JL111" s="6"/>
      <c r="JM111" s="6"/>
      <c r="JN111" s="6"/>
      <c r="JO111" s="6"/>
      <c r="JP111" s="6"/>
      <c r="JQ111" s="6"/>
      <c r="JR111" s="6"/>
      <c r="JS111" s="6"/>
      <c r="JT111" s="6"/>
      <c r="JU111" s="6" t="s">
        <v>477</v>
      </c>
      <c r="JV111" s="15"/>
      <c r="JW111" s="94" t="s">
        <v>2218</v>
      </c>
      <c r="JX111" s="6" t="s">
        <v>2219</v>
      </c>
      <c r="JY111" s="6">
        <v>0.6177607</v>
      </c>
      <c r="JZ111" s="6">
        <v>34.4606735</v>
      </c>
      <c r="KA111" s="6">
        <v>1325.572265625</v>
      </c>
      <c r="KB111" s="15">
        <v>4.465</v>
      </c>
      <c r="KC111" s="15"/>
    </row>
    <row r="112" spans="1:289">
      <c r="A112" s="6" t="s">
        <v>2115</v>
      </c>
      <c r="B112" s="6" t="s">
        <v>420</v>
      </c>
      <c r="C112" s="6" t="s">
        <v>1608</v>
      </c>
      <c r="D112" s="6" t="s">
        <v>2220</v>
      </c>
      <c r="E112" s="6" t="s">
        <v>2221</v>
      </c>
      <c r="F112" s="8" t="s">
        <v>483</v>
      </c>
      <c r="G112" s="6" t="s">
        <v>567</v>
      </c>
      <c r="H112" s="6" t="s">
        <v>425</v>
      </c>
      <c r="I112" s="15"/>
      <c r="J112" s="6" t="s">
        <v>426</v>
      </c>
      <c r="K112" s="6" t="s">
        <v>426</v>
      </c>
      <c r="L112" s="6" t="s">
        <v>426</v>
      </c>
      <c r="M112" s="6" t="s">
        <v>426</v>
      </c>
      <c r="N112" s="6" t="s">
        <v>426</v>
      </c>
      <c r="O112" s="6" t="s">
        <v>426</v>
      </c>
      <c r="P112" s="6" t="s">
        <v>426</v>
      </c>
      <c r="Q112" s="6" t="s">
        <v>426</v>
      </c>
      <c r="R112" s="6" t="s">
        <v>426</v>
      </c>
      <c r="S112" s="6" t="s">
        <v>426</v>
      </c>
      <c r="T112" s="6" t="s">
        <v>426</v>
      </c>
      <c r="U112" s="6" t="s">
        <v>426</v>
      </c>
      <c r="V112" s="6" t="s">
        <v>426</v>
      </c>
      <c r="W112" s="6" t="s">
        <v>426</v>
      </c>
      <c r="X112" s="6" t="s">
        <v>426</v>
      </c>
      <c r="Y112" s="6" t="s">
        <v>426</v>
      </c>
      <c r="Z112" s="6" t="s">
        <v>426</v>
      </c>
      <c r="AA112" s="6" t="s">
        <v>426</v>
      </c>
      <c r="AB112" s="6" t="s">
        <v>426</v>
      </c>
      <c r="AC112" s="15" t="s">
        <v>426</v>
      </c>
      <c r="AD112" s="6" t="s">
        <v>427</v>
      </c>
      <c r="AE112" s="6">
        <v>0</v>
      </c>
      <c r="AF112" s="6">
        <v>0</v>
      </c>
      <c r="AG112" s="6">
        <v>0</v>
      </c>
      <c r="AH112" s="6">
        <v>1</v>
      </c>
      <c r="AI112" s="6">
        <v>0</v>
      </c>
      <c r="AJ112" s="6">
        <v>0</v>
      </c>
      <c r="AK112" s="6">
        <v>0</v>
      </c>
      <c r="AL112" s="6">
        <v>0</v>
      </c>
      <c r="AM112" s="6"/>
      <c r="AN112" s="15"/>
      <c r="AO112" s="6" t="s">
        <v>426</v>
      </c>
      <c r="AP112" s="6" t="s">
        <v>656</v>
      </c>
      <c r="AQ112" s="6" t="s">
        <v>426</v>
      </c>
      <c r="AR112" s="6" t="s">
        <v>656</v>
      </c>
      <c r="AS112" s="6" t="s">
        <v>426</v>
      </c>
      <c r="AT112" s="6">
        <v>3</v>
      </c>
      <c r="AU112" s="6" t="s">
        <v>426</v>
      </c>
      <c r="AV112" s="6">
        <v>3</v>
      </c>
      <c r="AW112" s="6" t="s">
        <v>426</v>
      </c>
      <c r="AX112" s="6">
        <v>1</v>
      </c>
      <c r="AY112" s="6" t="s">
        <v>426</v>
      </c>
      <c r="AZ112" s="6">
        <v>1</v>
      </c>
      <c r="BA112" s="6" t="s">
        <v>426</v>
      </c>
      <c r="BB112" s="6">
        <v>1</v>
      </c>
      <c r="BC112" s="6" t="s">
        <v>426</v>
      </c>
      <c r="BD112" s="6">
        <v>2</v>
      </c>
      <c r="BE112" s="6" t="s">
        <v>426</v>
      </c>
      <c r="BF112" s="6">
        <v>1</v>
      </c>
      <c r="BG112" s="6" t="s">
        <v>426</v>
      </c>
      <c r="BH112" s="6">
        <v>1</v>
      </c>
      <c r="BI112" s="6" t="s">
        <v>426</v>
      </c>
      <c r="BJ112" s="6">
        <v>1.5</v>
      </c>
      <c r="BK112" s="6" t="s">
        <v>426</v>
      </c>
      <c r="BL112" s="6">
        <v>1.5</v>
      </c>
      <c r="BM112" s="6" t="s">
        <v>426</v>
      </c>
      <c r="BN112" s="6">
        <v>10</v>
      </c>
      <c r="BO112" s="6" t="s">
        <v>426</v>
      </c>
      <c r="BP112" s="6">
        <v>2</v>
      </c>
      <c r="BQ112" s="6" t="s">
        <v>426</v>
      </c>
      <c r="BR112" s="6">
        <v>2000</v>
      </c>
      <c r="BS112" s="6" t="s">
        <v>426</v>
      </c>
      <c r="BT112" s="6">
        <v>2</v>
      </c>
      <c r="BU112" s="6" t="s">
        <v>453</v>
      </c>
      <c r="BV112" s="15"/>
      <c r="BW112" s="15" t="s">
        <v>2117</v>
      </c>
      <c r="BX112" s="15" t="s">
        <v>429</v>
      </c>
      <c r="BY112" s="6" t="s">
        <v>430</v>
      </c>
      <c r="BZ112" s="6" t="s">
        <v>430</v>
      </c>
      <c r="CA112" s="6" t="s">
        <v>430</v>
      </c>
      <c r="CB112" s="6" t="s">
        <v>430</v>
      </c>
      <c r="CC112" s="6" t="s">
        <v>430</v>
      </c>
      <c r="CD112" s="6" t="s">
        <v>430</v>
      </c>
      <c r="CE112" s="6" t="s">
        <v>430</v>
      </c>
      <c r="CF112" s="6" t="s">
        <v>430</v>
      </c>
      <c r="CG112" s="6" t="s">
        <v>430</v>
      </c>
      <c r="CH112" s="6" t="s">
        <v>430</v>
      </c>
      <c r="CI112" s="6" t="s">
        <v>430</v>
      </c>
      <c r="CJ112" s="6" t="s">
        <v>430</v>
      </c>
      <c r="CK112" s="6" t="s">
        <v>430</v>
      </c>
      <c r="CL112" s="6" t="s">
        <v>430</v>
      </c>
      <c r="CM112" s="6" t="s">
        <v>430</v>
      </c>
      <c r="CN112" s="6" t="s">
        <v>430</v>
      </c>
      <c r="CO112" s="15" t="s">
        <v>430</v>
      </c>
      <c r="CP112" s="15" t="s">
        <v>432</v>
      </c>
      <c r="CQ112" s="6" t="s">
        <v>433</v>
      </c>
      <c r="CR112" s="15"/>
      <c r="CS112" s="6" t="s">
        <v>426</v>
      </c>
      <c r="CT112" s="6" t="s">
        <v>1089</v>
      </c>
      <c r="CU112" s="6" t="s">
        <v>1395</v>
      </c>
      <c r="CV112" s="6" t="s">
        <v>987</v>
      </c>
      <c r="CW112" s="6" t="s">
        <v>2222</v>
      </c>
      <c r="CX112" s="15" t="s">
        <v>426</v>
      </c>
      <c r="CY112" s="6" t="s">
        <v>426</v>
      </c>
      <c r="CZ112" s="6" t="s">
        <v>2223</v>
      </c>
      <c r="DA112" s="6" t="s">
        <v>688</v>
      </c>
      <c r="DB112" s="6" t="s">
        <v>809</v>
      </c>
      <c r="DC112" s="6" t="s">
        <v>987</v>
      </c>
      <c r="DD112" s="15" t="s">
        <v>692</v>
      </c>
      <c r="DE112" s="15" t="s">
        <v>436</v>
      </c>
      <c r="DF112" s="6" t="s">
        <v>522</v>
      </c>
      <c r="DG112" s="6">
        <v>0</v>
      </c>
      <c r="DH112" s="6">
        <v>1</v>
      </c>
      <c r="DI112" s="6">
        <v>0</v>
      </c>
      <c r="DJ112" s="6">
        <v>0</v>
      </c>
      <c r="DK112" s="6">
        <v>0</v>
      </c>
      <c r="DL112" s="6">
        <v>0</v>
      </c>
      <c r="DM112" s="6"/>
      <c r="DN112" s="6"/>
      <c r="DO112" s="6"/>
      <c r="DP112" s="6"/>
      <c r="DQ112" s="6"/>
      <c r="DR112" s="6"/>
      <c r="DS112" s="6"/>
      <c r="DT112" s="66"/>
      <c r="DU112" s="6" t="s">
        <v>438</v>
      </c>
      <c r="DV112" s="6" t="s">
        <v>426</v>
      </c>
      <c r="DW112" s="6" t="s">
        <v>439</v>
      </c>
      <c r="DX112" s="6" t="s">
        <v>440</v>
      </c>
      <c r="DY112" s="6"/>
      <c r="DZ112" s="6" t="s">
        <v>441</v>
      </c>
      <c r="EA112" s="6">
        <v>1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/>
      <c r="EJ112" s="6" t="s">
        <v>811</v>
      </c>
      <c r="EK112" s="6">
        <v>1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/>
      <c r="EU112" s="6" t="s">
        <v>443</v>
      </c>
      <c r="EV112" s="6" t="s">
        <v>444</v>
      </c>
      <c r="EW112" s="6"/>
      <c r="EX112" s="6" t="s">
        <v>1123</v>
      </c>
      <c r="EY112" s="6">
        <v>1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/>
      <c r="FH112" s="6" t="s">
        <v>555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1</v>
      </c>
      <c r="FR112" s="6">
        <v>0</v>
      </c>
      <c r="FS112" s="6"/>
      <c r="FT112" s="6" t="s">
        <v>447</v>
      </c>
      <c r="FU112" s="6" t="s">
        <v>499</v>
      </c>
      <c r="FV112" s="6"/>
      <c r="FW112" s="6" t="s">
        <v>449</v>
      </c>
      <c r="FX112" s="15" t="s">
        <v>450</v>
      </c>
      <c r="FY112" s="6" t="s">
        <v>529</v>
      </c>
      <c r="FZ112" s="6"/>
      <c r="GA112" s="6" t="s">
        <v>450</v>
      </c>
      <c r="GB112" s="6" t="s">
        <v>501</v>
      </c>
      <c r="GC112" s="6" t="s">
        <v>453</v>
      </c>
      <c r="GD112" s="6"/>
      <c r="GE112" s="6" t="s">
        <v>454</v>
      </c>
      <c r="GF112" s="6" t="s">
        <v>2224</v>
      </c>
      <c r="GG112" s="6" t="s">
        <v>456</v>
      </c>
      <c r="GH112" s="15" t="s">
        <v>2224</v>
      </c>
      <c r="GI112" s="6" t="s">
        <v>458</v>
      </c>
      <c r="GJ112" s="6" t="s">
        <v>2225</v>
      </c>
      <c r="GK112" s="6" t="s">
        <v>460</v>
      </c>
      <c r="GL112" s="6" t="s">
        <v>461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1</v>
      </c>
      <c r="GS112" s="6">
        <v>0</v>
      </c>
      <c r="GT112" s="6"/>
      <c r="GU112" s="6" t="s">
        <v>534</v>
      </c>
      <c r="GV112" s="6" t="s">
        <v>595</v>
      </c>
      <c r="GW112" s="6" t="s">
        <v>464</v>
      </c>
      <c r="GX112" s="6">
        <v>1</v>
      </c>
      <c r="GY112" s="6">
        <v>0</v>
      </c>
      <c r="GZ112" s="6">
        <v>0</v>
      </c>
      <c r="HA112" s="6">
        <v>0</v>
      </c>
      <c r="HB112" s="6">
        <v>0</v>
      </c>
      <c r="HC112" s="6">
        <v>0</v>
      </c>
      <c r="HD112" s="6"/>
      <c r="HE112" s="6" t="s">
        <v>465</v>
      </c>
      <c r="HF112" s="6">
        <v>0</v>
      </c>
      <c r="HG112" s="6">
        <v>1</v>
      </c>
      <c r="HH112" s="6">
        <v>0</v>
      </c>
      <c r="HI112" s="6">
        <v>0</v>
      </c>
      <c r="HJ112" s="6">
        <v>0</v>
      </c>
      <c r="HK112" s="6">
        <v>0</v>
      </c>
      <c r="HL112" s="15"/>
      <c r="HM112" s="6" t="s">
        <v>505</v>
      </c>
      <c r="HN112" s="6"/>
      <c r="HO112" s="6" t="s">
        <v>2226</v>
      </c>
      <c r="HP112" s="6" t="s">
        <v>468</v>
      </c>
      <c r="HQ112" s="6"/>
      <c r="HR112" s="6" t="s">
        <v>2227</v>
      </c>
      <c r="HS112" s="6" t="s">
        <v>540</v>
      </c>
      <c r="HT112" s="6">
        <v>1</v>
      </c>
      <c r="HU112" s="6">
        <v>0</v>
      </c>
      <c r="HV112" s="6">
        <v>0</v>
      </c>
      <c r="HW112" s="6">
        <v>0</v>
      </c>
      <c r="HX112" s="6">
        <v>0</v>
      </c>
      <c r="HY112" s="6">
        <v>0</v>
      </c>
      <c r="HZ112" s="6"/>
      <c r="IA112" s="6" t="s">
        <v>111</v>
      </c>
      <c r="IB112" s="6">
        <v>1</v>
      </c>
      <c r="IC112" s="6">
        <v>0</v>
      </c>
      <c r="ID112" s="6">
        <v>0</v>
      </c>
      <c r="IE112" s="6">
        <v>0</v>
      </c>
      <c r="IF112" s="6">
        <v>0</v>
      </c>
      <c r="IG112" s="6">
        <v>0</v>
      </c>
      <c r="IH112" s="15" t="s">
        <v>2228</v>
      </c>
      <c r="II112" s="6" t="s">
        <v>426</v>
      </c>
      <c r="IJ112" s="6" t="s">
        <v>543</v>
      </c>
      <c r="IK112" s="6">
        <v>0</v>
      </c>
      <c r="IL112" s="6">
        <v>1</v>
      </c>
      <c r="IM112" s="6">
        <v>0</v>
      </c>
      <c r="IN112" s="6"/>
      <c r="IO112" s="6" t="s">
        <v>473</v>
      </c>
      <c r="IP112" s="6">
        <v>1</v>
      </c>
      <c r="IQ112" s="6">
        <v>0</v>
      </c>
      <c r="IR112" s="6">
        <v>0</v>
      </c>
      <c r="IS112" s="6">
        <v>0</v>
      </c>
      <c r="IT112" s="6">
        <v>0</v>
      </c>
      <c r="IU112" s="6">
        <v>0</v>
      </c>
      <c r="IV112" s="6"/>
      <c r="IW112" s="6" t="s">
        <v>426</v>
      </c>
      <c r="IX112" s="6">
        <v>1</v>
      </c>
      <c r="IY112" s="6" t="s">
        <v>474</v>
      </c>
      <c r="IZ112" s="6" t="s">
        <v>475</v>
      </c>
      <c r="JA112" s="6" t="s">
        <v>426</v>
      </c>
      <c r="JB112" s="6" t="s">
        <v>2229</v>
      </c>
      <c r="JC112" s="6" t="s">
        <v>2230</v>
      </c>
      <c r="JD112" s="6">
        <v>0</v>
      </c>
      <c r="JE112" s="6">
        <v>0</v>
      </c>
      <c r="JF112" s="6">
        <v>1</v>
      </c>
      <c r="JG112" s="6">
        <v>0</v>
      </c>
      <c r="JH112" s="6">
        <v>0</v>
      </c>
      <c r="JI112" s="6"/>
      <c r="JJ112" s="6"/>
      <c r="JK112" s="6" t="s">
        <v>453</v>
      </c>
      <c r="JL112" s="6"/>
      <c r="JM112" s="6"/>
      <c r="JN112" s="6"/>
      <c r="JO112" s="6"/>
      <c r="JP112" s="6"/>
      <c r="JQ112" s="6"/>
      <c r="JR112" s="6"/>
      <c r="JS112" s="6"/>
      <c r="JT112" s="6"/>
      <c r="JU112" s="6" t="s">
        <v>544</v>
      </c>
      <c r="JV112" s="15"/>
      <c r="JW112" s="94" t="s">
        <v>2231</v>
      </c>
      <c r="JX112" s="6" t="s">
        <v>2232</v>
      </c>
      <c r="JY112" s="6">
        <v>0.6098434</v>
      </c>
      <c r="JZ112" s="6">
        <v>34.4804052</v>
      </c>
      <c r="KA112" s="6">
        <v>1343.725</v>
      </c>
      <c r="KB112" s="15">
        <v>1.002</v>
      </c>
      <c r="KC112" s="15"/>
    </row>
    <row r="113" spans="1:289">
      <c r="A113" s="6" t="s">
        <v>514</v>
      </c>
      <c r="B113" s="6" t="s">
        <v>420</v>
      </c>
      <c r="C113" s="6" t="s">
        <v>1608</v>
      </c>
      <c r="D113" s="6" t="s">
        <v>2233</v>
      </c>
      <c r="E113" s="6" t="s">
        <v>2234</v>
      </c>
      <c r="F113" s="8" t="s">
        <v>483</v>
      </c>
      <c r="G113" s="6" t="s">
        <v>731</v>
      </c>
      <c r="H113" s="6" t="s">
        <v>425</v>
      </c>
      <c r="I113" s="15"/>
      <c r="J113" s="6" t="s">
        <v>426</v>
      </c>
      <c r="K113" s="6" t="s">
        <v>426</v>
      </c>
      <c r="L113" s="6" t="s">
        <v>426</v>
      </c>
      <c r="M113" s="6" t="s">
        <v>426</v>
      </c>
      <c r="N113" s="6" t="s">
        <v>426</v>
      </c>
      <c r="O113" s="6" t="s">
        <v>426</v>
      </c>
      <c r="P113" s="6" t="s">
        <v>426</v>
      </c>
      <c r="Q113" s="6" t="s">
        <v>426</v>
      </c>
      <c r="R113" s="6" t="s">
        <v>426</v>
      </c>
      <c r="S113" s="6" t="s">
        <v>426</v>
      </c>
      <c r="T113" s="6" t="s">
        <v>426</v>
      </c>
      <c r="U113" s="6" t="s">
        <v>426</v>
      </c>
      <c r="V113" s="6" t="s">
        <v>453</v>
      </c>
      <c r="W113" s="6" t="s">
        <v>453</v>
      </c>
      <c r="X113" s="6" t="s">
        <v>426</v>
      </c>
      <c r="Y113" s="6" t="s">
        <v>426</v>
      </c>
      <c r="Z113" s="6" t="s">
        <v>426</v>
      </c>
      <c r="AA113" s="6" t="s">
        <v>426</v>
      </c>
      <c r="AB113" s="6" t="s">
        <v>426</v>
      </c>
      <c r="AC113" s="15" t="s">
        <v>426</v>
      </c>
      <c r="AD113" s="6" t="s">
        <v>427</v>
      </c>
      <c r="AE113" s="6">
        <v>0</v>
      </c>
      <c r="AF113" s="6">
        <v>0</v>
      </c>
      <c r="AG113" s="6">
        <v>0</v>
      </c>
      <c r="AH113" s="6">
        <v>1</v>
      </c>
      <c r="AI113" s="6">
        <v>0</v>
      </c>
      <c r="AJ113" s="6">
        <v>0</v>
      </c>
      <c r="AK113" s="6">
        <v>0</v>
      </c>
      <c r="AL113" s="6">
        <v>0</v>
      </c>
      <c r="AM113" s="6"/>
      <c r="AN113" s="15"/>
      <c r="AO113" s="6" t="s">
        <v>426</v>
      </c>
      <c r="AP113" s="6" t="s">
        <v>823</v>
      </c>
      <c r="AQ113" s="6" t="s">
        <v>453</v>
      </c>
      <c r="AR113" s="6"/>
      <c r="AS113" s="6" t="s">
        <v>426</v>
      </c>
      <c r="AT113" s="6">
        <v>0.5</v>
      </c>
      <c r="AU113" s="6" t="s">
        <v>453</v>
      </c>
      <c r="AV113" s="6"/>
      <c r="AW113" s="6" t="s">
        <v>426</v>
      </c>
      <c r="AX113" s="6">
        <v>0.5</v>
      </c>
      <c r="AY113" s="6" t="s">
        <v>426</v>
      </c>
      <c r="AZ113" s="6">
        <v>1</v>
      </c>
      <c r="BA113" s="6" t="s">
        <v>453</v>
      </c>
      <c r="BB113" s="6"/>
      <c r="BC113" s="6" t="s">
        <v>426</v>
      </c>
      <c r="BD113" s="6">
        <v>0.5</v>
      </c>
      <c r="BE113" s="6" t="s">
        <v>453</v>
      </c>
      <c r="BF113" s="6"/>
      <c r="BG113" s="6" t="s">
        <v>453</v>
      </c>
      <c r="BH113" s="6"/>
      <c r="BI113" s="6" t="s">
        <v>426</v>
      </c>
      <c r="BJ113" s="6">
        <v>0.5</v>
      </c>
      <c r="BK113" s="6" t="s">
        <v>426</v>
      </c>
      <c r="BL113" s="6">
        <v>0.5</v>
      </c>
      <c r="BM113" s="6" t="s">
        <v>426</v>
      </c>
      <c r="BN113" s="6">
        <v>5</v>
      </c>
      <c r="BO113" s="6" t="s">
        <v>426</v>
      </c>
      <c r="BP113" s="6">
        <v>7</v>
      </c>
      <c r="BQ113" s="6" t="s">
        <v>426</v>
      </c>
      <c r="BR113" s="6">
        <v>50</v>
      </c>
      <c r="BS113" s="6" t="s">
        <v>426</v>
      </c>
      <c r="BT113" s="6">
        <v>4</v>
      </c>
      <c r="BU113" s="6" t="s">
        <v>453</v>
      </c>
      <c r="BV113" s="15"/>
      <c r="BW113" s="15" t="s">
        <v>953</v>
      </c>
      <c r="BX113" s="15" t="s">
        <v>429</v>
      </c>
      <c r="BY113" s="6" t="s">
        <v>430</v>
      </c>
      <c r="BZ113" s="6" t="s">
        <v>487</v>
      </c>
      <c r="CA113" s="6" t="s">
        <v>431</v>
      </c>
      <c r="CB113" s="6" t="s">
        <v>487</v>
      </c>
      <c r="CC113" s="6" t="s">
        <v>431</v>
      </c>
      <c r="CD113" s="6" t="s">
        <v>430</v>
      </c>
      <c r="CE113" s="6" t="s">
        <v>487</v>
      </c>
      <c r="CF113" s="6" t="s">
        <v>430</v>
      </c>
      <c r="CG113" s="6" t="s">
        <v>487</v>
      </c>
      <c r="CH113" s="6" t="s">
        <v>431</v>
      </c>
      <c r="CI113" s="6" t="s">
        <v>431</v>
      </c>
      <c r="CJ113" s="6" t="s">
        <v>431</v>
      </c>
      <c r="CK113" s="6" t="s">
        <v>430</v>
      </c>
      <c r="CL113" s="6" t="s">
        <v>430</v>
      </c>
      <c r="CM113" s="6" t="s">
        <v>430</v>
      </c>
      <c r="CN113" s="6" t="s">
        <v>430</v>
      </c>
      <c r="CO113" s="15" t="s">
        <v>487</v>
      </c>
      <c r="CP113" s="15" t="s">
        <v>636</v>
      </c>
      <c r="CQ113" s="6" t="s">
        <v>433</v>
      </c>
      <c r="CR113" s="15"/>
      <c r="CS113" s="6" t="s">
        <v>426</v>
      </c>
      <c r="CT113" s="6" t="s">
        <v>2235</v>
      </c>
      <c r="CU113" s="6" t="s">
        <v>845</v>
      </c>
      <c r="CV113" s="6" t="s">
        <v>662</v>
      </c>
      <c r="CW113" s="6" t="s">
        <v>735</v>
      </c>
      <c r="CX113" s="15" t="s">
        <v>426</v>
      </c>
      <c r="CY113" s="6" t="s">
        <v>426</v>
      </c>
      <c r="CZ113" s="6" t="s">
        <v>2236</v>
      </c>
      <c r="DA113" s="6" t="s">
        <v>1582</v>
      </c>
      <c r="DB113" s="6" t="s">
        <v>1678</v>
      </c>
      <c r="DC113" s="6" t="s">
        <v>1380</v>
      </c>
      <c r="DD113" s="15" t="s">
        <v>1582</v>
      </c>
      <c r="DE113" s="15" t="s">
        <v>436</v>
      </c>
      <c r="DF113" s="6" t="s">
        <v>585</v>
      </c>
      <c r="DG113" s="6">
        <v>0</v>
      </c>
      <c r="DH113" s="6">
        <v>0</v>
      </c>
      <c r="DI113" s="6">
        <v>1</v>
      </c>
      <c r="DJ113" s="6">
        <v>0</v>
      </c>
      <c r="DK113" s="6">
        <v>0</v>
      </c>
      <c r="DL113" s="6">
        <v>0</v>
      </c>
      <c r="DM113" s="6"/>
      <c r="DN113" s="6"/>
      <c r="DO113" s="6"/>
      <c r="DP113" s="6"/>
      <c r="DQ113" s="6"/>
      <c r="DR113" s="6"/>
      <c r="DS113" s="6"/>
      <c r="DT113" s="66"/>
      <c r="DU113" s="6" t="s">
        <v>438</v>
      </c>
      <c r="DV113" s="6" t="s">
        <v>426</v>
      </c>
      <c r="DW113" s="6" t="s">
        <v>1212</v>
      </c>
      <c r="DX113" s="6" t="s">
        <v>440</v>
      </c>
      <c r="DY113" s="6"/>
      <c r="DZ113" s="6" t="s">
        <v>954</v>
      </c>
      <c r="EA113" s="6">
        <v>1</v>
      </c>
      <c r="EB113" s="6">
        <v>0</v>
      </c>
      <c r="EC113" s="6">
        <v>0</v>
      </c>
      <c r="ED113" s="6">
        <v>0</v>
      </c>
      <c r="EE113" s="6">
        <v>1</v>
      </c>
      <c r="EF113" s="6">
        <v>0</v>
      </c>
      <c r="EG113" s="6">
        <v>0</v>
      </c>
      <c r="EH113" s="6">
        <v>0</v>
      </c>
      <c r="EI113" s="6"/>
      <c r="EJ113" s="6" t="s">
        <v>2237</v>
      </c>
      <c r="EK113" s="6">
        <v>1</v>
      </c>
      <c r="EL113" s="6">
        <v>0</v>
      </c>
      <c r="EM113" s="6">
        <v>0</v>
      </c>
      <c r="EN113" s="6">
        <v>1</v>
      </c>
      <c r="EO113" s="6">
        <v>1</v>
      </c>
      <c r="EP113" s="6">
        <v>0</v>
      </c>
      <c r="EQ113" s="6">
        <v>0</v>
      </c>
      <c r="ER113" s="6">
        <v>0</v>
      </c>
      <c r="ES113" s="6">
        <v>0</v>
      </c>
      <c r="ET113" s="6"/>
      <c r="EU113" s="6" t="s">
        <v>443</v>
      </c>
      <c r="EV113" s="6" t="s">
        <v>495</v>
      </c>
      <c r="EW113" s="6"/>
      <c r="EX113" s="6" t="s">
        <v>669</v>
      </c>
      <c r="EY113" s="6">
        <v>0</v>
      </c>
      <c r="EZ113" s="6">
        <v>1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/>
      <c r="FH113" s="6" t="s">
        <v>618</v>
      </c>
      <c r="FI113" s="6">
        <v>0</v>
      </c>
      <c r="FJ113" s="6">
        <v>0</v>
      </c>
      <c r="FK113" s="6">
        <v>0</v>
      </c>
      <c r="FL113" s="6">
        <v>1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/>
      <c r="FT113" s="6" t="s">
        <v>447</v>
      </c>
      <c r="FU113" s="6" t="s">
        <v>448</v>
      </c>
      <c r="FV113" s="6"/>
      <c r="FW113" s="6" t="s">
        <v>449</v>
      </c>
      <c r="FX113" s="15" t="s">
        <v>450</v>
      </c>
      <c r="FY113" s="6" t="s">
        <v>451</v>
      </c>
      <c r="FZ113" s="6"/>
      <c r="GA113" s="6" t="s">
        <v>450</v>
      </c>
      <c r="GB113" s="6" t="s">
        <v>501</v>
      </c>
      <c r="GC113" s="6" t="s">
        <v>453</v>
      </c>
      <c r="GD113" s="6"/>
      <c r="GE113" s="6" t="s">
        <v>454</v>
      </c>
      <c r="GF113" s="6" t="s">
        <v>2238</v>
      </c>
      <c r="GG113" s="6" t="s">
        <v>456</v>
      </c>
      <c r="GH113" s="15" t="s">
        <v>2239</v>
      </c>
      <c r="GI113" s="6" t="s">
        <v>458</v>
      </c>
      <c r="GJ113" s="6" t="s">
        <v>2240</v>
      </c>
      <c r="GK113" s="6" t="s">
        <v>460</v>
      </c>
      <c r="GL113" s="6" t="s">
        <v>461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1</v>
      </c>
      <c r="GS113" s="6">
        <v>0</v>
      </c>
      <c r="GT113" s="6"/>
      <c r="GU113" s="6" t="s">
        <v>462</v>
      </c>
      <c r="GV113" s="6" t="s">
        <v>559</v>
      </c>
      <c r="GW113" s="6" t="s">
        <v>464</v>
      </c>
      <c r="GX113" s="6">
        <v>1</v>
      </c>
      <c r="GY113" s="6">
        <v>0</v>
      </c>
      <c r="GZ113" s="6">
        <v>0</v>
      </c>
      <c r="HA113" s="6">
        <v>0</v>
      </c>
      <c r="HB113" s="6">
        <v>0</v>
      </c>
      <c r="HC113" s="6">
        <v>0</v>
      </c>
      <c r="HD113" s="6"/>
      <c r="HE113" s="6" t="s">
        <v>535</v>
      </c>
      <c r="HF113" s="6">
        <v>1</v>
      </c>
      <c r="HG113" s="6">
        <v>0</v>
      </c>
      <c r="HH113" s="6">
        <v>0</v>
      </c>
      <c r="HI113" s="6">
        <v>0</v>
      </c>
      <c r="HJ113" s="6">
        <v>0</v>
      </c>
      <c r="HK113" s="6">
        <v>0</v>
      </c>
      <c r="HL113" s="15"/>
      <c r="HM113" s="6" t="s">
        <v>505</v>
      </c>
      <c r="HN113" s="6"/>
      <c r="HO113" s="6" t="s">
        <v>2241</v>
      </c>
      <c r="HP113" s="6" t="s">
        <v>537</v>
      </c>
      <c r="HQ113" s="6" t="s">
        <v>538</v>
      </c>
      <c r="HR113" s="6" t="s">
        <v>2242</v>
      </c>
      <c r="HS113" s="6" t="s">
        <v>540</v>
      </c>
      <c r="HT113" s="6">
        <v>1</v>
      </c>
      <c r="HU113" s="6">
        <v>0</v>
      </c>
      <c r="HV113" s="6">
        <v>0</v>
      </c>
      <c r="HW113" s="6">
        <v>0</v>
      </c>
      <c r="HX113" s="6">
        <v>0</v>
      </c>
      <c r="HY113" s="6">
        <v>0</v>
      </c>
      <c r="HZ113" s="6"/>
      <c r="IA113" s="6" t="s">
        <v>112</v>
      </c>
      <c r="IB113" s="6">
        <v>0</v>
      </c>
      <c r="IC113" s="6">
        <v>1</v>
      </c>
      <c r="ID113" s="6">
        <v>0</v>
      </c>
      <c r="IE113" s="6">
        <v>0</v>
      </c>
      <c r="IF113" s="6">
        <v>0</v>
      </c>
      <c r="IG113" s="6">
        <v>0</v>
      </c>
      <c r="IH113" s="15" t="s">
        <v>2243</v>
      </c>
      <c r="II113" s="6" t="s">
        <v>426</v>
      </c>
      <c r="IJ113" s="6" t="s">
        <v>472</v>
      </c>
      <c r="IK113" s="6">
        <v>1</v>
      </c>
      <c r="IL113" s="6">
        <v>0</v>
      </c>
      <c r="IM113" s="6">
        <v>0</v>
      </c>
      <c r="IN113" s="6"/>
      <c r="IO113" s="6" t="s">
        <v>473</v>
      </c>
      <c r="IP113" s="6">
        <v>1</v>
      </c>
      <c r="IQ113" s="6">
        <v>0</v>
      </c>
      <c r="IR113" s="6">
        <v>0</v>
      </c>
      <c r="IS113" s="6">
        <v>0</v>
      </c>
      <c r="IT113" s="6">
        <v>0</v>
      </c>
      <c r="IU113" s="6">
        <v>0</v>
      </c>
      <c r="IV113" s="6"/>
      <c r="IW113" s="6" t="s">
        <v>453</v>
      </c>
      <c r="IX113" s="6"/>
      <c r="IY113" s="6" t="s">
        <v>510</v>
      </c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 t="s">
        <v>453</v>
      </c>
      <c r="JK113" s="6" t="s">
        <v>453</v>
      </c>
      <c r="JL113" s="6"/>
      <c r="JM113" s="6"/>
      <c r="JN113" s="6"/>
      <c r="JO113" s="6"/>
      <c r="JP113" s="6"/>
      <c r="JQ113" s="6"/>
      <c r="JR113" s="6"/>
      <c r="JS113" s="6"/>
      <c r="JT113" s="6"/>
      <c r="JU113" s="6" t="s">
        <v>511</v>
      </c>
      <c r="JV113" s="15"/>
      <c r="JW113" s="94" t="s">
        <v>2244</v>
      </c>
      <c r="JX113" s="6" t="s">
        <v>2245</v>
      </c>
      <c r="JY113" s="6">
        <v>0.6088482</v>
      </c>
      <c r="JZ113" s="6">
        <v>34.4798932</v>
      </c>
      <c r="KA113" s="6">
        <v>1341.278</v>
      </c>
      <c r="KB113" s="15">
        <v>2.091</v>
      </c>
      <c r="KC113" s="15"/>
    </row>
    <row r="114" spans="1:289">
      <c r="A114" s="6" t="s">
        <v>864</v>
      </c>
      <c r="B114" s="6" t="s">
        <v>420</v>
      </c>
      <c r="C114" s="6" t="s">
        <v>1608</v>
      </c>
      <c r="D114" s="6" t="s">
        <v>2233</v>
      </c>
      <c r="E114" s="6" t="s">
        <v>2246</v>
      </c>
      <c r="F114" s="8" t="s">
        <v>483</v>
      </c>
      <c r="G114" s="6" t="s">
        <v>424</v>
      </c>
      <c r="H114" s="6" t="s">
        <v>517</v>
      </c>
      <c r="I114" s="15"/>
      <c r="J114" s="6" t="s">
        <v>426</v>
      </c>
      <c r="K114" s="6" t="s">
        <v>426</v>
      </c>
      <c r="L114" s="6" t="s">
        <v>426</v>
      </c>
      <c r="M114" s="6" t="s">
        <v>426</v>
      </c>
      <c r="N114" s="6" t="s">
        <v>426</v>
      </c>
      <c r="O114" s="6" t="s">
        <v>426</v>
      </c>
      <c r="P114" s="6" t="s">
        <v>426</v>
      </c>
      <c r="Q114" s="6" t="s">
        <v>453</v>
      </c>
      <c r="R114" s="6" t="s">
        <v>426</v>
      </c>
      <c r="S114" s="6" t="s">
        <v>426</v>
      </c>
      <c r="T114" s="6" t="s">
        <v>426</v>
      </c>
      <c r="U114" s="6" t="s">
        <v>426</v>
      </c>
      <c r="V114" s="6" t="s">
        <v>426</v>
      </c>
      <c r="W114" s="6" t="s">
        <v>426</v>
      </c>
      <c r="X114" s="6" t="s">
        <v>426</v>
      </c>
      <c r="Y114" s="6" t="s">
        <v>426</v>
      </c>
      <c r="Z114" s="6" t="s">
        <v>426</v>
      </c>
      <c r="AA114" s="6" t="s">
        <v>426</v>
      </c>
      <c r="AB114" s="6" t="s">
        <v>426</v>
      </c>
      <c r="AC114" s="15" t="s">
        <v>426</v>
      </c>
      <c r="AD114" s="6" t="s">
        <v>427</v>
      </c>
      <c r="AE114" s="6">
        <v>0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0</v>
      </c>
      <c r="AL114" s="6">
        <v>0</v>
      </c>
      <c r="AM114" s="6"/>
      <c r="AN114" s="15"/>
      <c r="AO114" s="6" t="s">
        <v>426</v>
      </c>
      <c r="AP114" s="6" t="s">
        <v>683</v>
      </c>
      <c r="AQ114" s="6" t="s">
        <v>426</v>
      </c>
      <c r="AR114" s="6" t="s">
        <v>683</v>
      </c>
      <c r="AS114" s="6" t="s">
        <v>426</v>
      </c>
      <c r="AT114" s="6">
        <v>0.2</v>
      </c>
      <c r="AU114" s="6" t="s">
        <v>453</v>
      </c>
      <c r="AV114" s="6"/>
      <c r="AW114" s="6" t="s">
        <v>426</v>
      </c>
      <c r="AX114" s="6">
        <v>0.2</v>
      </c>
      <c r="AY114" s="6" t="s">
        <v>426</v>
      </c>
      <c r="AZ114" s="6">
        <v>1</v>
      </c>
      <c r="BA114" s="6" t="s">
        <v>426</v>
      </c>
      <c r="BB114" s="6">
        <v>0.1</v>
      </c>
      <c r="BC114" s="6" t="s">
        <v>453</v>
      </c>
      <c r="BD114" s="6"/>
      <c r="BE114" s="6" t="s">
        <v>426</v>
      </c>
      <c r="BF114" s="6">
        <v>6</v>
      </c>
      <c r="BG114" s="6" t="s">
        <v>426</v>
      </c>
      <c r="BH114" s="6">
        <v>0.1</v>
      </c>
      <c r="BI114" s="6" t="s">
        <v>426</v>
      </c>
      <c r="BJ114" s="6">
        <v>0.2</v>
      </c>
      <c r="BK114" s="6" t="s">
        <v>426</v>
      </c>
      <c r="BL114" s="6">
        <v>0.2</v>
      </c>
      <c r="BM114" s="6" t="s">
        <v>426</v>
      </c>
      <c r="BN114" s="6">
        <v>8</v>
      </c>
      <c r="BO114" s="6" t="s">
        <v>426</v>
      </c>
      <c r="BP114" s="6">
        <v>0.1</v>
      </c>
      <c r="BQ114" s="6" t="s">
        <v>426</v>
      </c>
      <c r="BR114" s="6">
        <v>100</v>
      </c>
      <c r="BS114" s="6" t="s">
        <v>453</v>
      </c>
      <c r="BT114" s="6"/>
      <c r="BU114" s="6" t="s">
        <v>453</v>
      </c>
      <c r="BV114" s="15"/>
      <c r="BW114" s="15" t="s">
        <v>428</v>
      </c>
      <c r="BX114" s="15" t="s">
        <v>429</v>
      </c>
      <c r="BY114" s="6" t="s">
        <v>1252</v>
      </c>
      <c r="BZ114" s="6" t="s">
        <v>430</v>
      </c>
      <c r="CA114" s="6" t="s">
        <v>431</v>
      </c>
      <c r="CB114" s="6" t="s">
        <v>487</v>
      </c>
      <c r="CC114" s="6" t="s">
        <v>431</v>
      </c>
      <c r="CD114" s="6" t="s">
        <v>430</v>
      </c>
      <c r="CE114" s="6" t="s">
        <v>430</v>
      </c>
      <c r="CF114" s="6" t="s">
        <v>609</v>
      </c>
      <c r="CG114" s="6" t="s">
        <v>430</v>
      </c>
      <c r="CH114" s="6" t="s">
        <v>430</v>
      </c>
      <c r="CI114" s="6" t="s">
        <v>430</v>
      </c>
      <c r="CJ114" s="6" t="s">
        <v>431</v>
      </c>
      <c r="CK114" s="6" t="s">
        <v>430</v>
      </c>
      <c r="CL114" s="6" t="s">
        <v>431</v>
      </c>
      <c r="CM114" s="6" t="s">
        <v>431</v>
      </c>
      <c r="CN114" s="6" t="s">
        <v>487</v>
      </c>
      <c r="CO114" s="15" t="s">
        <v>487</v>
      </c>
      <c r="CP114" s="15" t="s">
        <v>1190</v>
      </c>
      <c r="CQ114" s="6" t="s">
        <v>686</v>
      </c>
      <c r="CR114" s="15"/>
      <c r="CS114" s="6" t="s">
        <v>426</v>
      </c>
      <c r="CT114" s="6" t="s">
        <v>2247</v>
      </c>
      <c r="CU114" s="6" t="s">
        <v>2248</v>
      </c>
      <c r="CV114" s="6" t="s">
        <v>1450</v>
      </c>
      <c r="CW114" s="6" t="s">
        <v>935</v>
      </c>
      <c r="CX114" s="15" t="s">
        <v>453</v>
      </c>
      <c r="CY114" s="6"/>
      <c r="CZ114" s="6"/>
      <c r="DA114" s="6"/>
      <c r="DB114" s="6"/>
      <c r="DC114" s="6"/>
      <c r="DD114" s="15"/>
      <c r="DE114" s="15" t="s">
        <v>436</v>
      </c>
      <c r="DF114" s="6" t="s">
        <v>489</v>
      </c>
      <c r="DG114" s="6">
        <v>1</v>
      </c>
      <c r="DH114" s="6">
        <v>1</v>
      </c>
      <c r="DI114" s="6">
        <v>1</v>
      </c>
      <c r="DJ114" s="6">
        <v>0</v>
      </c>
      <c r="DK114" s="6">
        <v>0</v>
      </c>
      <c r="DL114" s="6">
        <v>0</v>
      </c>
      <c r="DM114" s="6"/>
      <c r="DN114" s="6"/>
      <c r="DO114" s="6"/>
      <c r="DP114" s="6"/>
      <c r="DQ114" s="6"/>
      <c r="DR114" s="6"/>
      <c r="DS114" s="6"/>
      <c r="DT114" s="66"/>
      <c r="DU114" s="6" t="s">
        <v>438</v>
      </c>
      <c r="DV114" s="6" t="s">
        <v>426</v>
      </c>
      <c r="DW114" s="6" t="s">
        <v>439</v>
      </c>
      <c r="DX114" s="6" t="s">
        <v>491</v>
      </c>
      <c r="DY114" s="6"/>
      <c r="DZ114" s="6" t="s">
        <v>940</v>
      </c>
      <c r="EA114" s="6">
        <v>1</v>
      </c>
      <c r="EB114" s="6">
        <v>1</v>
      </c>
      <c r="EC114" s="6">
        <v>1</v>
      </c>
      <c r="ED114" s="6">
        <v>1</v>
      </c>
      <c r="EE114" s="6">
        <v>0</v>
      </c>
      <c r="EF114" s="6">
        <v>0</v>
      </c>
      <c r="EG114" s="6">
        <v>0</v>
      </c>
      <c r="EH114" s="6">
        <v>0</v>
      </c>
      <c r="EI114" s="6"/>
      <c r="EJ114" s="6" t="s">
        <v>2249</v>
      </c>
      <c r="EK114" s="6">
        <v>1</v>
      </c>
      <c r="EL114" s="6">
        <v>0</v>
      </c>
      <c r="EM114" s="6">
        <v>1</v>
      </c>
      <c r="EN114" s="6">
        <v>1</v>
      </c>
      <c r="EO114" s="6">
        <v>1</v>
      </c>
      <c r="EP114" s="6">
        <v>0</v>
      </c>
      <c r="EQ114" s="6">
        <v>0</v>
      </c>
      <c r="ER114" s="6">
        <v>0</v>
      </c>
      <c r="ES114" s="6">
        <v>0</v>
      </c>
      <c r="ET114" s="6"/>
      <c r="EU114" s="6" t="s">
        <v>494</v>
      </c>
      <c r="EV114" s="6" t="s">
        <v>616</v>
      </c>
      <c r="EW114" s="6"/>
      <c r="EX114" s="6" t="s">
        <v>1031</v>
      </c>
      <c r="EY114" s="6">
        <v>1</v>
      </c>
      <c r="EZ114" s="6">
        <v>1</v>
      </c>
      <c r="FA114" s="6">
        <v>0</v>
      </c>
      <c r="FB114" s="6">
        <v>1</v>
      </c>
      <c r="FC114" s="6">
        <v>0</v>
      </c>
      <c r="FD114" s="6">
        <v>0</v>
      </c>
      <c r="FE114" s="6">
        <v>0</v>
      </c>
      <c r="FF114" s="6">
        <v>0</v>
      </c>
      <c r="FG114" s="6"/>
      <c r="FH114" s="6" t="s">
        <v>812</v>
      </c>
      <c r="FI114" s="6">
        <v>1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/>
      <c r="FT114" s="6" t="s">
        <v>556</v>
      </c>
      <c r="FU114" s="6" t="s">
        <v>448</v>
      </c>
      <c r="FV114" s="6"/>
      <c r="FW114" s="6" t="s">
        <v>1709</v>
      </c>
      <c r="FX114" s="15" t="s">
        <v>623</v>
      </c>
      <c r="FY114" s="6" t="s">
        <v>619</v>
      </c>
      <c r="FZ114" s="6"/>
      <c r="GA114" s="6" t="s">
        <v>886</v>
      </c>
      <c r="GB114" s="6" t="s">
        <v>452</v>
      </c>
      <c r="GC114" s="6" t="s">
        <v>426</v>
      </c>
      <c r="GD114" s="6" t="s">
        <v>2250</v>
      </c>
      <c r="GE114" s="6" t="s">
        <v>453</v>
      </c>
      <c r="GF114" s="6"/>
      <c r="GG114" s="6" t="s">
        <v>592</v>
      </c>
      <c r="GH114" s="15" t="s">
        <v>2251</v>
      </c>
      <c r="GI114" s="6" t="s">
        <v>701</v>
      </c>
      <c r="GJ114" s="6" t="s">
        <v>2252</v>
      </c>
      <c r="GK114" s="6" t="s">
        <v>703</v>
      </c>
      <c r="GL114" s="6" t="s">
        <v>537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1</v>
      </c>
      <c r="GT114" s="6" t="s">
        <v>2253</v>
      </c>
      <c r="GU114" s="6" t="s">
        <v>462</v>
      </c>
      <c r="GV114" s="6" t="s">
        <v>595</v>
      </c>
      <c r="GW114" s="6" t="s">
        <v>464</v>
      </c>
      <c r="GX114" s="6">
        <v>1</v>
      </c>
      <c r="GY114" s="6">
        <v>0</v>
      </c>
      <c r="GZ114" s="6">
        <v>0</v>
      </c>
      <c r="HA114" s="6">
        <v>0</v>
      </c>
      <c r="HB114" s="6">
        <v>0</v>
      </c>
      <c r="HC114" s="6">
        <v>0</v>
      </c>
      <c r="HD114" s="6"/>
      <c r="HE114" s="6" t="s">
        <v>537</v>
      </c>
      <c r="HF114" s="6">
        <v>0</v>
      </c>
      <c r="HG114" s="6">
        <v>0</v>
      </c>
      <c r="HH114" s="6">
        <v>0</v>
      </c>
      <c r="HI114" s="6">
        <v>0</v>
      </c>
      <c r="HJ114" s="6">
        <v>0</v>
      </c>
      <c r="HK114" s="6">
        <v>1</v>
      </c>
      <c r="HL114" s="15" t="s">
        <v>2254</v>
      </c>
      <c r="HM114" s="6" t="s">
        <v>873</v>
      </c>
      <c r="HN114" s="6"/>
      <c r="HO114" s="6" t="s">
        <v>2255</v>
      </c>
      <c r="HP114" s="6" t="s">
        <v>537</v>
      </c>
      <c r="HQ114" s="6" t="s">
        <v>2256</v>
      </c>
      <c r="HR114" s="6" t="s">
        <v>2257</v>
      </c>
      <c r="HS114" s="6" t="s">
        <v>508</v>
      </c>
      <c r="HT114" s="6">
        <v>0</v>
      </c>
      <c r="HU114" s="6">
        <v>0</v>
      </c>
      <c r="HV114" s="6">
        <v>1</v>
      </c>
      <c r="HW114" s="6">
        <v>0</v>
      </c>
      <c r="HX114" s="6">
        <v>0</v>
      </c>
      <c r="HY114" s="6">
        <v>0</v>
      </c>
      <c r="HZ114" s="6"/>
      <c r="IA114" s="6" t="s">
        <v>2258</v>
      </c>
      <c r="IB114" s="6">
        <v>1</v>
      </c>
      <c r="IC114" s="6">
        <v>1</v>
      </c>
      <c r="ID114" s="6">
        <v>1</v>
      </c>
      <c r="IE114" s="6">
        <v>0</v>
      </c>
      <c r="IF114" s="6">
        <v>1</v>
      </c>
      <c r="IG114" s="6">
        <v>0</v>
      </c>
      <c r="IH114" s="15" t="s">
        <v>2259</v>
      </c>
      <c r="II114" s="6" t="s">
        <v>453</v>
      </c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 t="s">
        <v>426</v>
      </c>
      <c r="IX114" s="6">
        <v>1</v>
      </c>
      <c r="IY114" s="6" t="s">
        <v>474</v>
      </c>
      <c r="IZ114" s="6" t="s">
        <v>604</v>
      </c>
      <c r="JA114" s="6" t="s">
        <v>605</v>
      </c>
      <c r="JB114" s="6"/>
      <c r="JC114" s="6"/>
      <c r="JD114" s="6"/>
      <c r="JE114" s="6"/>
      <c r="JF114" s="6"/>
      <c r="JG114" s="6"/>
      <c r="JH114" s="6"/>
      <c r="JI114" s="6"/>
      <c r="JJ114" s="6"/>
      <c r="JK114" s="6" t="s">
        <v>453</v>
      </c>
      <c r="JL114" s="6"/>
      <c r="JM114" s="6"/>
      <c r="JN114" s="6"/>
      <c r="JO114" s="6"/>
      <c r="JP114" s="6"/>
      <c r="JQ114" s="6"/>
      <c r="JR114" s="6"/>
      <c r="JS114" s="6"/>
      <c r="JT114" s="6"/>
      <c r="JU114" s="6" t="s">
        <v>511</v>
      </c>
      <c r="JV114" s="15"/>
      <c r="JW114" s="94" t="s">
        <v>2260</v>
      </c>
      <c r="JX114" s="6" t="s">
        <v>2261</v>
      </c>
      <c r="JY114" s="6">
        <v>0.6100479</v>
      </c>
      <c r="JZ114" s="6">
        <v>34.4809211</v>
      </c>
      <c r="KA114" s="6">
        <v>1300.234</v>
      </c>
      <c r="KB114" s="15">
        <v>3.108</v>
      </c>
      <c r="KC114" s="15"/>
    </row>
    <row r="115" spans="1:289">
      <c r="A115" s="6" t="s">
        <v>1301</v>
      </c>
      <c r="B115" s="6" t="s">
        <v>420</v>
      </c>
      <c r="C115" s="6" t="s">
        <v>1608</v>
      </c>
      <c r="D115" s="6" t="s">
        <v>1655</v>
      </c>
      <c r="E115" s="6" t="s">
        <v>2262</v>
      </c>
      <c r="F115" s="8" t="s">
        <v>483</v>
      </c>
      <c r="G115" s="6" t="s">
        <v>567</v>
      </c>
      <c r="H115" s="6" t="s">
        <v>517</v>
      </c>
      <c r="I115" s="15"/>
      <c r="J115" s="6" t="s">
        <v>426</v>
      </c>
      <c r="K115" s="6" t="s">
        <v>426</v>
      </c>
      <c r="L115" s="6" t="s">
        <v>426</v>
      </c>
      <c r="M115" s="6" t="s">
        <v>426</v>
      </c>
      <c r="N115" s="6" t="s">
        <v>426</v>
      </c>
      <c r="O115" s="6" t="s">
        <v>426</v>
      </c>
      <c r="P115" s="6" t="s">
        <v>426</v>
      </c>
      <c r="Q115" s="6" t="s">
        <v>426</v>
      </c>
      <c r="R115" s="6" t="s">
        <v>426</v>
      </c>
      <c r="S115" s="6" t="s">
        <v>426</v>
      </c>
      <c r="T115" s="6" t="s">
        <v>426</v>
      </c>
      <c r="U115" s="6" t="s">
        <v>426</v>
      </c>
      <c r="V115" s="6" t="s">
        <v>426</v>
      </c>
      <c r="W115" s="6" t="s">
        <v>426</v>
      </c>
      <c r="X115" s="6" t="s">
        <v>426</v>
      </c>
      <c r="Y115" s="6" t="s">
        <v>426</v>
      </c>
      <c r="Z115" s="6" t="s">
        <v>426</v>
      </c>
      <c r="AA115" s="6" t="s">
        <v>426</v>
      </c>
      <c r="AB115" s="6" t="s">
        <v>426</v>
      </c>
      <c r="AC115" s="15" t="s">
        <v>426</v>
      </c>
      <c r="AD115" s="6" t="s">
        <v>427</v>
      </c>
      <c r="AE115" s="6">
        <v>0</v>
      </c>
      <c r="AF115" s="6">
        <v>0</v>
      </c>
      <c r="AG115" s="6">
        <v>0</v>
      </c>
      <c r="AH115" s="6">
        <v>1</v>
      </c>
      <c r="AI115" s="6">
        <v>0</v>
      </c>
      <c r="AJ115" s="6">
        <v>0</v>
      </c>
      <c r="AK115" s="6">
        <v>0</v>
      </c>
      <c r="AL115" s="6">
        <v>0</v>
      </c>
      <c r="AM115" s="6"/>
      <c r="AN115" s="15"/>
      <c r="AO115" s="6" t="s">
        <v>426</v>
      </c>
      <c r="AP115" s="6" t="s">
        <v>688</v>
      </c>
      <c r="AQ115" s="6" t="s">
        <v>426</v>
      </c>
      <c r="AR115" s="6" t="s">
        <v>1367</v>
      </c>
      <c r="AS115" s="6" t="s">
        <v>426</v>
      </c>
      <c r="AT115" s="6">
        <v>1</v>
      </c>
      <c r="AU115" s="6" t="s">
        <v>426</v>
      </c>
      <c r="AV115" s="6">
        <v>0.5</v>
      </c>
      <c r="AW115" s="6" t="s">
        <v>426</v>
      </c>
      <c r="AX115" s="6">
        <v>0.5</v>
      </c>
      <c r="AY115" s="6" t="s">
        <v>426</v>
      </c>
      <c r="AZ115" s="6">
        <v>1</v>
      </c>
      <c r="BA115" s="6" t="s">
        <v>426</v>
      </c>
      <c r="BB115" s="6">
        <v>0.25</v>
      </c>
      <c r="BC115" s="6" t="s">
        <v>426</v>
      </c>
      <c r="BD115" s="6">
        <v>0.25</v>
      </c>
      <c r="BE115" s="6" t="s">
        <v>426</v>
      </c>
      <c r="BF115" s="6">
        <v>3</v>
      </c>
      <c r="BG115" s="6" t="s">
        <v>426</v>
      </c>
      <c r="BH115" s="6">
        <v>0.25</v>
      </c>
      <c r="BI115" s="6" t="s">
        <v>426</v>
      </c>
      <c r="BJ115" s="6">
        <v>0.25</v>
      </c>
      <c r="BK115" s="6" t="s">
        <v>426</v>
      </c>
      <c r="BL115" s="6">
        <v>0.25</v>
      </c>
      <c r="BM115" s="6" t="s">
        <v>426</v>
      </c>
      <c r="BN115" s="6">
        <v>600</v>
      </c>
      <c r="BO115" s="6" t="s">
        <v>426</v>
      </c>
      <c r="BP115" s="6">
        <v>0.25</v>
      </c>
      <c r="BQ115" s="6" t="s">
        <v>426</v>
      </c>
      <c r="BR115" s="6">
        <v>200</v>
      </c>
      <c r="BS115" s="6" t="s">
        <v>426</v>
      </c>
      <c r="BT115" s="6">
        <v>400</v>
      </c>
      <c r="BU115" s="6" t="s">
        <v>426</v>
      </c>
      <c r="BV115" s="15">
        <v>1</v>
      </c>
      <c r="BW115" s="15" t="s">
        <v>2263</v>
      </c>
      <c r="BX115" s="15" t="s">
        <v>429</v>
      </c>
      <c r="BY115" s="6" t="s">
        <v>430</v>
      </c>
      <c r="BZ115" s="6" t="s">
        <v>430</v>
      </c>
      <c r="CA115" s="6" t="s">
        <v>430</v>
      </c>
      <c r="CB115" s="6" t="s">
        <v>430</v>
      </c>
      <c r="CC115" s="6" t="s">
        <v>430</v>
      </c>
      <c r="CD115" s="6" t="s">
        <v>430</v>
      </c>
      <c r="CE115" s="6" t="s">
        <v>430</v>
      </c>
      <c r="CF115" s="6" t="s">
        <v>430</v>
      </c>
      <c r="CG115" s="6" t="s">
        <v>430</v>
      </c>
      <c r="CH115" s="6" t="s">
        <v>430</v>
      </c>
      <c r="CI115" s="6" t="s">
        <v>430</v>
      </c>
      <c r="CJ115" s="6" t="s">
        <v>430</v>
      </c>
      <c r="CK115" s="6" t="s">
        <v>430</v>
      </c>
      <c r="CL115" s="6" t="s">
        <v>430</v>
      </c>
      <c r="CM115" s="6" t="s">
        <v>430</v>
      </c>
      <c r="CN115" s="6" t="s">
        <v>430</v>
      </c>
      <c r="CO115" s="15" t="s">
        <v>430</v>
      </c>
      <c r="CP115" s="15" t="s">
        <v>432</v>
      </c>
      <c r="CQ115" s="6" t="s">
        <v>433</v>
      </c>
      <c r="CR115" s="15"/>
      <c r="CS115" s="6" t="s">
        <v>426</v>
      </c>
      <c r="CT115" s="6" t="s">
        <v>2264</v>
      </c>
      <c r="CU115" s="6" t="s">
        <v>1392</v>
      </c>
      <c r="CV115" s="6" t="s">
        <v>809</v>
      </c>
      <c r="CW115" s="6" t="s">
        <v>808</v>
      </c>
      <c r="CX115" s="15" t="s">
        <v>426</v>
      </c>
      <c r="CY115" s="6" t="s">
        <v>426</v>
      </c>
      <c r="CZ115" s="6" t="s">
        <v>2265</v>
      </c>
      <c r="DA115" s="6" t="s">
        <v>2266</v>
      </c>
      <c r="DB115" s="6" t="s">
        <v>1188</v>
      </c>
      <c r="DC115" s="6" t="s">
        <v>846</v>
      </c>
      <c r="DD115" s="15" t="s">
        <v>2266</v>
      </c>
      <c r="DE115" s="15" t="s">
        <v>436</v>
      </c>
      <c r="DF115" s="6" t="s">
        <v>437</v>
      </c>
      <c r="DG115" s="6">
        <v>1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/>
      <c r="DN115" s="6"/>
      <c r="DO115" s="6"/>
      <c r="DP115" s="6"/>
      <c r="DQ115" s="6"/>
      <c r="DR115" s="6"/>
      <c r="DS115" s="6"/>
      <c r="DT115" s="66"/>
      <c r="DU115" s="6" t="s">
        <v>438</v>
      </c>
      <c r="DV115" s="6" t="s">
        <v>426</v>
      </c>
      <c r="DW115" s="6" t="s">
        <v>439</v>
      </c>
      <c r="DX115" s="6" t="s">
        <v>440</v>
      </c>
      <c r="DY115" s="6"/>
      <c r="DZ115" s="6" t="s">
        <v>714</v>
      </c>
      <c r="EA115" s="6">
        <v>1</v>
      </c>
      <c r="EB115" s="6">
        <v>1</v>
      </c>
      <c r="EC115" s="6">
        <v>1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/>
      <c r="EJ115" s="6" t="s">
        <v>2171</v>
      </c>
      <c r="EK115" s="6">
        <v>1</v>
      </c>
      <c r="EL115" s="6">
        <v>0</v>
      </c>
      <c r="EM115" s="6">
        <v>1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/>
      <c r="EU115" s="6" t="s">
        <v>443</v>
      </c>
      <c r="EV115" s="6" t="s">
        <v>444</v>
      </c>
      <c r="EW115" s="6"/>
      <c r="EX115" s="6" t="s">
        <v>770</v>
      </c>
      <c r="EY115" s="6">
        <v>1</v>
      </c>
      <c r="EZ115" s="6">
        <v>1</v>
      </c>
      <c r="FA115" s="6">
        <v>1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/>
      <c r="FH115" s="6" t="s">
        <v>993</v>
      </c>
      <c r="FI115" s="6">
        <v>0</v>
      </c>
      <c r="FJ115" s="6">
        <v>0</v>
      </c>
      <c r="FK115" s="6">
        <v>0</v>
      </c>
      <c r="FL115" s="6">
        <v>1</v>
      </c>
      <c r="FM115" s="6">
        <v>1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/>
      <c r="FT115" s="6" t="s">
        <v>447</v>
      </c>
      <c r="FU115" s="6" t="s">
        <v>499</v>
      </c>
      <c r="FV115" s="6"/>
      <c r="FW115" s="6" t="s">
        <v>449</v>
      </c>
      <c r="FX115" s="15" t="s">
        <v>450</v>
      </c>
      <c r="FY115" s="6" t="s">
        <v>500</v>
      </c>
      <c r="FZ115" s="6"/>
      <c r="GA115" s="6" t="s">
        <v>450</v>
      </c>
      <c r="GB115" s="6" t="s">
        <v>501</v>
      </c>
      <c r="GC115" s="6" t="s">
        <v>453</v>
      </c>
      <c r="GD115" s="6"/>
      <c r="GE115" s="6" t="s">
        <v>454</v>
      </c>
      <c r="GF115" s="6" t="s">
        <v>2267</v>
      </c>
      <c r="GG115" s="6" t="s">
        <v>456</v>
      </c>
      <c r="GH115" s="15" t="s">
        <v>2268</v>
      </c>
      <c r="GI115" s="6" t="s">
        <v>458</v>
      </c>
      <c r="GJ115" s="6" t="s">
        <v>2269</v>
      </c>
      <c r="GK115" s="6" t="s">
        <v>460</v>
      </c>
      <c r="GL115" s="6" t="s">
        <v>674</v>
      </c>
      <c r="GM115" s="6">
        <v>1</v>
      </c>
      <c r="GN115" s="6">
        <v>1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/>
      <c r="GU115" s="6" t="s">
        <v>534</v>
      </c>
      <c r="GV115" s="6" t="s">
        <v>595</v>
      </c>
      <c r="GW115" s="6" t="s">
        <v>721</v>
      </c>
      <c r="GX115" s="6">
        <v>1</v>
      </c>
      <c r="GY115" s="6">
        <v>0</v>
      </c>
      <c r="GZ115" s="6">
        <v>0</v>
      </c>
      <c r="HA115" s="6">
        <v>1</v>
      </c>
      <c r="HB115" s="6">
        <v>0</v>
      </c>
      <c r="HC115" s="6">
        <v>0</v>
      </c>
      <c r="HD115" s="6"/>
      <c r="HE115" s="6" t="s">
        <v>2270</v>
      </c>
      <c r="HF115" s="6">
        <v>1</v>
      </c>
      <c r="HG115" s="6">
        <v>0</v>
      </c>
      <c r="HH115" s="6">
        <v>1</v>
      </c>
      <c r="HI115" s="6">
        <v>1</v>
      </c>
      <c r="HJ115" s="6">
        <v>0</v>
      </c>
      <c r="HK115" s="6">
        <v>0</v>
      </c>
      <c r="HL115" s="15"/>
      <c r="HM115" s="6" t="s">
        <v>676</v>
      </c>
      <c r="HN115" s="6"/>
      <c r="HO115" s="6" t="s">
        <v>2271</v>
      </c>
      <c r="HP115" s="6" t="s">
        <v>537</v>
      </c>
      <c r="HQ115" s="6" t="s">
        <v>2272</v>
      </c>
      <c r="HR115" s="6" t="s">
        <v>2273</v>
      </c>
      <c r="HS115" s="6" t="s">
        <v>725</v>
      </c>
      <c r="HT115" s="6">
        <v>0</v>
      </c>
      <c r="HU115" s="6">
        <v>0</v>
      </c>
      <c r="HV115" s="6">
        <v>1</v>
      </c>
      <c r="HW115" s="6">
        <v>0</v>
      </c>
      <c r="HX115" s="6">
        <v>1</v>
      </c>
      <c r="HY115" s="6">
        <v>1</v>
      </c>
      <c r="HZ115" s="6"/>
      <c r="IA115" s="6" t="s">
        <v>2274</v>
      </c>
      <c r="IB115" s="6">
        <v>1</v>
      </c>
      <c r="IC115" s="6">
        <v>1</v>
      </c>
      <c r="ID115" s="6">
        <v>1</v>
      </c>
      <c r="IE115" s="6">
        <v>0</v>
      </c>
      <c r="IF115" s="6">
        <v>0</v>
      </c>
      <c r="IG115" s="6">
        <v>0</v>
      </c>
      <c r="IH115" s="15" t="s">
        <v>2275</v>
      </c>
      <c r="II115" s="6" t="s">
        <v>426</v>
      </c>
      <c r="IJ115" s="6" t="s">
        <v>1266</v>
      </c>
      <c r="IK115" s="6">
        <v>1</v>
      </c>
      <c r="IL115" s="6">
        <v>1</v>
      </c>
      <c r="IM115" s="6">
        <v>0</v>
      </c>
      <c r="IN115" s="6"/>
      <c r="IO115" s="6" t="s">
        <v>473</v>
      </c>
      <c r="IP115" s="6">
        <v>1</v>
      </c>
      <c r="IQ115" s="6">
        <v>0</v>
      </c>
      <c r="IR115" s="6">
        <v>0</v>
      </c>
      <c r="IS115" s="6">
        <v>0</v>
      </c>
      <c r="IT115" s="6">
        <v>0</v>
      </c>
      <c r="IU115" s="6">
        <v>0</v>
      </c>
      <c r="IV115" s="6"/>
      <c r="IW115" s="6" t="s">
        <v>426</v>
      </c>
      <c r="IX115" s="6">
        <v>1</v>
      </c>
      <c r="IY115" s="6" t="s">
        <v>474</v>
      </c>
      <c r="IZ115" s="6" t="s">
        <v>604</v>
      </c>
      <c r="JA115" s="6" t="s">
        <v>426</v>
      </c>
      <c r="JB115" s="6" t="s">
        <v>476</v>
      </c>
      <c r="JC115" s="6"/>
      <c r="JD115" s="6"/>
      <c r="JE115" s="6"/>
      <c r="JF115" s="6"/>
      <c r="JG115" s="6"/>
      <c r="JH115" s="6"/>
      <c r="JI115" s="6"/>
      <c r="JJ115" s="6"/>
      <c r="JK115" s="6" t="s">
        <v>453</v>
      </c>
      <c r="JL115" s="6"/>
      <c r="JM115" s="6"/>
      <c r="JN115" s="6"/>
      <c r="JO115" s="6"/>
      <c r="JP115" s="6"/>
      <c r="JQ115" s="6"/>
      <c r="JR115" s="6"/>
      <c r="JS115" s="6"/>
      <c r="JT115" s="6"/>
      <c r="JU115" s="6" t="s">
        <v>511</v>
      </c>
      <c r="JV115" s="15"/>
      <c r="JW115" s="94" t="s">
        <v>2276</v>
      </c>
      <c r="JX115" s="6" t="s">
        <v>2277</v>
      </c>
      <c r="JY115" s="6">
        <v>0.617805</v>
      </c>
      <c r="JZ115" s="6">
        <v>34.460725</v>
      </c>
      <c r="KA115" s="6">
        <v>1315</v>
      </c>
      <c r="KB115" s="15">
        <v>4.4</v>
      </c>
      <c r="KC115" s="15"/>
    </row>
    <row r="116" spans="1:289">
      <c r="A116" s="6" t="s">
        <v>633</v>
      </c>
      <c r="B116" s="6" t="s">
        <v>420</v>
      </c>
      <c r="C116" s="6" t="s">
        <v>1608</v>
      </c>
      <c r="D116" s="6" t="s">
        <v>1608</v>
      </c>
      <c r="E116" s="6" t="s">
        <v>2278</v>
      </c>
      <c r="F116" s="8" t="s">
        <v>483</v>
      </c>
      <c r="G116" s="6" t="s">
        <v>567</v>
      </c>
      <c r="H116" s="6" t="s">
        <v>517</v>
      </c>
      <c r="I116" s="15"/>
      <c r="J116" s="6" t="s">
        <v>426</v>
      </c>
      <c r="K116" s="6" t="s">
        <v>426</v>
      </c>
      <c r="L116" s="6" t="s">
        <v>426</v>
      </c>
      <c r="M116" s="6" t="s">
        <v>426</v>
      </c>
      <c r="N116" s="6" t="s">
        <v>426</v>
      </c>
      <c r="O116" s="6" t="s">
        <v>426</v>
      </c>
      <c r="P116" s="6" t="s">
        <v>426</v>
      </c>
      <c r="Q116" s="6" t="s">
        <v>426</v>
      </c>
      <c r="R116" s="6" t="s">
        <v>426</v>
      </c>
      <c r="S116" s="6" t="s">
        <v>426</v>
      </c>
      <c r="T116" s="6" t="s">
        <v>426</v>
      </c>
      <c r="U116" s="6" t="s">
        <v>426</v>
      </c>
      <c r="V116" s="6" t="s">
        <v>426</v>
      </c>
      <c r="W116" s="6" t="s">
        <v>426</v>
      </c>
      <c r="X116" s="6" t="s">
        <v>426</v>
      </c>
      <c r="Y116" s="6" t="s">
        <v>426</v>
      </c>
      <c r="Z116" s="6" t="s">
        <v>426</v>
      </c>
      <c r="AA116" s="6" t="s">
        <v>426</v>
      </c>
      <c r="AB116" s="6" t="s">
        <v>426</v>
      </c>
      <c r="AC116" s="15" t="s">
        <v>426</v>
      </c>
      <c r="AD116" s="6" t="s">
        <v>427</v>
      </c>
      <c r="AE116" s="6">
        <v>0</v>
      </c>
      <c r="AF116" s="6">
        <v>0</v>
      </c>
      <c r="AG116" s="6">
        <v>0</v>
      </c>
      <c r="AH116" s="6">
        <v>1</v>
      </c>
      <c r="AI116" s="6">
        <v>0</v>
      </c>
      <c r="AJ116" s="6">
        <v>0</v>
      </c>
      <c r="AK116" s="6">
        <v>0</v>
      </c>
      <c r="AL116" s="6">
        <v>0</v>
      </c>
      <c r="AM116" s="6"/>
      <c r="AN116" s="15"/>
      <c r="AO116" s="6" t="s">
        <v>426</v>
      </c>
      <c r="AP116" s="6" t="s">
        <v>688</v>
      </c>
      <c r="AQ116" s="6" t="s">
        <v>426</v>
      </c>
      <c r="AR116" s="6" t="s">
        <v>766</v>
      </c>
      <c r="AS116" s="6" t="s">
        <v>426</v>
      </c>
      <c r="AT116" s="6">
        <v>1</v>
      </c>
      <c r="AU116" s="6" t="s">
        <v>426</v>
      </c>
      <c r="AV116" s="6">
        <v>0.5</v>
      </c>
      <c r="AW116" s="6" t="s">
        <v>426</v>
      </c>
      <c r="AX116" s="6">
        <v>1</v>
      </c>
      <c r="AY116" s="6" t="s">
        <v>426</v>
      </c>
      <c r="AZ116" s="6">
        <v>1</v>
      </c>
      <c r="BA116" s="6" t="s">
        <v>426</v>
      </c>
      <c r="BB116" s="6">
        <v>0.1</v>
      </c>
      <c r="BC116" s="6" t="s">
        <v>426</v>
      </c>
      <c r="BD116" s="6">
        <v>0.1</v>
      </c>
      <c r="BE116" s="6" t="s">
        <v>426</v>
      </c>
      <c r="BF116" s="6">
        <v>50</v>
      </c>
      <c r="BG116" s="6" t="s">
        <v>426</v>
      </c>
      <c r="BH116" s="6">
        <v>0.2</v>
      </c>
      <c r="BI116" s="6" t="s">
        <v>426</v>
      </c>
      <c r="BJ116" s="6">
        <v>0.5</v>
      </c>
      <c r="BK116" s="6" t="s">
        <v>426</v>
      </c>
      <c r="BL116" s="6">
        <v>1</v>
      </c>
      <c r="BM116" s="6" t="s">
        <v>426</v>
      </c>
      <c r="BN116" s="6">
        <v>20</v>
      </c>
      <c r="BO116" s="6" t="s">
        <v>426</v>
      </c>
      <c r="BP116" s="6">
        <v>0.1</v>
      </c>
      <c r="BQ116" s="6" t="s">
        <v>426</v>
      </c>
      <c r="BR116" s="6">
        <v>100</v>
      </c>
      <c r="BS116" s="6" t="s">
        <v>426</v>
      </c>
      <c r="BT116" s="6">
        <v>15</v>
      </c>
      <c r="BU116" s="6" t="s">
        <v>426</v>
      </c>
      <c r="BV116" s="15">
        <v>1</v>
      </c>
      <c r="BW116" s="15" t="s">
        <v>518</v>
      </c>
      <c r="BX116" s="15" t="s">
        <v>429</v>
      </c>
      <c r="BY116" s="6" t="s">
        <v>430</v>
      </c>
      <c r="BZ116" s="6" t="s">
        <v>430</v>
      </c>
      <c r="CA116" s="6" t="s">
        <v>430</v>
      </c>
      <c r="CB116" s="6" t="s">
        <v>430</v>
      </c>
      <c r="CC116" s="6" t="s">
        <v>430</v>
      </c>
      <c r="CD116" s="6" t="s">
        <v>430</v>
      </c>
      <c r="CE116" s="6" t="s">
        <v>430</v>
      </c>
      <c r="CF116" s="6" t="s">
        <v>430</v>
      </c>
      <c r="CG116" s="6" t="s">
        <v>430</v>
      </c>
      <c r="CH116" s="6" t="s">
        <v>430</v>
      </c>
      <c r="CI116" s="6" t="s">
        <v>430</v>
      </c>
      <c r="CJ116" s="6" t="s">
        <v>430</v>
      </c>
      <c r="CK116" s="6" t="s">
        <v>430</v>
      </c>
      <c r="CL116" s="6" t="s">
        <v>430</v>
      </c>
      <c r="CM116" s="6" t="s">
        <v>430</v>
      </c>
      <c r="CN116" s="6" t="s">
        <v>430</v>
      </c>
      <c r="CO116" s="15" t="s">
        <v>430</v>
      </c>
      <c r="CP116" s="15" t="s">
        <v>432</v>
      </c>
      <c r="CQ116" s="6" t="s">
        <v>433</v>
      </c>
      <c r="CR116" s="15"/>
      <c r="CS116" s="6" t="s">
        <v>426</v>
      </c>
      <c r="CT116" s="6" t="s">
        <v>1336</v>
      </c>
      <c r="CU116" s="6" t="s">
        <v>1087</v>
      </c>
      <c r="CV116" s="6" t="s">
        <v>987</v>
      </c>
      <c r="CW116" s="6" t="s">
        <v>1088</v>
      </c>
      <c r="CX116" s="15" t="s">
        <v>426</v>
      </c>
      <c r="CY116" s="6" t="s">
        <v>426</v>
      </c>
      <c r="CZ116" s="6" t="s">
        <v>1639</v>
      </c>
      <c r="DA116" s="6" t="s">
        <v>2014</v>
      </c>
      <c r="DB116" s="6" t="s">
        <v>1273</v>
      </c>
      <c r="DC116" s="6" t="s">
        <v>1087</v>
      </c>
      <c r="DD116" s="15" t="s">
        <v>2014</v>
      </c>
      <c r="DE116" s="15" t="s">
        <v>436</v>
      </c>
      <c r="DF116" s="6" t="s">
        <v>522</v>
      </c>
      <c r="DG116" s="6">
        <v>0</v>
      </c>
      <c r="DH116" s="6">
        <v>1</v>
      </c>
      <c r="DI116" s="6">
        <v>0</v>
      </c>
      <c r="DJ116" s="6">
        <v>0</v>
      </c>
      <c r="DK116" s="6">
        <v>0</v>
      </c>
      <c r="DL116" s="6">
        <v>0</v>
      </c>
      <c r="DM116" s="6"/>
      <c r="DN116" s="6"/>
      <c r="DO116" s="6"/>
      <c r="DP116" s="6"/>
      <c r="DQ116" s="6"/>
      <c r="DR116" s="6"/>
      <c r="DS116" s="6"/>
      <c r="DT116" s="66"/>
      <c r="DU116" s="6" t="s">
        <v>523</v>
      </c>
      <c r="DV116" s="6" t="s">
        <v>426</v>
      </c>
      <c r="DW116" s="6" t="s">
        <v>439</v>
      </c>
      <c r="DX116" s="6" t="s">
        <v>440</v>
      </c>
      <c r="DY116" s="6"/>
      <c r="DZ116" s="6" t="s">
        <v>714</v>
      </c>
      <c r="EA116" s="6">
        <v>1</v>
      </c>
      <c r="EB116" s="6">
        <v>1</v>
      </c>
      <c r="EC116" s="6">
        <v>1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/>
      <c r="EJ116" s="6" t="s">
        <v>741</v>
      </c>
      <c r="EK116" s="6">
        <v>1</v>
      </c>
      <c r="EL116" s="6">
        <v>0</v>
      </c>
      <c r="EM116" s="6">
        <v>1</v>
      </c>
      <c r="EN116" s="6">
        <v>1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/>
      <c r="EU116" s="6" t="s">
        <v>443</v>
      </c>
      <c r="EV116" s="6" t="s">
        <v>554</v>
      </c>
      <c r="EW116" s="6"/>
      <c r="EX116" s="6" t="s">
        <v>1095</v>
      </c>
      <c r="EY116" s="6">
        <v>1</v>
      </c>
      <c r="EZ116" s="6">
        <v>0</v>
      </c>
      <c r="FA116" s="6">
        <v>1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/>
      <c r="FH116" s="6" t="s">
        <v>2279</v>
      </c>
      <c r="FI116" s="6">
        <v>0</v>
      </c>
      <c r="FJ116" s="6">
        <v>0</v>
      </c>
      <c r="FK116" s="6">
        <v>0</v>
      </c>
      <c r="FL116" s="6">
        <v>1</v>
      </c>
      <c r="FM116" s="6">
        <v>1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/>
      <c r="FT116" s="6" t="s">
        <v>447</v>
      </c>
      <c r="FU116" s="6" t="s">
        <v>448</v>
      </c>
      <c r="FV116" s="6"/>
      <c r="FW116" s="6" t="s">
        <v>449</v>
      </c>
      <c r="FX116" s="15" t="s">
        <v>450</v>
      </c>
      <c r="FY116" s="6" t="s">
        <v>529</v>
      </c>
      <c r="FZ116" s="6"/>
      <c r="GA116" s="6" t="s">
        <v>450</v>
      </c>
      <c r="GB116" s="6" t="s">
        <v>501</v>
      </c>
      <c r="GC116" s="6" t="s">
        <v>453</v>
      </c>
      <c r="GD116" s="6"/>
      <c r="GE116" s="6" t="s">
        <v>454</v>
      </c>
      <c r="GF116" s="6" t="s">
        <v>2280</v>
      </c>
      <c r="GG116" s="6" t="s">
        <v>456</v>
      </c>
      <c r="GH116" s="15" t="s">
        <v>2281</v>
      </c>
      <c r="GI116" s="6" t="s">
        <v>458</v>
      </c>
      <c r="GJ116" s="6" t="s">
        <v>2282</v>
      </c>
      <c r="GK116" s="6" t="s">
        <v>460</v>
      </c>
      <c r="GL116" s="6" t="s">
        <v>461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1</v>
      </c>
      <c r="GS116" s="6">
        <v>0</v>
      </c>
      <c r="GT116" s="6"/>
      <c r="GU116" s="6" t="s">
        <v>462</v>
      </c>
      <c r="GV116" s="6" t="s">
        <v>595</v>
      </c>
      <c r="GW116" s="6" t="s">
        <v>2020</v>
      </c>
      <c r="GX116" s="6">
        <v>0</v>
      </c>
      <c r="GY116" s="6">
        <v>1</v>
      </c>
      <c r="GZ116" s="6">
        <v>0</v>
      </c>
      <c r="HA116" s="6">
        <v>0</v>
      </c>
      <c r="HB116" s="6">
        <v>0</v>
      </c>
      <c r="HC116" s="6">
        <v>1</v>
      </c>
      <c r="HD116" s="6" t="s">
        <v>1102</v>
      </c>
      <c r="HE116" s="6" t="s">
        <v>2283</v>
      </c>
      <c r="HF116" s="6">
        <v>1</v>
      </c>
      <c r="HG116" s="6">
        <v>0</v>
      </c>
      <c r="HH116" s="6">
        <v>1</v>
      </c>
      <c r="HI116" s="6">
        <v>0</v>
      </c>
      <c r="HJ116" s="6">
        <v>0</v>
      </c>
      <c r="HK116" s="6">
        <v>0</v>
      </c>
      <c r="HL116" s="15"/>
      <c r="HM116" s="6" t="s">
        <v>466</v>
      </c>
      <c r="HN116" s="6"/>
      <c r="HO116" s="6" t="s">
        <v>999</v>
      </c>
      <c r="HP116" s="6" t="s">
        <v>648</v>
      </c>
      <c r="HQ116" s="6"/>
      <c r="HR116" s="6" t="s">
        <v>2284</v>
      </c>
      <c r="HS116" s="6" t="s">
        <v>508</v>
      </c>
      <c r="HT116" s="6">
        <v>0</v>
      </c>
      <c r="HU116" s="6">
        <v>0</v>
      </c>
      <c r="HV116" s="6">
        <v>1</v>
      </c>
      <c r="HW116" s="6">
        <v>0</v>
      </c>
      <c r="HX116" s="6">
        <v>0</v>
      </c>
      <c r="HY116" s="6">
        <v>0</v>
      </c>
      <c r="HZ116" s="6"/>
      <c r="IA116" s="6" t="s">
        <v>1105</v>
      </c>
      <c r="IB116" s="6">
        <v>1</v>
      </c>
      <c r="IC116" s="6">
        <v>1</v>
      </c>
      <c r="ID116" s="6">
        <v>0</v>
      </c>
      <c r="IE116" s="6">
        <v>0</v>
      </c>
      <c r="IF116" s="6">
        <v>0</v>
      </c>
      <c r="IG116" s="6">
        <v>0</v>
      </c>
      <c r="IH116" s="15" t="s">
        <v>2285</v>
      </c>
      <c r="II116" s="6" t="s">
        <v>453</v>
      </c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 t="s">
        <v>426</v>
      </c>
      <c r="IX116" s="6">
        <v>1</v>
      </c>
      <c r="IY116" s="6" t="s">
        <v>474</v>
      </c>
      <c r="IZ116" s="6" t="s">
        <v>475</v>
      </c>
      <c r="JA116" s="6" t="s">
        <v>426</v>
      </c>
      <c r="JB116" s="6" t="s">
        <v>651</v>
      </c>
      <c r="JC116" s="6"/>
      <c r="JD116" s="6"/>
      <c r="JE116" s="6"/>
      <c r="JF116" s="6"/>
      <c r="JG116" s="6"/>
      <c r="JH116" s="6"/>
      <c r="JI116" s="6"/>
      <c r="JJ116" s="6"/>
      <c r="JK116" s="6" t="s">
        <v>426</v>
      </c>
      <c r="JL116" s="6" t="s">
        <v>453</v>
      </c>
      <c r="JM116" s="6" t="s">
        <v>913</v>
      </c>
      <c r="JN116" s="6">
        <v>1</v>
      </c>
      <c r="JO116" s="6">
        <v>0</v>
      </c>
      <c r="JP116" s="6">
        <v>0</v>
      </c>
      <c r="JQ116" s="6">
        <v>0</v>
      </c>
      <c r="JR116" s="6">
        <v>0</v>
      </c>
      <c r="JS116" s="6">
        <v>0</v>
      </c>
      <c r="JT116" s="6"/>
      <c r="JU116" s="6" t="s">
        <v>511</v>
      </c>
      <c r="JV116" s="15"/>
      <c r="JW116" s="94" t="s">
        <v>2286</v>
      </c>
      <c r="JX116" s="6" t="s">
        <v>2287</v>
      </c>
      <c r="JY116" s="6">
        <v>0.6007281</v>
      </c>
      <c r="JZ116" s="6">
        <v>34.4755041</v>
      </c>
      <c r="KA116" s="6">
        <v>1319</v>
      </c>
      <c r="KB116" s="15">
        <v>4.5</v>
      </c>
      <c r="KC116" s="15"/>
    </row>
    <row r="117" spans="1:289">
      <c r="A117" s="6" t="s">
        <v>755</v>
      </c>
      <c r="B117" s="6" t="s">
        <v>420</v>
      </c>
      <c r="C117" s="6" t="s">
        <v>1608</v>
      </c>
      <c r="D117" s="6" t="s">
        <v>1620</v>
      </c>
      <c r="E117" s="6" t="s">
        <v>2288</v>
      </c>
      <c r="F117" s="8" t="s">
        <v>423</v>
      </c>
      <c r="G117" s="6" t="s">
        <v>567</v>
      </c>
      <c r="H117" s="6" t="s">
        <v>517</v>
      </c>
      <c r="I117" s="15"/>
      <c r="J117" s="6" t="s">
        <v>426</v>
      </c>
      <c r="K117" s="6" t="s">
        <v>426</v>
      </c>
      <c r="L117" s="6" t="s">
        <v>426</v>
      </c>
      <c r="M117" s="6" t="s">
        <v>426</v>
      </c>
      <c r="N117" s="6" t="s">
        <v>426</v>
      </c>
      <c r="O117" s="6" t="s">
        <v>426</v>
      </c>
      <c r="P117" s="6" t="s">
        <v>426</v>
      </c>
      <c r="Q117" s="6" t="s">
        <v>426</v>
      </c>
      <c r="R117" s="6" t="s">
        <v>426</v>
      </c>
      <c r="S117" s="6" t="s">
        <v>426</v>
      </c>
      <c r="T117" s="6" t="s">
        <v>426</v>
      </c>
      <c r="U117" s="6" t="s">
        <v>426</v>
      </c>
      <c r="V117" s="6" t="s">
        <v>453</v>
      </c>
      <c r="W117" s="6" t="s">
        <v>453</v>
      </c>
      <c r="X117" s="6" t="s">
        <v>426</v>
      </c>
      <c r="Y117" s="6" t="s">
        <v>426</v>
      </c>
      <c r="Z117" s="6" t="s">
        <v>426</v>
      </c>
      <c r="AA117" s="6" t="s">
        <v>426</v>
      </c>
      <c r="AB117" s="6" t="s">
        <v>426</v>
      </c>
      <c r="AC117" s="15" t="s">
        <v>426</v>
      </c>
      <c r="AD117" s="6" t="s">
        <v>2289</v>
      </c>
      <c r="AE117" s="6">
        <v>0</v>
      </c>
      <c r="AF117" s="6">
        <v>0</v>
      </c>
      <c r="AG117" s="6">
        <v>0</v>
      </c>
      <c r="AH117" s="6">
        <v>1</v>
      </c>
      <c r="AI117" s="6">
        <v>0</v>
      </c>
      <c r="AJ117" s="6">
        <v>1</v>
      </c>
      <c r="AK117" s="6">
        <v>0</v>
      </c>
      <c r="AL117" s="6">
        <v>0</v>
      </c>
      <c r="AM117" s="6"/>
      <c r="AN117" s="15"/>
      <c r="AO117" s="6" t="s">
        <v>426</v>
      </c>
      <c r="AP117" s="6" t="s">
        <v>920</v>
      </c>
      <c r="AQ117" s="6" t="s">
        <v>426</v>
      </c>
      <c r="AR117" s="6" t="s">
        <v>920</v>
      </c>
      <c r="AS117" s="6" t="s">
        <v>426</v>
      </c>
      <c r="AT117" s="6">
        <v>1</v>
      </c>
      <c r="AU117" s="6" t="s">
        <v>453</v>
      </c>
      <c r="AV117" s="6"/>
      <c r="AW117" s="6" t="s">
        <v>426</v>
      </c>
      <c r="AX117" s="6">
        <v>1</v>
      </c>
      <c r="AY117" s="6" t="s">
        <v>426</v>
      </c>
      <c r="AZ117" s="6">
        <v>8</v>
      </c>
      <c r="BA117" s="6" t="s">
        <v>453</v>
      </c>
      <c r="BB117" s="6"/>
      <c r="BC117" s="6" t="s">
        <v>426</v>
      </c>
      <c r="BD117" s="6">
        <v>1</v>
      </c>
      <c r="BE117" s="6" t="s">
        <v>453</v>
      </c>
      <c r="BF117" s="6"/>
      <c r="BG117" s="6" t="s">
        <v>426</v>
      </c>
      <c r="BH117" s="6">
        <v>1</v>
      </c>
      <c r="BI117" s="6" t="s">
        <v>426</v>
      </c>
      <c r="BJ117" s="6">
        <v>1</v>
      </c>
      <c r="BK117" s="6" t="s">
        <v>426</v>
      </c>
      <c r="BL117" s="6">
        <v>1</v>
      </c>
      <c r="BM117" s="6" t="s">
        <v>426</v>
      </c>
      <c r="BN117" s="6">
        <v>96</v>
      </c>
      <c r="BO117" s="6" t="s">
        <v>426</v>
      </c>
      <c r="BP117" s="6">
        <v>1</v>
      </c>
      <c r="BQ117" s="6" t="s">
        <v>426</v>
      </c>
      <c r="BR117" s="6">
        <v>600</v>
      </c>
      <c r="BS117" s="6" t="s">
        <v>453</v>
      </c>
      <c r="BT117" s="6"/>
      <c r="BU117" s="6" t="s">
        <v>426</v>
      </c>
      <c r="BV117" s="15">
        <v>1</v>
      </c>
      <c r="BW117" s="15" t="s">
        <v>518</v>
      </c>
      <c r="BX117" s="15" t="s">
        <v>429</v>
      </c>
      <c r="BY117" s="6" t="s">
        <v>430</v>
      </c>
      <c r="BZ117" s="6" t="s">
        <v>430</v>
      </c>
      <c r="CA117" s="6" t="s">
        <v>430</v>
      </c>
      <c r="CB117" s="6" t="s">
        <v>487</v>
      </c>
      <c r="CC117" s="6" t="s">
        <v>430</v>
      </c>
      <c r="CD117" s="6" t="s">
        <v>431</v>
      </c>
      <c r="CE117" s="6" t="s">
        <v>487</v>
      </c>
      <c r="CF117" s="6" t="s">
        <v>430</v>
      </c>
      <c r="CG117" s="6" t="s">
        <v>487</v>
      </c>
      <c r="CH117" s="6" t="s">
        <v>431</v>
      </c>
      <c r="CI117" s="6" t="s">
        <v>430</v>
      </c>
      <c r="CJ117" s="6" t="s">
        <v>430</v>
      </c>
      <c r="CK117" s="6" t="s">
        <v>430</v>
      </c>
      <c r="CL117" s="6" t="s">
        <v>430</v>
      </c>
      <c r="CM117" s="6" t="s">
        <v>430</v>
      </c>
      <c r="CN117" s="6" t="s">
        <v>487</v>
      </c>
      <c r="CO117" s="15" t="s">
        <v>430</v>
      </c>
      <c r="CP117" s="15" t="s">
        <v>432</v>
      </c>
      <c r="CQ117" s="6" t="s">
        <v>975</v>
      </c>
      <c r="CR117" s="15"/>
      <c r="CS117" s="6" t="s">
        <v>426</v>
      </c>
      <c r="CT117" s="6" t="s">
        <v>2156</v>
      </c>
      <c r="CU117" s="6" t="s">
        <v>2153</v>
      </c>
      <c r="CV117" s="6" t="s">
        <v>2290</v>
      </c>
      <c r="CW117" s="6" t="s">
        <v>2291</v>
      </c>
      <c r="CX117" s="15" t="s">
        <v>426</v>
      </c>
      <c r="CY117" s="6" t="s">
        <v>426</v>
      </c>
      <c r="CZ117" s="6" t="s">
        <v>2156</v>
      </c>
      <c r="DA117" s="6" t="s">
        <v>736</v>
      </c>
      <c r="DB117" s="6" t="s">
        <v>1188</v>
      </c>
      <c r="DC117" s="6" t="s">
        <v>1380</v>
      </c>
      <c r="DD117" s="15" t="s">
        <v>736</v>
      </c>
      <c r="DE117" s="15" t="s">
        <v>436</v>
      </c>
      <c r="DF117" s="6" t="s">
        <v>611</v>
      </c>
      <c r="DG117" s="6">
        <v>1</v>
      </c>
      <c r="DH117" s="6">
        <v>1</v>
      </c>
      <c r="DI117" s="6">
        <v>0</v>
      </c>
      <c r="DJ117" s="6">
        <v>0</v>
      </c>
      <c r="DK117" s="6">
        <v>0</v>
      </c>
      <c r="DL117" s="6">
        <v>0</v>
      </c>
      <c r="DM117" s="6"/>
      <c r="DN117" s="6"/>
      <c r="DO117" s="6"/>
      <c r="DP117" s="6"/>
      <c r="DQ117" s="6"/>
      <c r="DR117" s="6"/>
      <c r="DS117" s="6"/>
      <c r="DT117" s="66"/>
      <c r="DU117" s="6" t="s">
        <v>523</v>
      </c>
      <c r="DV117" s="6" t="s">
        <v>426</v>
      </c>
      <c r="DW117" s="6" t="s">
        <v>439</v>
      </c>
      <c r="DX117" s="6" t="s">
        <v>440</v>
      </c>
      <c r="DY117" s="6"/>
      <c r="DZ117" s="6" t="s">
        <v>586</v>
      </c>
      <c r="EA117" s="6">
        <v>1</v>
      </c>
      <c r="EB117" s="6">
        <v>1</v>
      </c>
      <c r="EC117" s="6">
        <v>1</v>
      </c>
      <c r="ED117" s="6">
        <v>1</v>
      </c>
      <c r="EE117" s="6">
        <v>1</v>
      </c>
      <c r="EF117" s="6">
        <v>1</v>
      </c>
      <c r="EG117" s="6">
        <v>0</v>
      </c>
      <c r="EH117" s="6">
        <v>0</v>
      </c>
      <c r="EI117" s="6"/>
      <c r="EJ117" s="6" t="s">
        <v>697</v>
      </c>
      <c r="EK117" s="6">
        <v>1</v>
      </c>
      <c r="EL117" s="6">
        <v>1</v>
      </c>
      <c r="EM117" s="6">
        <v>1</v>
      </c>
      <c r="EN117" s="6">
        <v>1</v>
      </c>
      <c r="EO117" s="6">
        <v>1</v>
      </c>
      <c r="EP117" s="6">
        <v>1</v>
      </c>
      <c r="EQ117" s="6">
        <v>0</v>
      </c>
      <c r="ER117" s="6">
        <v>0</v>
      </c>
      <c r="ES117" s="6">
        <v>0</v>
      </c>
      <c r="ET117" s="6"/>
      <c r="EU117" s="6" t="s">
        <v>443</v>
      </c>
      <c r="EV117" s="6" t="s">
        <v>554</v>
      </c>
      <c r="EW117" s="6"/>
      <c r="EX117" s="6" t="s">
        <v>1123</v>
      </c>
      <c r="EY117" s="6">
        <v>1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/>
      <c r="FH117" s="6" t="s">
        <v>1243</v>
      </c>
      <c r="FI117" s="6">
        <v>0</v>
      </c>
      <c r="FJ117" s="6">
        <v>0</v>
      </c>
      <c r="FK117" s="6">
        <v>1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/>
      <c r="FT117" s="6" t="s">
        <v>498</v>
      </c>
      <c r="FU117" s="6" t="s">
        <v>499</v>
      </c>
      <c r="FV117" s="6"/>
      <c r="FW117" s="6" t="s">
        <v>449</v>
      </c>
      <c r="FX117" s="15" t="s">
        <v>450</v>
      </c>
      <c r="FY117" s="6" t="s">
        <v>500</v>
      </c>
      <c r="FZ117" s="6"/>
      <c r="GA117" s="6" t="s">
        <v>450</v>
      </c>
      <c r="GB117" s="6" t="s">
        <v>501</v>
      </c>
      <c r="GC117" s="6" t="s">
        <v>426</v>
      </c>
      <c r="GD117" s="6" t="s">
        <v>2292</v>
      </c>
      <c r="GE117" s="6" t="s">
        <v>454</v>
      </c>
      <c r="GF117" s="6" t="s">
        <v>2293</v>
      </c>
      <c r="GG117" s="6" t="s">
        <v>592</v>
      </c>
      <c r="GH117" s="15" t="s">
        <v>2294</v>
      </c>
      <c r="GI117" s="6" t="s">
        <v>458</v>
      </c>
      <c r="GJ117" s="6" t="s">
        <v>2295</v>
      </c>
      <c r="GK117" s="6" t="s">
        <v>460</v>
      </c>
      <c r="GL117" s="6" t="s">
        <v>720</v>
      </c>
      <c r="GM117" s="6">
        <v>1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/>
      <c r="GU117" s="6" t="s">
        <v>534</v>
      </c>
      <c r="GV117" s="6" t="s">
        <v>595</v>
      </c>
      <c r="GW117" s="6" t="s">
        <v>721</v>
      </c>
      <c r="GX117" s="6">
        <v>1</v>
      </c>
      <c r="GY117" s="6">
        <v>0</v>
      </c>
      <c r="GZ117" s="6">
        <v>0</v>
      </c>
      <c r="HA117" s="6">
        <v>1</v>
      </c>
      <c r="HB117" s="6">
        <v>0</v>
      </c>
      <c r="HC117" s="6">
        <v>0</v>
      </c>
      <c r="HD117" s="6"/>
      <c r="HE117" s="6" t="s">
        <v>596</v>
      </c>
      <c r="HF117" s="6">
        <v>1</v>
      </c>
      <c r="HG117" s="6">
        <v>1</v>
      </c>
      <c r="HH117" s="6">
        <v>1</v>
      </c>
      <c r="HI117" s="6">
        <v>1</v>
      </c>
      <c r="HJ117" s="6">
        <v>0</v>
      </c>
      <c r="HK117" s="6">
        <v>0</v>
      </c>
      <c r="HL117" s="15"/>
      <c r="HM117" s="6" t="s">
        <v>505</v>
      </c>
      <c r="HN117" s="6"/>
      <c r="HO117" s="6" t="s">
        <v>2296</v>
      </c>
      <c r="HP117" s="6" t="s">
        <v>537</v>
      </c>
      <c r="HQ117" s="6" t="s">
        <v>2297</v>
      </c>
      <c r="HR117" s="6" t="s">
        <v>2298</v>
      </c>
      <c r="HS117" s="6" t="s">
        <v>778</v>
      </c>
      <c r="HT117" s="6">
        <v>0</v>
      </c>
      <c r="HU117" s="6">
        <v>0</v>
      </c>
      <c r="HV117" s="6">
        <v>1</v>
      </c>
      <c r="HW117" s="6">
        <v>0</v>
      </c>
      <c r="HX117" s="6">
        <v>1</v>
      </c>
      <c r="HY117" s="6">
        <v>0</v>
      </c>
      <c r="HZ117" s="6"/>
      <c r="IA117" s="6" t="s">
        <v>1284</v>
      </c>
      <c r="IB117" s="6">
        <v>1</v>
      </c>
      <c r="IC117" s="6">
        <v>1</v>
      </c>
      <c r="ID117" s="6">
        <v>1</v>
      </c>
      <c r="IE117" s="6">
        <v>1</v>
      </c>
      <c r="IF117" s="6">
        <v>0</v>
      </c>
      <c r="IG117" s="6">
        <v>0</v>
      </c>
      <c r="IH117" s="15" t="s">
        <v>2299</v>
      </c>
      <c r="II117" s="6" t="s">
        <v>426</v>
      </c>
      <c r="IJ117" s="6" t="s">
        <v>472</v>
      </c>
      <c r="IK117" s="6">
        <v>1</v>
      </c>
      <c r="IL117" s="6">
        <v>0</v>
      </c>
      <c r="IM117" s="6">
        <v>0</v>
      </c>
      <c r="IN117" s="6"/>
      <c r="IO117" s="6" t="s">
        <v>473</v>
      </c>
      <c r="IP117" s="6">
        <v>1</v>
      </c>
      <c r="IQ117" s="6">
        <v>0</v>
      </c>
      <c r="IR117" s="6">
        <v>0</v>
      </c>
      <c r="IS117" s="6">
        <v>0</v>
      </c>
      <c r="IT117" s="6">
        <v>0</v>
      </c>
      <c r="IU117" s="6">
        <v>0</v>
      </c>
      <c r="IV117" s="6"/>
      <c r="IW117" s="6" t="s">
        <v>453</v>
      </c>
      <c r="IX117" s="6"/>
      <c r="IY117" s="6" t="s">
        <v>510</v>
      </c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 t="s">
        <v>426</v>
      </c>
      <c r="JK117" s="6" t="s">
        <v>453</v>
      </c>
      <c r="JL117" s="6"/>
      <c r="JM117" s="6"/>
      <c r="JN117" s="6"/>
      <c r="JO117" s="6"/>
      <c r="JP117" s="6"/>
      <c r="JQ117" s="6"/>
      <c r="JR117" s="6"/>
      <c r="JS117" s="6"/>
      <c r="JT117" s="6"/>
      <c r="JU117" s="6" t="s">
        <v>544</v>
      </c>
      <c r="JV117" s="15"/>
      <c r="JW117" s="94" t="s">
        <v>2300</v>
      </c>
      <c r="JX117" s="6" t="s">
        <v>2301</v>
      </c>
      <c r="JY117" s="6">
        <v>0.6054222</v>
      </c>
      <c r="JZ117" s="6">
        <v>34.4831085</v>
      </c>
      <c r="KA117" s="6">
        <v>1340.651</v>
      </c>
      <c r="KB117" s="15">
        <v>1.699</v>
      </c>
      <c r="KC117" s="15"/>
    </row>
    <row r="118" spans="1:289">
      <c r="A118" s="6" t="s">
        <v>1301</v>
      </c>
      <c r="B118" s="6" t="s">
        <v>420</v>
      </c>
      <c r="C118" s="6" t="s">
        <v>1608</v>
      </c>
      <c r="D118" s="6" t="s">
        <v>1655</v>
      </c>
      <c r="E118" s="6" t="s">
        <v>2302</v>
      </c>
      <c r="F118" s="8" t="s">
        <v>423</v>
      </c>
      <c r="G118" s="6" t="s">
        <v>567</v>
      </c>
      <c r="H118" s="6" t="s">
        <v>2303</v>
      </c>
      <c r="I118" s="15"/>
      <c r="J118" s="6" t="s">
        <v>426</v>
      </c>
      <c r="K118" s="6" t="s">
        <v>426</v>
      </c>
      <c r="L118" s="6" t="s">
        <v>426</v>
      </c>
      <c r="M118" s="6" t="s">
        <v>426</v>
      </c>
      <c r="N118" s="6" t="s">
        <v>426</v>
      </c>
      <c r="O118" s="6" t="s">
        <v>426</v>
      </c>
      <c r="P118" s="6" t="s">
        <v>426</v>
      </c>
      <c r="Q118" s="6" t="s">
        <v>426</v>
      </c>
      <c r="R118" s="6" t="s">
        <v>426</v>
      </c>
      <c r="S118" s="6" t="s">
        <v>426</v>
      </c>
      <c r="T118" s="6" t="s">
        <v>426</v>
      </c>
      <c r="U118" s="6" t="s">
        <v>426</v>
      </c>
      <c r="V118" s="6" t="s">
        <v>426</v>
      </c>
      <c r="W118" s="6" t="s">
        <v>426</v>
      </c>
      <c r="X118" s="6" t="s">
        <v>426</v>
      </c>
      <c r="Y118" s="6" t="s">
        <v>426</v>
      </c>
      <c r="Z118" s="6" t="s">
        <v>426</v>
      </c>
      <c r="AA118" s="6" t="s">
        <v>426</v>
      </c>
      <c r="AB118" s="6" t="s">
        <v>426</v>
      </c>
      <c r="AC118" s="15" t="s">
        <v>426</v>
      </c>
      <c r="AD118" s="6" t="s">
        <v>427</v>
      </c>
      <c r="AE118" s="6">
        <v>0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6">
        <v>0</v>
      </c>
      <c r="AM118" s="6"/>
      <c r="AN118" s="15"/>
      <c r="AO118" s="6" t="s">
        <v>426</v>
      </c>
      <c r="AP118" s="6" t="s">
        <v>758</v>
      </c>
      <c r="AQ118" s="6" t="s">
        <v>426</v>
      </c>
      <c r="AR118" s="6" t="s">
        <v>2304</v>
      </c>
      <c r="AS118" s="6" t="s">
        <v>426</v>
      </c>
      <c r="AT118" s="6">
        <v>0.5</v>
      </c>
      <c r="AU118" s="6" t="s">
        <v>426</v>
      </c>
      <c r="AV118" s="6">
        <v>0.5</v>
      </c>
      <c r="AW118" s="6" t="s">
        <v>426</v>
      </c>
      <c r="AX118" s="6">
        <v>0.5</v>
      </c>
      <c r="AY118" s="6" t="s">
        <v>426</v>
      </c>
      <c r="AZ118" s="6">
        <v>1</v>
      </c>
      <c r="BA118" s="6" t="s">
        <v>453</v>
      </c>
      <c r="BB118" s="6"/>
      <c r="BC118" s="6" t="s">
        <v>426</v>
      </c>
      <c r="BD118" s="6">
        <v>0.25</v>
      </c>
      <c r="BE118" s="6" t="s">
        <v>453</v>
      </c>
      <c r="BF118" s="6"/>
      <c r="BG118" s="6" t="s">
        <v>426</v>
      </c>
      <c r="BH118" s="6">
        <v>0.25</v>
      </c>
      <c r="BI118" s="6" t="s">
        <v>426</v>
      </c>
      <c r="BJ118" s="6">
        <v>0.25</v>
      </c>
      <c r="BK118" s="6" t="s">
        <v>426</v>
      </c>
      <c r="BL118" s="6">
        <v>0.25</v>
      </c>
      <c r="BM118" s="6" t="s">
        <v>426</v>
      </c>
      <c r="BN118" s="6">
        <v>30</v>
      </c>
      <c r="BO118" s="6" t="s">
        <v>426</v>
      </c>
      <c r="BP118" s="6">
        <v>0.5</v>
      </c>
      <c r="BQ118" s="6" t="s">
        <v>426</v>
      </c>
      <c r="BR118" s="6">
        <v>120</v>
      </c>
      <c r="BS118" s="6" t="s">
        <v>426</v>
      </c>
      <c r="BT118" s="6">
        <v>100</v>
      </c>
      <c r="BU118" s="6" t="s">
        <v>426</v>
      </c>
      <c r="BV118" s="15">
        <v>0.25</v>
      </c>
      <c r="BW118" s="15" t="s">
        <v>518</v>
      </c>
      <c r="BX118" s="15" t="s">
        <v>429</v>
      </c>
      <c r="BY118" s="6" t="s">
        <v>430</v>
      </c>
      <c r="BZ118" s="6" t="s">
        <v>430</v>
      </c>
      <c r="CA118" s="6" t="s">
        <v>430</v>
      </c>
      <c r="CB118" s="6" t="s">
        <v>430</v>
      </c>
      <c r="CC118" s="6" t="s">
        <v>430</v>
      </c>
      <c r="CD118" s="6" t="s">
        <v>430</v>
      </c>
      <c r="CE118" s="6" t="s">
        <v>430</v>
      </c>
      <c r="CF118" s="6" t="s">
        <v>430</v>
      </c>
      <c r="CG118" s="6" t="s">
        <v>431</v>
      </c>
      <c r="CH118" s="6" t="s">
        <v>430</v>
      </c>
      <c r="CI118" s="6" t="s">
        <v>430</v>
      </c>
      <c r="CJ118" s="6" t="s">
        <v>430</v>
      </c>
      <c r="CK118" s="6" t="s">
        <v>430</v>
      </c>
      <c r="CL118" s="6" t="s">
        <v>430</v>
      </c>
      <c r="CM118" s="6" t="s">
        <v>430</v>
      </c>
      <c r="CN118" s="6" t="s">
        <v>430</v>
      </c>
      <c r="CO118" s="15" t="s">
        <v>430</v>
      </c>
      <c r="CP118" s="15" t="s">
        <v>432</v>
      </c>
      <c r="CQ118" s="6" t="s">
        <v>433</v>
      </c>
      <c r="CR118" s="15"/>
      <c r="CS118" s="6" t="s">
        <v>426</v>
      </c>
      <c r="CT118" s="6" t="s">
        <v>2305</v>
      </c>
      <c r="CU118" s="6" t="s">
        <v>1518</v>
      </c>
      <c r="CV118" s="6" t="s">
        <v>809</v>
      </c>
      <c r="CW118" s="6" t="s">
        <v>1866</v>
      </c>
      <c r="CX118" s="15" t="s">
        <v>426</v>
      </c>
      <c r="CY118" s="6" t="s">
        <v>426</v>
      </c>
      <c r="CZ118" s="6" t="s">
        <v>1394</v>
      </c>
      <c r="DA118" s="6" t="s">
        <v>1188</v>
      </c>
      <c r="DB118" s="6" t="s">
        <v>1538</v>
      </c>
      <c r="DC118" s="6" t="s">
        <v>1091</v>
      </c>
      <c r="DD118" s="15" t="s">
        <v>2306</v>
      </c>
      <c r="DE118" s="15" t="s">
        <v>436</v>
      </c>
      <c r="DF118" s="6" t="s">
        <v>1308</v>
      </c>
      <c r="DG118" s="6">
        <v>1</v>
      </c>
      <c r="DH118" s="6">
        <v>0</v>
      </c>
      <c r="DI118" s="6">
        <v>1</v>
      </c>
      <c r="DJ118" s="6">
        <v>0</v>
      </c>
      <c r="DK118" s="6">
        <v>0</v>
      </c>
      <c r="DL118" s="6">
        <v>0</v>
      </c>
      <c r="DM118" s="6"/>
      <c r="DN118" s="6"/>
      <c r="DO118" s="6"/>
      <c r="DP118" s="6"/>
      <c r="DQ118" s="6"/>
      <c r="DR118" s="6"/>
      <c r="DS118" s="6"/>
      <c r="DT118" s="66"/>
      <c r="DU118" s="6" t="s">
        <v>438</v>
      </c>
      <c r="DV118" s="6" t="s">
        <v>426</v>
      </c>
      <c r="DW118" s="6" t="s">
        <v>439</v>
      </c>
      <c r="DX118" s="6" t="s">
        <v>440</v>
      </c>
      <c r="DY118" s="6"/>
      <c r="DZ118" s="6" t="s">
        <v>1521</v>
      </c>
      <c r="EA118" s="6">
        <v>1</v>
      </c>
      <c r="EB118" s="6">
        <v>1</v>
      </c>
      <c r="EC118" s="6">
        <v>0</v>
      </c>
      <c r="ED118" s="6">
        <v>1</v>
      </c>
      <c r="EE118" s="6">
        <v>0</v>
      </c>
      <c r="EF118" s="6">
        <v>0</v>
      </c>
      <c r="EG118" s="6">
        <v>0</v>
      </c>
      <c r="EH118" s="6">
        <v>0</v>
      </c>
      <c r="EI118" s="6"/>
      <c r="EJ118" s="6" t="s">
        <v>741</v>
      </c>
      <c r="EK118" s="6">
        <v>1</v>
      </c>
      <c r="EL118" s="6">
        <v>0</v>
      </c>
      <c r="EM118" s="6">
        <v>1</v>
      </c>
      <c r="EN118" s="6">
        <v>1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/>
      <c r="EU118" s="6" t="s">
        <v>443</v>
      </c>
      <c r="EV118" s="6" t="s">
        <v>554</v>
      </c>
      <c r="EW118" s="6"/>
      <c r="EX118" s="6" t="s">
        <v>770</v>
      </c>
      <c r="EY118" s="6">
        <v>1</v>
      </c>
      <c r="EZ118" s="6">
        <v>1</v>
      </c>
      <c r="FA118" s="6">
        <v>1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/>
      <c r="FH118" s="6" t="s">
        <v>446</v>
      </c>
      <c r="FI118" s="6">
        <v>1</v>
      </c>
      <c r="FJ118" s="6">
        <v>0</v>
      </c>
      <c r="FK118" s="6">
        <v>0</v>
      </c>
      <c r="FL118" s="6">
        <v>0</v>
      </c>
      <c r="FM118" s="6">
        <v>1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/>
      <c r="FT118" s="6" t="s">
        <v>447</v>
      </c>
      <c r="FU118" s="6" t="s">
        <v>499</v>
      </c>
      <c r="FV118" s="6"/>
      <c r="FW118" s="6" t="s">
        <v>449</v>
      </c>
      <c r="FX118" s="15" t="s">
        <v>450</v>
      </c>
      <c r="FY118" s="6" t="s">
        <v>451</v>
      </c>
      <c r="FZ118" s="6"/>
      <c r="GA118" s="6" t="s">
        <v>450</v>
      </c>
      <c r="GB118" s="6" t="s">
        <v>501</v>
      </c>
      <c r="GC118" s="6" t="s">
        <v>453</v>
      </c>
      <c r="GD118" s="6"/>
      <c r="GE118" s="6" t="s">
        <v>454</v>
      </c>
      <c r="GF118" s="6" t="s">
        <v>2307</v>
      </c>
      <c r="GG118" s="6" t="s">
        <v>456</v>
      </c>
      <c r="GH118" s="15" t="s">
        <v>2308</v>
      </c>
      <c r="GI118" s="6" t="s">
        <v>458</v>
      </c>
      <c r="GJ118" s="6" t="s">
        <v>2309</v>
      </c>
      <c r="GK118" s="6" t="s">
        <v>460</v>
      </c>
      <c r="GL118" s="6" t="s">
        <v>674</v>
      </c>
      <c r="GM118" s="6">
        <v>1</v>
      </c>
      <c r="GN118" s="6">
        <v>1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/>
      <c r="GU118" s="6" t="s">
        <v>534</v>
      </c>
      <c r="GV118" s="6" t="s">
        <v>595</v>
      </c>
      <c r="GW118" s="6" t="s">
        <v>721</v>
      </c>
      <c r="GX118" s="6">
        <v>1</v>
      </c>
      <c r="GY118" s="6">
        <v>0</v>
      </c>
      <c r="GZ118" s="6">
        <v>0</v>
      </c>
      <c r="HA118" s="6">
        <v>1</v>
      </c>
      <c r="HB118" s="6">
        <v>0</v>
      </c>
      <c r="HC118" s="6">
        <v>0</v>
      </c>
      <c r="HD118" s="6"/>
      <c r="HE118" s="6" t="s">
        <v>2310</v>
      </c>
      <c r="HF118" s="6">
        <v>0</v>
      </c>
      <c r="HG118" s="6">
        <v>1</v>
      </c>
      <c r="HH118" s="6">
        <v>0</v>
      </c>
      <c r="HI118" s="6">
        <v>0</v>
      </c>
      <c r="HJ118" s="6">
        <v>1</v>
      </c>
      <c r="HK118" s="6">
        <v>0</v>
      </c>
      <c r="HL118" s="15"/>
      <c r="HM118" s="6" t="s">
        <v>676</v>
      </c>
      <c r="HN118" s="6"/>
      <c r="HO118" s="6" t="s">
        <v>2311</v>
      </c>
      <c r="HP118" s="6" t="s">
        <v>537</v>
      </c>
      <c r="HQ118" s="6" t="s">
        <v>2312</v>
      </c>
      <c r="HR118" s="6" t="s">
        <v>2313</v>
      </c>
      <c r="HS118" s="6" t="s">
        <v>1315</v>
      </c>
      <c r="HT118" s="6">
        <v>0</v>
      </c>
      <c r="HU118" s="6">
        <v>0</v>
      </c>
      <c r="HV118" s="6">
        <v>1</v>
      </c>
      <c r="HW118" s="6">
        <v>0</v>
      </c>
      <c r="HX118" s="6">
        <v>1</v>
      </c>
      <c r="HY118" s="6">
        <v>1</v>
      </c>
      <c r="HZ118" s="6"/>
      <c r="IA118" s="6" t="s">
        <v>111</v>
      </c>
      <c r="IB118" s="6">
        <v>1</v>
      </c>
      <c r="IC118" s="6">
        <v>0</v>
      </c>
      <c r="ID118" s="6">
        <v>0</v>
      </c>
      <c r="IE118" s="6">
        <v>0</v>
      </c>
      <c r="IF118" s="6">
        <v>0</v>
      </c>
      <c r="IG118" s="6">
        <v>0</v>
      </c>
      <c r="IH118" s="15" t="s">
        <v>2314</v>
      </c>
      <c r="II118" s="6" t="s">
        <v>426</v>
      </c>
      <c r="IJ118" s="6" t="s">
        <v>602</v>
      </c>
      <c r="IK118" s="6">
        <v>1</v>
      </c>
      <c r="IL118" s="6">
        <v>1</v>
      </c>
      <c r="IM118" s="6">
        <v>0</v>
      </c>
      <c r="IN118" s="6"/>
      <c r="IO118" s="6" t="s">
        <v>473</v>
      </c>
      <c r="IP118" s="6">
        <v>1</v>
      </c>
      <c r="IQ118" s="6">
        <v>0</v>
      </c>
      <c r="IR118" s="6">
        <v>0</v>
      </c>
      <c r="IS118" s="6">
        <v>0</v>
      </c>
      <c r="IT118" s="6">
        <v>0</v>
      </c>
      <c r="IU118" s="6">
        <v>0</v>
      </c>
      <c r="IV118" s="6"/>
      <c r="IW118" s="6" t="s">
        <v>426</v>
      </c>
      <c r="IX118" s="6">
        <v>1</v>
      </c>
      <c r="IY118" s="6" t="s">
        <v>474</v>
      </c>
      <c r="IZ118" s="6" t="s">
        <v>604</v>
      </c>
      <c r="JA118" s="6" t="s">
        <v>426</v>
      </c>
      <c r="JB118" s="6" t="s">
        <v>651</v>
      </c>
      <c r="JC118" s="6"/>
      <c r="JD118" s="6"/>
      <c r="JE118" s="6"/>
      <c r="JF118" s="6"/>
      <c r="JG118" s="6"/>
      <c r="JH118" s="6"/>
      <c r="JI118" s="6"/>
      <c r="JJ118" s="6"/>
      <c r="JK118" s="6" t="s">
        <v>453</v>
      </c>
      <c r="JL118" s="6"/>
      <c r="JM118" s="6"/>
      <c r="JN118" s="6"/>
      <c r="JO118" s="6"/>
      <c r="JP118" s="6"/>
      <c r="JQ118" s="6"/>
      <c r="JR118" s="6"/>
      <c r="JS118" s="6"/>
      <c r="JT118" s="6"/>
      <c r="JU118" s="6" t="s">
        <v>544</v>
      </c>
      <c r="JV118" s="15"/>
      <c r="JW118" s="94" t="s">
        <v>2315</v>
      </c>
      <c r="JX118" s="6" t="s">
        <v>2316</v>
      </c>
      <c r="JY118" s="6">
        <v>0.6004833</v>
      </c>
      <c r="JZ118" s="6">
        <v>34.47694</v>
      </c>
      <c r="KA118" s="6">
        <v>1316.3</v>
      </c>
      <c r="KB118" s="15">
        <v>4.8</v>
      </c>
      <c r="KC118" s="15"/>
    </row>
    <row r="119" spans="1:289">
      <c r="A119" s="6" t="s">
        <v>480</v>
      </c>
      <c r="B119" s="6" t="s">
        <v>420</v>
      </c>
      <c r="C119" s="6" t="s">
        <v>1608</v>
      </c>
      <c r="D119" s="6" t="s">
        <v>2317</v>
      </c>
      <c r="E119" s="6" t="s">
        <v>2318</v>
      </c>
      <c r="F119" s="8" t="s">
        <v>423</v>
      </c>
      <c r="G119" s="6" t="s">
        <v>567</v>
      </c>
      <c r="H119" s="6" t="s">
        <v>425</v>
      </c>
      <c r="I119" s="15"/>
      <c r="J119" s="6" t="s">
        <v>426</v>
      </c>
      <c r="K119" s="6" t="s">
        <v>426</v>
      </c>
      <c r="L119" s="6" t="s">
        <v>453</v>
      </c>
      <c r="M119" s="6" t="s">
        <v>453</v>
      </c>
      <c r="N119" s="6" t="s">
        <v>426</v>
      </c>
      <c r="O119" s="6" t="s">
        <v>426</v>
      </c>
      <c r="P119" s="6" t="s">
        <v>426</v>
      </c>
      <c r="Q119" s="6" t="s">
        <v>453</v>
      </c>
      <c r="R119" s="6" t="s">
        <v>426</v>
      </c>
      <c r="S119" s="6" t="s">
        <v>426</v>
      </c>
      <c r="T119" s="6" t="s">
        <v>426</v>
      </c>
      <c r="U119" s="6" t="s">
        <v>426</v>
      </c>
      <c r="V119" s="6" t="s">
        <v>426</v>
      </c>
      <c r="W119" s="6" t="s">
        <v>426</v>
      </c>
      <c r="X119" s="6" t="s">
        <v>426</v>
      </c>
      <c r="Y119" s="6" t="s">
        <v>426</v>
      </c>
      <c r="Z119" s="6" t="s">
        <v>426</v>
      </c>
      <c r="AA119" s="6" t="s">
        <v>453</v>
      </c>
      <c r="AB119" s="6" t="s">
        <v>426</v>
      </c>
      <c r="AC119" s="15" t="s">
        <v>453</v>
      </c>
      <c r="AD119" s="6" t="s">
        <v>427</v>
      </c>
      <c r="AE119" s="6">
        <v>0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/>
      <c r="AN119" s="15"/>
      <c r="AO119" s="6" t="s">
        <v>426</v>
      </c>
      <c r="AP119" s="6" t="s">
        <v>658</v>
      </c>
      <c r="AQ119" s="6" t="s">
        <v>426</v>
      </c>
      <c r="AR119" s="6" t="s">
        <v>985</v>
      </c>
      <c r="AS119" s="6" t="s">
        <v>426</v>
      </c>
      <c r="AT119" s="6">
        <v>0.2</v>
      </c>
      <c r="AU119" s="6" t="s">
        <v>453</v>
      </c>
      <c r="AV119" s="6"/>
      <c r="AW119" s="6" t="s">
        <v>426</v>
      </c>
      <c r="AX119" s="6">
        <v>0.4</v>
      </c>
      <c r="AY119" s="6" t="s">
        <v>426</v>
      </c>
      <c r="AZ119" s="6">
        <v>1</v>
      </c>
      <c r="BA119" s="6" t="s">
        <v>453</v>
      </c>
      <c r="BB119" s="6"/>
      <c r="BC119" s="6" t="s">
        <v>453</v>
      </c>
      <c r="BD119" s="6"/>
      <c r="BE119" s="6" t="s">
        <v>453</v>
      </c>
      <c r="BF119" s="6"/>
      <c r="BG119" s="6" t="s">
        <v>426</v>
      </c>
      <c r="BH119" s="6">
        <v>1</v>
      </c>
      <c r="BI119" s="6" t="s">
        <v>426</v>
      </c>
      <c r="BJ119" s="6">
        <v>1</v>
      </c>
      <c r="BK119" s="6" t="s">
        <v>426</v>
      </c>
      <c r="BL119" s="6">
        <v>0.8</v>
      </c>
      <c r="BM119" s="6" t="s">
        <v>426</v>
      </c>
      <c r="BN119" s="6">
        <v>6</v>
      </c>
      <c r="BO119" s="6" t="s">
        <v>453</v>
      </c>
      <c r="BP119" s="6"/>
      <c r="BQ119" s="6" t="s">
        <v>426</v>
      </c>
      <c r="BR119" s="6">
        <v>500</v>
      </c>
      <c r="BS119" s="6" t="s">
        <v>453</v>
      </c>
      <c r="BT119" s="6"/>
      <c r="BU119" s="6" t="s">
        <v>453</v>
      </c>
      <c r="BV119" s="15"/>
      <c r="BW119" s="15" t="s">
        <v>428</v>
      </c>
      <c r="BX119" s="15" t="s">
        <v>429</v>
      </c>
      <c r="BY119" s="6" t="s">
        <v>430</v>
      </c>
      <c r="BZ119" s="6" t="s">
        <v>430</v>
      </c>
      <c r="CA119" s="6" t="s">
        <v>430</v>
      </c>
      <c r="CB119" s="6" t="s">
        <v>487</v>
      </c>
      <c r="CC119" s="6" t="s">
        <v>430</v>
      </c>
      <c r="CD119" s="6" t="s">
        <v>430</v>
      </c>
      <c r="CE119" s="6" t="s">
        <v>430</v>
      </c>
      <c r="CF119" s="6" t="s">
        <v>609</v>
      </c>
      <c r="CG119" s="6" t="s">
        <v>487</v>
      </c>
      <c r="CH119" s="6" t="s">
        <v>487</v>
      </c>
      <c r="CI119" s="6" t="s">
        <v>430</v>
      </c>
      <c r="CJ119" s="6" t="s">
        <v>430</v>
      </c>
      <c r="CK119" s="6" t="s">
        <v>430</v>
      </c>
      <c r="CL119" s="6" t="s">
        <v>430</v>
      </c>
      <c r="CM119" s="6" t="s">
        <v>430</v>
      </c>
      <c r="CN119" s="6" t="s">
        <v>430</v>
      </c>
      <c r="CO119" s="15" t="s">
        <v>430</v>
      </c>
      <c r="CP119" s="15" t="s">
        <v>432</v>
      </c>
      <c r="CQ119" s="6" t="s">
        <v>433</v>
      </c>
      <c r="CR119" s="15"/>
      <c r="CS119" s="6" t="s">
        <v>453</v>
      </c>
      <c r="CT119" s="6"/>
      <c r="CU119" s="6"/>
      <c r="CV119" s="6"/>
      <c r="CW119" s="6"/>
      <c r="CX119" s="15" t="s">
        <v>453</v>
      </c>
      <c r="CY119" s="6"/>
      <c r="CZ119" s="6"/>
      <c r="DA119" s="6"/>
      <c r="DB119" s="6"/>
      <c r="DC119" s="6"/>
      <c r="DD119" s="15"/>
      <c r="DE119" s="15" t="s">
        <v>436</v>
      </c>
      <c r="DF119" s="6" t="s">
        <v>2319</v>
      </c>
      <c r="DG119" s="6">
        <v>1</v>
      </c>
      <c r="DH119" s="6">
        <v>1</v>
      </c>
      <c r="DI119" s="6">
        <v>0</v>
      </c>
      <c r="DJ119" s="6">
        <v>0</v>
      </c>
      <c r="DK119" s="6">
        <v>1</v>
      </c>
      <c r="DL119" s="6">
        <v>0</v>
      </c>
      <c r="DM119" s="6"/>
      <c r="DN119" s="6"/>
      <c r="DO119" s="6"/>
      <c r="DP119" s="6"/>
      <c r="DQ119" s="6"/>
      <c r="DR119" s="6"/>
      <c r="DS119" s="6"/>
      <c r="DT119" s="66"/>
      <c r="DU119" s="6" t="s">
        <v>438</v>
      </c>
      <c r="DV119" s="6" t="s">
        <v>426</v>
      </c>
      <c r="DW119" s="6" t="s">
        <v>439</v>
      </c>
      <c r="DX119" s="6" t="s">
        <v>440</v>
      </c>
      <c r="DY119" s="6"/>
      <c r="DZ119" s="6" t="s">
        <v>991</v>
      </c>
      <c r="EA119" s="6">
        <v>1</v>
      </c>
      <c r="EB119" s="6">
        <v>1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/>
      <c r="EJ119" s="6" t="s">
        <v>2320</v>
      </c>
      <c r="EK119" s="6">
        <v>0</v>
      </c>
      <c r="EL119" s="6">
        <v>0</v>
      </c>
      <c r="EM119" s="6">
        <v>1</v>
      </c>
      <c r="EN119" s="6">
        <v>1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/>
      <c r="EU119" s="6" t="s">
        <v>443</v>
      </c>
      <c r="EV119" s="6" t="s">
        <v>495</v>
      </c>
      <c r="EW119" s="6"/>
      <c r="EX119" s="6" t="s">
        <v>1139</v>
      </c>
      <c r="EY119" s="6">
        <v>0</v>
      </c>
      <c r="EZ119" s="6">
        <v>0</v>
      </c>
      <c r="FA119" s="6">
        <v>1</v>
      </c>
      <c r="FB119" s="6">
        <v>1</v>
      </c>
      <c r="FC119" s="6">
        <v>0</v>
      </c>
      <c r="FD119" s="6">
        <v>0</v>
      </c>
      <c r="FE119" s="6">
        <v>0</v>
      </c>
      <c r="FF119" s="6">
        <v>0</v>
      </c>
      <c r="FG119" s="6"/>
      <c r="FH119" s="6" t="s">
        <v>2321</v>
      </c>
      <c r="FI119" s="6">
        <v>1</v>
      </c>
      <c r="FJ119" s="6">
        <v>0</v>
      </c>
      <c r="FK119" s="6">
        <v>0</v>
      </c>
      <c r="FL119" s="6">
        <v>0</v>
      </c>
      <c r="FM119" s="6">
        <v>1</v>
      </c>
      <c r="FN119" s="6">
        <v>0</v>
      </c>
      <c r="FO119" s="6">
        <v>1</v>
      </c>
      <c r="FP119" s="6">
        <v>0</v>
      </c>
      <c r="FQ119" s="6">
        <v>1</v>
      </c>
      <c r="FR119" s="6">
        <v>0</v>
      </c>
      <c r="FS119" s="6"/>
      <c r="FT119" s="6" t="s">
        <v>2172</v>
      </c>
      <c r="FU119" s="6" t="s">
        <v>448</v>
      </c>
      <c r="FV119" s="6"/>
      <c r="FW119" s="6" t="s">
        <v>449</v>
      </c>
      <c r="FX119" s="15" t="s">
        <v>450</v>
      </c>
      <c r="FY119" s="6" t="s">
        <v>619</v>
      </c>
      <c r="FZ119" s="6"/>
      <c r="GA119" s="6" t="s">
        <v>450</v>
      </c>
      <c r="GB119" s="6" t="s">
        <v>452</v>
      </c>
      <c r="GC119" s="6" t="s">
        <v>453</v>
      </c>
      <c r="GD119" s="6"/>
      <c r="GE119" s="6" t="s">
        <v>642</v>
      </c>
      <c r="GF119" s="6" t="s">
        <v>2322</v>
      </c>
      <c r="GG119" s="6" t="s">
        <v>456</v>
      </c>
      <c r="GH119" s="15" t="s">
        <v>2323</v>
      </c>
      <c r="GI119" s="6" t="s">
        <v>458</v>
      </c>
      <c r="GJ119" s="6" t="s">
        <v>2324</v>
      </c>
      <c r="GK119" s="6" t="s">
        <v>460</v>
      </c>
      <c r="GL119" s="6" t="s">
        <v>2325</v>
      </c>
      <c r="GM119" s="6">
        <v>1</v>
      </c>
      <c r="GN119" s="6">
        <v>0</v>
      </c>
      <c r="GO119" s="6">
        <v>1</v>
      </c>
      <c r="GP119" s="6">
        <v>1</v>
      </c>
      <c r="GQ119" s="6">
        <v>0</v>
      </c>
      <c r="GR119" s="6">
        <v>0</v>
      </c>
      <c r="GS119" s="6">
        <v>0</v>
      </c>
      <c r="GT119" s="6"/>
      <c r="GU119" s="6" t="s">
        <v>534</v>
      </c>
      <c r="GV119" s="6" t="s">
        <v>595</v>
      </c>
      <c r="GW119" s="6" t="s">
        <v>464</v>
      </c>
      <c r="GX119" s="6">
        <v>1</v>
      </c>
      <c r="GY119" s="6">
        <v>0</v>
      </c>
      <c r="GZ119" s="6">
        <v>0</v>
      </c>
      <c r="HA119" s="6">
        <v>0</v>
      </c>
      <c r="HB119" s="6">
        <v>0</v>
      </c>
      <c r="HC119" s="6">
        <v>0</v>
      </c>
      <c r="HD119" s="6"/>
      <c r="HE119" s="6" t="s">
        <v>2326</v>
      </c>
      <c r="HF119" s="6">
        <v>0</v>
      </c>
      <c r="HG119" s="6">
        <v>1</v>
      </c>
      <c r="HH119" s="6">
        <v>1</v>
      </c>
      <c r="HI119" s="6">
        <v>1</v>
      </c>
      <c r="HJ119" s="6">
        <v>0</v>
      </c>
      <c r="HK119" s="6">
        <v>0</v>
      </c>
      <c r="HL119" s="15"/>
      <c r="HM119" s="6" t="s">
        <v>873</v>
      </c>
      <c r="HN119" s="6"/>
      <c r="HO119" s="6" t="s">
        <v>2327</v>
      </c>
      <c r="HP119" s="6" t="s">
        <v>648</v>
      </c>
      <c r="HQ119" s="6"/>
      <c r="HR119" s="6" t="s">
        <v>2328</v>
      </c>
      <c r="HS119" s="6" t="s">
        <v>860</v>
      </c>
      <c r="HT119" s="6">
        <v>0</v>
      </c>
      <c r="HU119" s="6">
        <v>0</v>
      </c>
      <c r="HV119" s="6">
        <v>1</v>
      </c>
      <c r="HW119" s="6">
        <v>1</v>
      </c>
      <c r="HX119" s="6">
        <v>1</v>
      </c>
      <c r="HY119" s="6">
        <v>0</v>
      </c>
      <c r="HZ119" s="6"/>
      <c r="IA119" s="6" t="s">
        <v>2329</v>
      </c>
      <c r="IB119" s="6">
        <v>0</v>
      </c>
      <c r="IC119" s="6">
        <v>1</v>
      </c>
      <c r="ID119" s="6">
        <v>1</v>
      </c>
      <c r="IE119" s="6">
        <v>0</v>
      </c>
      <c r="IF119" s="6">
        <v>1</v>
      </c>
      <c r="IG119" s="6">
        <v>0</v>
      </c>
      <c r="IH119" s="15" t="s">
        <v>2330</v>
      </c>
      <c r="II119" s="6" t="s">
        <v>426</v>
      </c>
      <c r="IJ119" s="6" t="s">
        <v>543</v>
      </c>
      <c r="IK119" s="6">
        <v>0</v>
      </c>
      <c r="IL119" s="6">
        <v>1</v>
      </c>
      <c r="IM119" s="6">
        <v>0</v>
      </c>
      <c r="IN119" s="6"/>
      <c r="IO119" s="6" t="s">
        <v>473</v>
      </c>
      <c r="IP119" s="6">
        <v>1</v>
      </c>
      <c r="IQ119" s="6">
        <v>0</v>
      </c>
      <c r="IR119" s="6">
        <v>0</v>
      </c>
      <c r="IS119" s="6">
        <v>0</v>
      </c>
      <c r="IT119" s="6">
        <v>0</v>
      </c>
      <c r="IU119" s="6">
        <v>0</v>
      </c>
      <c r="IV119" s="6"/>
      <c r="IW119" s="6" t="s">
        <v>453</v>
      </c>
      <c r="IX119" s="6"/>
      <c r="IY119" s="6" t="s">
        <v>510</v>
      </c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 t="s">
        <v>453</v>
      </c>
      <c r="JK119" s="6" t="s">
        <v>453</v>
      </c>
      <c r="JL119" s="6"/>
      <c r="JM119" s="6"/>
      <c r="JN119" s="6"/>
      <c r="JO119" s="6"/>
      <c r="JP119" s="6"/>
      <c r="JQ119" s="6"/>
      <c r="JR119" s="6"/>
      <c r="JS119" s="6"/>
      <c r="JT119" s="6"/>
      <c r="JU119" s="6" t="s">
        <v>477</v>
      </c>
      <c r="JV119" s="15"/>
      <c r="JW119" s="94" t="s">
        <v>2331</v>
      </c>
      <c r="JX119" s="6" t="s">
        <v>2332</v>
      </c>
      <c r="JY119" s="6">
        <v>0.5920059</v>
      </c>
      <c r="JZ119" s="6">
        <v>34.4923312</v>
      </c>
      <c r="KA119" s="6">
        <v>1335.73828125</v>
      </c>
      <c r="KB119" s="15">
        <v>4.792</v>
      </c>
      <c r="KC119" s="15"/>
    </row>
    <row r="120" spans="1:289">
      <c r="A120" s="6" t="s">
        <v>547</v>
      </c>
      <c r="B120" s="6" t="s">
        <v>420</v>
      </c>
      <c r="C120" s="6" t="s">
        <v>1608</v>
      </c>
      <c r="D120" s="6" t="s">
        <v>1620</v>
      </c>
      <c r="E120" s="6" t="s">
        <v>2333</v>
      </c>
      <c r="F120" s="8" t="s">
        <v>483</v>
      </c>
      <c r="G120" s="6" t="s">
        <v>731</v>
      </c>
      <c r="H120" s="6" t="s">
        <v>517</v>
      </c>
      <c r="I120" s="15"/>
      <c r="J120" s="6" t="s">
        <v>426</v>
      </c>
      <c r="K120" s="6" t="s">
        <v>426</v>
      </c>
      <c r="L120" s="6" t="s">
        <v>426</v>
      </c>
      <c r="M120" s="6" t="s">
        <v>426</v>
      </c>
      <c r="N120" s="6" t="s">
        <v>426</v>
      </c>
      <c r="O120" s="6" t="s">
        <v>426</v>
      </c>
      <c r="P120" s="6" t="s">
        <v>426</v>
      </c>
      <c r="Q120" s="6" t="s">
        <v>426</v>
      </c>
      <c r="R120" s="6" t="s">
        <v>426</v>
      </c>
      <c r="S120" s="6" t="s">
        <v>426</v>
      </c>
      <c r="T120" s="6" t="s">
        <v>426</v>
      </c>
      <c r="U120" s="6" t="s">
        <v>426</v>
      </c>
      <c r="V120" s="6" t="s">
        <v>426</v>
      </c>
      <c r="W120" s="6" t="s">
        <v>426</v>
      </c>
      <c r="X120" s="6" t="s">
        <v>426</v>
      </c>
      <c r="Y120" s="6" t="s">
        <v>426</v>
      </c>
      <c r="Z120" s="6" t="s">
        <v>426</v>
      </c>
      <c r="AA120" s="6" t="s">
        <v>426</v>
      </c>
      <c r="AB120" s="6" t="s">
        <v>426</v>
      </c>
      <c r="AC120" s="15" t="s">
        <v>426</v>
      </c>
      <c r="AD120" s="6" t="s">
        <v>427</v>
      </c>
      <c r="AE120" s="6">
        <v>0</v>
      </c>
      <c r="AF120" s="6">
        <v>0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/>
      <c r="AN120" s="15"/>
      <c r="AO120" s="6" t="s">
        <v>426</v>
      </c>
      <c r="AP120" s="6" t="s">
        <v>683</v>
      </c>
      <c r="AQ120" s="6" t="s">
        <v>426</v>
      </c>
      <c r="AR120" s="6" t="s">
        <v>2304</v>
      </c>
      <c r="AS120" s="6" t="s">
        <v>426</v>
      </c>
      <c r="AT120" s="6">
        <v>0.4</v>
      </c>
      <c r="AU120" s="6" t="s">
        <v>453</v>
      </c>
      <c r="AV120" s="6"/>
      <c r="AW120" s="6" t="s">
        <v>426</v>
      </c>
      <c r="AX120" s="6">
        <v>0.8</v>
      </c>
      <c r="AY120" s="6" t="s">
        <v>426</v>
      </c>
      <c r="AZ120" s="6">
        <v>1</v>
      </c>
      <c r="BA120" s="6" t="s">
        <v>426</v>
      </c>
      <c r="BB120" s="6">
        <v>0.8</v>
      </c>
      <c r="BC120" s="6" t="s">
        <v>426</v>
      </c>
      <c r="BD120" s="6">
        <v>0.4</v>
      </c>
      <c r="BE120" s="6" t="s">
        <v>426</v>
      </c>
      <c r="BF120" s="6">
        <v>3</v>
      </c>
      <c r="BG120" s="6" t="s">
        <v>426</v>
      </c>
      <c r="BH120" s="6">
        <v>0.2</v>
      </c>
      <c r="BI120" s="6" t="s">
        <v>426</v>
      </c>
      <c r="BJ120" s="6">
        <v>0.8</v>
      </c>
      <c r="BK120" s="6" t="s">
        <v>453</v>
      </c>
      <c r="BL120" s="6"/>
      <c r="BM120" s="6" t="s">
        <v>426</v>
      </c>
      <c r="BN120" s="6">
        <v>20</v>
      </c>
      <c r="BO120" s="6" t="s">
        <v>426</v>
      </c>
      <c r="BP120" s="6">
        <v>0.4</v>
      </c>
      <c r="BQ120" s="6" t="s">
        <v>426</v>
      </c>
      <c r="BR120" s="6">
        <v>100</v>
      </c>
      <c r="BS120" s="6" t="s">
        <v>426</v>
      </c>
      <c r="BT120" s="6">
        <v>5</v>
      </c>
      <c r="BU120" s="6" t="s">
        <v>426</v>
      </c>
      <c r="BV120" s="15">
        <v>0.8</v>
      </c>
      <c r="BW120" s="15" t="s">
        <v>518</v>
      </c>
      <c r="BX120" s="15" t="s">
        <v>429</v>
      </c>
      <c r="BY120" s="6" t="s">
        <v>430</v>
      </c>
      <c r="BZ120" s="6" t="s">
        <v>430</v>
      </c>
      <c r="CA120" s="6" t="s">
        <v>431</v>
      </c>
      <c r="CB120" s="6" t="s">
        <v>431</v>
      </c>
      <c r="CC120" s="6" t="s">
        <v>430</v>
      </c>
      <c r="CD120" s="6" t="s">
        <v>430</v>
      </c>
      <c r="CE120" s="6" t="s">
        <v>430</v>
      </c>
      <c r="CF120" s="6" t="s">
        <v>430</v>
      </c>
      <c r="CG120" s="6" t="s">
        <v>430</v>
      </c>
      <c r="CH120" s="6" t="s">
        <v>430</v>
      </c>
      <c r="CI120" s="6" t="s">
        <v>430</v>
      </c>
      <c r="CJ120" s="6" t="s">
        <v>430</v>
      </c>
      <c r="CK120" s="6" t="s">
        <v>430</v>
      </c>
      <c r="CL120" s="6" t="s">
        <v>430</v>
      </c>
      <c r="CM120" s="6" t="s">
        <v>430</v>
      </c>
      <c r="CN120" s="6" t="s">
        <v>430</v>
      </c>
      <c r="CO120" s="15" t="s">
        <v>430</v>
      </c>
      <c r="CP120" s="15" t="s">
        <v>432</v>
      </c>
      <c r="CQ120" s="6" t="s">
        <v>433</v>
      </c>
      <c r="CR120" s="15"/>
      <c r="CS120" s="6" t="s">
        <v>426</v>
      </c>
      <c r="CT120" s="6" t="s">
        <v>2334</v>
      </c>
      <c r="CU120" s="6" t="s">
        <v>1087</v>
      </c>
      <c r="CV120" s="6" t="s">
        <v>825</v>
      </c>
      <c r="CW120" s="6" t="s">
        <v>2155</v>
      </c>
      <c r="CX120" s="15" t="s">
        <v>426</v>
      </c>
      <c r="CY120" s="6" t="s">
        <v>426</v>
      </c>
      <c r="CZ120" s="6" t="s">
        <v>2335</v>
      </c>
      <c r="DA120" s="6" t="s">
        <v>1291</v>
      </c>
      <c r="DB120" s="6" t="s">
        <v>1091</v>
      </c>
      <c r="DC120" s="6" t="s">
        <v>737</v>
      </c>
      <c r="DD120" s="15" t="s">
        <v>1291</v>
      </c>
      <c r="DE120" s="15" t="s">
        <v>436</v>
      </c>
      <c r="DF120" s="6" t="s">
        <v>522</v>
      </c>
      <c r="DG120" s="6">
        <v>0</v>
      </c>
      <c r="DH120" s="6">
        <v>1</v>
      </c>
      <c r="DI120" s="6">
        <v>0</v>
      </c>
      <c r="DJ120" s="6">
        <v>0</v>
      </c>
      <c r="DK120" s="6">
        <v>0</v>
      </c>
      <c r="DL120" s="6">
        <v>0</v>
      </c>
      <c r="DM120" s="6"/>
      <c r="DN120" s="6"/>
      <c r="DO120" s="6"/>
      <c r="DP120" s="6"/>
      <c r="DQ120" s="6"/>
      <c r="DR120" s="6"/>
      <c r="DS120" s="6"/>
      <c r="DT120" s="66"/>
      <c r="DU120" s="6" t="s">
        <v>438</v>
      </c>
      <c r="DV120" s="6" t="s">
        <v>426</v>
      </c>
      <c r="DW120" s="6" t="s">
        <v>490</v>
      </c>
      <c r="DX120" s="6" t="s">
        <v>440</v>
      </c>
      <c r="DY120" s="6"/>
      <c r="DZ120" s="6" t="s">
        <v>810</v>
      </c>
      <c r="EA120" s="6">
        <v>0</v>
      </c>
      <c r="EB120" s="6">
        <v>1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/>
      <c r="EJ120" s="6" t="s">
        <v>1692</v>
      </c>
      <c r="EK120" s="6">
        <v>0</v>
      </c>
      <c r="EL120" s="6">
        <v>0</v>
      </c>
      <c r="EM120" s="6">
        <v>1</v>
      </c>
      <c r="EN120" s="6">
        <v>0</v>
      </c>
      <c r="EO120" s="6">
        <v>0</v>
      </c>
      <c r="EP120" s="6">
        <v>0</v>
      </c>
      <c r="EQ120" s="6">
        <v>0</v>
      </c>
      <c r="ER120" s="6">
        <v>0</v>
      </c>
      <c r="ES120" s="6">
        <v>0</v>
      </c>
      <c r="ET120" s="6"/>
      <c r="EU120" s="6" t="s">
        <v>443</v>
      </c>
      <c r="EV120" s="6" t="s">
        <v>616</v>
      </c>
      <c r="EW120" s="6"/>
      <c r="EX120" s="6" t="s">
        <v>1123</v>
      </c>
      <c r="EY120" s="6">
        <v>1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/>
      <c r="FH120" s="6" t="s">
        <v>555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Q120" s="6">
        <v>1</v>
      </c>
      <c r="FR120" s="6">
        <v>0</v>
      </c>
      <c r="FS120" s="6"/>
      <c r="FT120" s="6" t="s">
        <v>556</v>
      </c>
      <c r="FU120" s="6" t="s">
        <v>499</v>
      </c>
      <c r="FV120" s="6"/>
      <c r="FW120" s="6" t="s">
        <v>449</v>
      </c>
      <c r="FX120" s="15" t="s">
        <v>450</v>
      </c>
      <c r="FY120" s="6" t="s">
        <v>451</v>
      </c>
      <c r="FZ120" s="6"/>
      <c r="GA120" s="6" t="s">
        <v>450</v>
      </c>
      <c r="GB120" s="6" t="s">
        <v>501</v>
      </c>
      <c r="GC120" s="6" t="s">
        <v>453</v>
      </c>
      <c r="GD120" s="6"/>
      <c r="GE120" s="6" t="s">
        <v>454</v>
      </c>
      <c r="GF120" s="6" t="s">
        <v>2336</v>
      </c>
      <c r="GG120" s="6" t="s">
        <v>456</v>
      </c>
      <c r="GH120" s="15" t="s">
        <v>2337</v>
      </c>
      <c r="GI120" s="6" t="s">
        <v>458</v>
      </c>
      <c r="GJ120" s="6" t="s">
        <v>2338</v>
      </c>
      <c r="GK120" s="6" t="s">
        <v>460</v>
      </c>
      <c r="GL120" s="6" t="s">
        <v>461</v>
      </c>
      <c r="GM120" s="6">
        <v>0</v>
      </c>
      <c r="GN120" s="6">
        <v>0</v>
      </c>
      <c r="GO120" s="6">
        <v>0</v>
      </c>
      <c r="GP120" s="6">
        <v>0</v>
      </c>
      <c r="GQ120" s="6">
        <v>0</v>
      </c>
      <c r="GR120" s="6">
        <v>1</v>
      </c>
      <c r="GS120" s="6">
        <v>0</v>
      </c>
      <c r="GT120" s="6"/>
      <c r="GU120" s="6" t="s">
        <v>534</v>
      </c>
      <c r="GV120" s="6" t="s">
        <v>559</v>
      </c>
      <c r="GW120" s="6" t="s">
        <v>464</v>
      </c>
      <c r="GX120" s="6">
        <v>1</v>
      </c>
      <c r="GY120" s="6">
        <v>0</v>
      </c>
      <c r="GZ120" s="6">
        <v>0</v>
      </c>
      <c r="HA120" s="6">
        <v>0</v>
      </c>
      <c r="HB120" s="6">
        <v>0</v>
      </c>
      <c r="HC120" s="6">
        <v>0</v>
      </c>
      <c r="HD120" s="6"/>
      <c r="HE120" s="6" t="s">
        <v>646</v>
      </c>
      <c r="HF120" s="6">
        <v>0</v>
      </c>
      <c r="HG120" s="6">
        <v>0</v>
      </c>
      <c r="HH120" s="6">
        <v>1</v>
      </c>
      <c r="HI120" s="6">
        <v>0</v>
      </c>
      <c r="HJ120" s="6">
        <v>0</v>
      </c>
      <c r="HK120" s="6">
        <v>0</v>
      </c>
      <c r="HL120" s="15"/>
      <c r="HM120" s="6" t="s">
        <v>1016</v>
      </c>
      <c r="HN120" s="6"/>
      <c r="HO120" s="6" t="s">
        <v>2339</v>
      </c>
      <c r="HP120" s="6" t="s">
        <v>561</v>
      </c>
      <c r="HQ120" s="6"/>
      <c r="HR120" s="6" t="s">
        <v>2340</v>
      </c>
      <c r="HS120" s="6" t="s">
        <v>470</v>
      </c>
      <c r="HT120" s="6">
        <v>0</v>
      </c>
      <c r="HU120" s="6">
        <v>0</v>
      </c>
      <c r="HV120" s="6">
        <v>0</v>
      </c>
      <c r="HW120" s="6">
        <v>0</v>
      </c>
      <c r="HX120" s="6">
        <v>1</v>
      </c>
      <c r="HY120" s="6">
        <v>0</v>
      </c>
      <c r="HZ120" s="6"/>
      <c r="IA120" s="6" t="s">
        <v>112</v>
      </c>
      <c r="IB120" s="6">
        <v>0</v>
      </c>
      <c r="IC120" s="6">
        <v>1</v>
      </c>
      <c r="ID120" s="6">
        <v>0</v>
      </c>
      <c r="IE120" s="6">
        <v>0</v>
      </c>
      <c r="IF120" s="6">
        <v>0</v>
      </c>
      <c r="IG120" s="6">
        <v>0</v>
      </c>
      <c r="IH120" s="15" t="s">
        <v>2341</v>
      </c>
      <c r="II120" s="6" t="s">
        <v>426</v>
      </c>
      <c r="IJ120" s="6" t="s">
        <v>472</v>
      </c>
      <c r="IK120" s="6">
        <v>1</v>
      </c>
      <c r="IL120" s="6">
        <v>0</v>
      </c>
      <c r="IM120" s="6">
        <v>0</v>
      </c>
      <c r="IN120" s="6"/>
      <c r="IO120" s="6" t="s">
        <v>473</v>
      </c>
      <c r="IP120" s="6">
        <v>1</v>
      </c>
      <c r="IQ120" s="6">
        <v>0</v>
      </c>
      <c r="IR120" s="6">
        <v>0</v>
      </c>
      <c r="IS120" s="6">
        <v>0</v>
      </c>
      <c r="IT120" s="6">
        <v>0</v>
      </c>
      <c r="IU120" s="6">
        <v>0</v>
      </c>
      <c r="IV120" s="6"/>
      <c r="IW120" s="6" t="s">
        <v>453</v>
      </c>
      <c r="IX120" s="6"/>
      <c r="IY120" s="6" t="s">
        <v>510</v>
      </c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 t="s">
        <v>426</v>
      </c>
      <c r="JK120" s="6" t="s">
        <v>453</v>
      </c>
      <c r="JL120" s="6"/>
      <c r="JM120" s="6"/>
      <c r="JN120" s="6"/>
      <c r="JO120" s="6"/>
      <c r="JP120" s="6"/>
      <c r="JQ120" s="6"/>
      <c r="JR120" s="6"/>
      <c r="JS120" s="6"/>
      <c r="JT120" s="6"/>
      <c r="JU120" s="6" t="s">
        <v>477</v>
      </c>
      <c r="JV120" s="15"/>
      <c r="JW120" s="94" t="s">
        <v>2342</v>
      </c>
      <c r="JX120" s="6" t="s">
        <v>2343</v>
      </c>
      <c r="JY120" s="6">
        <v>0.615435</v>
      </c>
      <c r="JZ120" s="6">
        <v>34.4852233</v>
      </c>
      <c r="KA120" s="6">
        <v>1386.2</v>
      </c>
      <c r="KB120" s="15">
        <v>4.233</v>
      </c>
      <c r="KC120" s="15"/>
    </row>
    <row r="121" spans="1:289">
      <c r="A121" s="6" t="s">
        <v>419</v>
      </c>
      <c r="B121" s="6" t="s">
        <v>420</v>
      </c>
      <c r="C121" s="6" t="s">
        <v>1608</v>
      </c>
      <c r="D121" s="6" t="s">
        <v>2344</v>
      </c>
      <c r="E121" s="6" t="s">
        <v>2345</v>
      </c>
      <c r="F121" s="8" t="s">
        <v>483</v>
      </c>
      <c r="G121" s="6" t="s">
        <v>567</v>
      </c>
      <c r="H121" s="6" t="s">
        <v>425</v>
      </c>
      <c r="I121" s="15"/>
      <c r="J121" s="6" t="s">
        <v>426</v>
      </c>
      <c r="K121" s="6" t="s">
        <v>426</v>
      </c>
      <c r="L121" s="6" t="s">
        <v>426</v>
      </c>
      <c r="M121" s="6" t="s">
        <v>426</v>
      </c>
      <c r="N121" s="6" t="s">
        <v>426</v>
      </c>
      <c r="O121" s="6" t="s">
        <v>426</v>
      </c>
      <c r="P121" s="6" t="s">
        <v>426</v>
      </c>
      <c r="Q121" s="6" t="s">
        <v>426</v>
      </c>
      <c r="R121" s="6" t="s">
        <v>426</v>
      </c>
      <c r="S121" s="6" t="s">
        <v>426</v>
      </c>
      <c r="T121" s="6" t="s">
        <v>426</v>
      </c>
      <c r="U121" s="6" t="s">
        <v>426</v>
      </c>
      <c r="V121" s="6" t="s">
        <v>426</v>
      </c>
      <c r="W121" s="6" t="s">
        <v>426</v>
      </c>
      <c r="X121" s="6" t="s">
        <v>426</v>
      </c>
      <c r="Y121" s="6" t="s">
        <v>426</v>
      </c>
      <c r="Z121" s="6" t="s">
        <v>426</v>
      </c>
      <c r="AA121" s="6" t="s">
        <v>426</v>
      </c>
      <c r="AB121" s="6" t="s">
        <v>426</v>
      </c>
      <c r="AC121" s="15" t="s">
        <v>426</v>
      </c>
      <c r="AD121" s="6" t="s">
        <v>427</v>
      </c>
      <c r="AE121" s="6">
        <v>0</v>
      </c>
      <c r="AF121" s="6">
        <v>0</v>
      </c>
      <c r="AG121" s="6">
        <v>0</v>
      </c>
      <c r="AH121" s="6">
        <v>1</v>
      </c>
      <c r="AI121" s="6">
        <v>0</v>
      </c>
      <c r="AJ121" s="6">
        <v>0</v>
      </c>
      <c r="AK121" s="6">
        <v>0</v>
      </c>
      <c r="AL121" s="6">
        <v>0</v>
      </c>
      <c r="AM121" s="6"/>
      <c r="AN121" s="15"/>
      <c r="AO121" s="6" t="s">
        <v>426</v>
      </c>
      <c r="AP121" s="6" t="s">
        <v>683</v>
      </c>
      <c r="AQ121" s="6" t="s">
        <v>426</v>
      </c>
      <c r="AR121" s="6" t="s">
        <v>823</v>
      </c>
      <c r="AS121" s="6" t="s">
        <v>426</v>
      </c>
      <c r="AT121" s="6">
        <v>0.2</v>
      </c>
      <c r="AU121" s="6" t="s">
        <v>426</v>
      </c>
      <c r="AV121" s="6">
        <v>0.2</v>
      </c>
      <c r="AW121" s="6" t="s">
        <v>426</v>
      </c>
      <c r="AX121" s="6">
        <v>0.2</v>
      </c>
      <c r="AY121" s="6" t="s">
        <v>426</v>
      </c>
      <c r="AZ121" s="6">
        <v>1</v>
      </c>
      <c r="BA121" s="6" t="s">
        <v>426</v>
      </c>
      <c r="BB121" s="6">
        <v>0.2</v>
      </c>
      <c r="BC121" s="6" t="s">
        <v>426</v>
      </c>
      <c r="BD121" s="6">
        <v>1</v>
      </c>
      <c r="BE121" s="6" t="s">
        <v>426</v>
      </c>
      <c r="BF121" s="6">
        <v>10</v>
      </c>
      <c r="BG121" s="6" t="s">
        <v>426</v>
      </c>
      <c r="BH121" s="6">
        <v>0.75</v>
      </c>
      <c r="BI121" s="6" t="s">
        <v>426</v>
      </c>
      <c r="BJ121" s="6">
        <v>0.2</v>
      </c>
      <c r="BK121" s="6" t="s">
        <v>426</v>
      </c>
      <c r="BL121" s="6">
        <v>0.2</v>
      </c>
      <c r="BM121" s="6" t="s">
        <v>426</v>
      </c>
      <c r="BN121" s="6">
        <v>20</v>
      </c>
      <c r="BO121" s="6" t="s">
        <v>426</v>
      </c>
      <c r="BP121" s="6">
        <v>0.75</v>
      </c>
      <c r="BQ121" s="6" t="s">
        <v>426</v>
      </c>
      <c r="BR121" s="6">
        <v>120</v>
      </c>
      <c r="BS121" s="6" t="s">
        <v>426</v>
      </c>
      <c r="BT121" s="6">
        <v>7</v>
      </c>
      <c r="BU121" s="6" t="s">
        <v>426</v>
      </c>
      <c r="BV121" s="15">
        <v>0.75</v>
      </c>
      <c r="BW121" s="15" t="s">
        <v>428</v>
      </c>
      <c r="BX121" s="15" t="s">
        <v>429</v>
      </c>
      <c r="BY121" s="6" t="s">
        <v>430</v>
      </c>
      <c r="BZ121" s="6" t="s">
        <v>430</v>
      </c>
      <c r="CA121" s="6" t="s">
        <v>430</v>
      </c>
      <c r="CB121" s="6" t="s">
        <v>431</v>
      </c>
      <c r="CC121" s="6" t="s">
        <v>430</v>
      </c>
      <c r="CD121" s="6" t="s">
        <v>431</v>
      </c>
      <c r="CE121" s="6" t="s">
        <v>431</v>
      </c>
      <c r="CF121" s="6" t="s">
        <v>430</v>
      </c>
      <c r="CG121" s="6" t="s">
        <v>431</v>
      </c>
      <c r="CH121" s="6" t="s">
        <v>431</v>
      </c>
      <c r="CI121" s="6" t="s">
        <v>430</v>
      </c>
      <c r="CJ121" s="6" t="s">
        <v>430</v>
      </c>
      <c r="CK121" s="6" t="s">
        <v>430</v>
      </c>
      <c r="CL121" s="6" t="s">
        <v>430</v>
      </c>
      <c r="CM121" s="6" t="s">
        <v>430</v>
      </c>
      <c r="CN121" s="6" t="s">
        <v>431</v>
      </c>
      <c r="CO121" s="15" t="s">
        <v>430</v>
      </c>
      <c r="CP121" s="15" t="s">
        <v>432</v>
      </c>
      <c r="CQ121" s="6" t="s">
        <v>433</v>
      </c>
      <c r="CR121" s="15"/>
      <c r="CS121" s="6" t="s">
        <v>426</v>
      </c>
      <c r="CT121" s="6" t="s">
        <v>2346</v>
      </c>
      <c r="CU121" s="6" t="s">
        <v>1367</v>
      </c>
      <c r="CV121" s="6" t="s">
        <v>737</v>
      </c>
      <c r="CW121" s="6" t="s">
        <v>1866</v>
      </c>
      <c r="CX121" s="15" t="s">
        <v>426</v>
      </c>
      <c r="CY121" s="6" t="s">
        <v>426</v>
      </c>
      <c r="CZ121" s="6" t="s">
        <v>2347</v>
      </c>
      <c r="DA121" s="6" t="s">
        <v>736</v>
      </c>
      <c r="DB121" s="6" t="s">
        <v>688</v>
      </c>
      <c r="DC121" s="6" t="s">
        <v>733</v>
      </c>
      <c r="DD121" s="15" t="s">
        <v>990</v>
      </c>
      <c r="DE121" s="15" t="s">
        <v>521</v>
      </c>
      <c r="DF121" s="6" t="s">
        <v>611</v>
      </c>
      <c r="DG121" s="6">
        <v>1</v>
      </c>
      <c r="DH121" s="6">
        <v>1</v>
      </c>
      <c r="DI121" s="6">
        <v>0</v>
      </c>
      <c r="DJ121" s="6">
        <v>0</v>
      </c>
      <c r="DK121" s="6">
        <v>0</v>
      </c>
      <c r="DL121" s="6">
        <v>0</v>
      </c>
      <c r="DM121" s="6"/>
      <c r="DN121" s="6"/>
      <c r="DO121" s="6"/>
      <c r="DP121" s="6"/>
      <c r="DQ121" s="6"/>
      <c r="DR121" s="6"/>
      <c r="DS121" s="6"/>
      <c r="DT121" s="66"/>
      <c r="DU121" s="6" t="s">
        <v>438</v>
      </c>
      <c r="DV121" s="6" t="s">
        <v>426</v>
      </c>
      <c r="DW121" s="6" t="s">
        <v>439</v>
      </c>
      <c r="DX121" s="6" t="s">
        <v>491</v>
      </c>
      <c r="DY121" s="6"/>
      <c r="DZ121" s="6" t="s">
        <v>940</v>
      </c>
      <c r="EA121" s="6">
        <v>1</v>
      </c>
      <c r="EB121" s="6">
        <v>1</v>
      </c>
      <c r="EC121" s="6">
        <v>1</v>
      </c>
      <c r="ED121" s="6">
        <v>1</v>
      </c>
      <c r="EE121" s="6">
        <v>0</v>
      </c>
      <c r="EF121" s="6">
        <v>0</v>
      </c>
      <c r="EG121" s="6">
        <v>0</v>
      </c>
      <c r="EH121" s="6">
        <v>0</v>
      </c>
      <c r="EI121" s="6"/>
      <c r="EJ121" s="6" t="s">
        <v>697</v>
      </c>
      <c r="EK121" s="6">
        <v>1</v>
      </c>
      <c r="EL121" s="6">
        <v>1</v>
      </c>
      <c r="EM121" s="6">
        <v>1</v>
      </c>
      <c r="EN121" s="6">
        <v>1</v>
      </c>
      <c r="EO121" s="6">
        <v>1</v>
      </c>
      <c r="EP121" s="6">
        <v>1</v>
      </c>
      <c r="EQ121" s="6">
        <v>0</v>
      </c>
      <c r="ER121" s="6">
        <v>0</v>
      </c>
      <c r="ES121" s="6">
        <v>0</v>
      </c>
      <c r="ET121" s="6"/>
      <c r="EU121" s="6" t="s">
        <v>494</v>
      </c>
      <c r="EV121" s="6" t="s">
        <v>495</v>
      </c>
      <c r="EW121" s="6"/>
      <c r="EX121" s="6" t="s">
        <v>445</v>
      </c>
      <c r="EY121" s="6">
        <v>0</v>
      </c>
      <c r="EZ121" s="6">
        <v>0</v>
      </c>
      <c r="FA121" s="6">
        <v>1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/>
      <c r="FH121" s="6" t="s">
        <v>446</v>
      </c>
      <c r="FI121" s="6">
        <v>1</v>
      </c>
      <c r="FJ121" s="6">
        <v>0</v>
      </c>
      <c r="FK121" s="6">
        <v>0</v>
      </c>
      <c r="FL121" s="6">
        <v>0</v>
      </c>
      <c r="FM121" s="6">
        <v>1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/>
      <c r="FT121" s="6" t="s">
        <v>447</v>
      </c>
      <c r="FU121" s="6" t="s">
        <v>448</v>
      </c>
      <c r="FV121" s="6"/>
      <c r="FW121" s="6" t="s">
        <v>449</v>
      </c>
      <c r="FX121" s="15" t="s">
        <v>528</v>
      </c>
      <c r="FY121" s="6" t="s">
        <v>451</v>
      </c>
      <c r="FZ121" s="6"/>
      <c r="GA121" s="6" t="s">
        <v>450</v>
      </c>
      <c r="GB121" s="6" t="s">
        <v>452</v>
      </c>
      <c r="GC121" s="6" t="s">
        <v>453</v>
      </c>
      <c r="GD121" s="6"/>
      <c r="GE121" s="6" t="s">
        <v>454</v>
      </c>
      <c r="GF121" s="6" t="s">
        <v>2348</v>
      </c>
      <c r="GG121" s="6" t="s">
        <v>456</v>
      </c>
      <c r="GH121" s="15" t="s">
        <v>2349</v>
      </c>
      <c r="GI121" s="6" t="s">
        <v>458</v>
      </c>
      <c r="GJ121" s="6" t="s">
        <v>2350</v>
      </c>
      <c r="GK121" s="6" t="s">
        <v>460</v>
      </c>
      <c r="GL121" s="6" t="s">
        <v>461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1</v>
      </c>
      <c r="GS121" s="6">
        <v>0</v>
      </c>
      <c r="GT121" s="6"/>
      <c r="GU121" s="6" t="s">
        <v>462</v>
      </c>
      <c r="GV121" s="6" t="s">
        <v>463</v>
      </c>
      <c r="GW121" s="6" t="s">
        <v>464</v>
      </c>
      <c r="GX121" s="6">
        <v>1</v>
      </c>
      <c r="GY121" s="6">
        <v>0</v>
      </c>
      <c r="GZ121" s="6">
        <v>0</v>
      </c>
      <c r="HA121" s="6">
        <v>0</v>
      </c>
      <c r="HB121" s="6">
        <v>0</v>
      </c>
      <c r="HC121" s="6">
        <v>0</v>
      </c>
      <c r="HD121" s="6"/>
      <c r="HE121" s="6" t="s">
        <v>535</v>
      </c>
      <c r="HF121" s="6">
        <v>1</v>
      </c>
      <c r="HG121" s="6">
        <v>0</v>
      </c>
      <c r="HH121" s="6">
        <v>0</v>
      </c>
      <c r="HI121" s="6">
        <v>0</v>
      </c>
      <c r="HJ121" s="6">
        <v>0</v>
      </c>
      <c r="HK121" s="6">
        <v>0</v>
      </c>
      <c r="HL121" s="15"/>
      <c r="HM121" s="6" t="s">
        <v>466</v>
      </c>
      <c r="HN121" s="6"/>
      <c r="HO121" s="6" t="s">
        <v>2351</v>
      </c>
      <c r="HP121" s="6" t="s">
        <v>468</v>
      </c>
      <c r="HQ121" s="6"/>
      <c r="HR121" s="6" t="s">
        <v>2352</v>
      </c>
      <c r="HS121" s="6" t="s">
        <v>470</v>
      </c>
      <c r="HT121" s="6">
        <v>0</v>
      </c>
      <c r="HU121" s="6">
        <v>0</v>
      </c>
      <c r="HV121" s="6">
        <v>0</v>
      </c>
      <c r="HW121" s="6">
        <v>0</v>
      </c>
      <c r="HX121" s="6">
        <v>1</v>
      </c>
      <c r="HY121" s="6">
        <v>0</v>
      </c>
      <c r="HZ121" s="6"/>
      <c r="IA121" s="6" t="s">
        <v>947</v>
      </c>
      <c r="IB121" s="6">
        <v>1</v>
      </c>
      <c r="IC121" s="6">
        <v>0</v>
      </c>
      <c r="ID121" s="6">
        <v>1</v>
      </c>
      <c r="IE121" s="6">
        <v>0</v>
      </c>
      <c r="IF121" s="6">
        <v>0</v>
      </c>
      <c r="IG121" s="6">
        <v>0</v>
      </c>
      <c r="IH121" s="15" t="s">
        <v>2353</v>
      </c>
      <c r="II121" s="6" t="s">
        <v>426</v>
      </c>
      <c r="IJ121" s="6" t="s">
        <v>472</v>
      </c>
      <c r="IK121" s="6">
        <v>1</v>
      </c>
      <c r="IL121" s="6">
        <v>0</v>
      </c>
      <c r="IM121" s="6">
        <v>0</v>
      </c>
      <c r="IN121" s="6"/>
      <c r="IO121" s="6" t="s">
        <v>473</v>
      </c>
      <c r="IP121" s="6">
        <v>1</v>
      </c>
      <c r="IQ121" s="6">
        <v>0</v>
      </c>
      <c r="IR121" s="6">
        <v>0</v>
      </c>
      <c r="IS121" s="6">
        <v>0</v>
      </c>
      <c r="IT121" s="6">
        <v>0</v>
      </c>
      <c r="IU121" s="6">
        <v>0</v>
      </c>
      <c r="IV121" s="6"/>
      <c r="IW121" s="6" t="s">
        <v>426</v>
      </c>
      <c r="IX121" s="6">
        <v>1</v>
      </c>
      <c r="IY121" s="6" t="s">
        <v>474</v>
      </c>
      <c r="IZ121" s="6" t="s">
        <v>475</v>
      </c>
      <c r="JA121" s="6" t="s">
        <v>426</v>
      </c>
      <c r="JB121" s="6" t="s">
        <v>476</v>
      </c>
      <c r="JC121" s="6"/>
      <c r="JD121" s="6"/>
      <c r="JE121" s="6"/>
      <c r="JF121" s="6"/>
      <c r="JG121" s="6"/>
      <c r="JH121" s="6"/>
      <c r="JI121" s="6"/>
      <c r="JJ121" s="6"/>
      <c r="JK121" s="6" t="s">
        <v>426</v>
      </c>
      <c r="JL121" s="6" t="s">
        <v>426</v>
      </c>
      <c r="JM121" s="6"/>
      <c r="JN121" s="6"/>
      <c r="JO121" s="6"/>
      <c r="JP121" s="6"/>
      <c r="JQ121" s="6"/>
      <c r="JR121" s="6"/>
      <c r="JS121" s="6"/>
      <c r="JT121" s="6"/>
      <c r="JU121" s="6" t="s">
        <v>477</v>
      </c>
      <c r="JV121" s="15"/>
      <c r="JW121" s="94" t="s">
        <v>2354</v>
      </c>
      <c r="JX121" s="6" t="s">
        <v>2355</v>
      </c>
      <c r="JY121" s="6">
        <v>0.5971067</v>
      </c>
      <c r="JZ121" s="6">
        <v>34.4662433</v>
      </c>
      <c r="KA121" s="6">
        <v>1321.3</v>
      </c>
      <c r="KB121" s="15">
        <v>4.75</v>
      </c>
      <c r="KC121" s="15"/>
    </row>
    <row r="122" spans="1:289">
      <c r="A122" s="6" t="s">
        <v>581</v>
      </c>
      <c r="B122" s="6" t="s">
        <v>420</v>
      </c>
      <c r="C122" s="6" t="s">
        <v>1608</v>
      </c>
      <c r="D122" s="6" t="s">
        <v>1655</v>
      </c>
      <c r="E122" s="6" t="s">
        <v>2356</v>
      </c>
      <c r="F122" s="8" t="s">
        <v>483</v>
      </c>
      <c r="G122" s="6" t="s">
        <v>424</v>
      </c>
      <c r="H122" s="6" t="s">
        <v>425</v>
      </c>
      <c r="I122" s="15"/>
      <c r="J122" s="6" t="s">
        <v>426</v>
      </c>
      <c r="K122" s="6" t="s">
        <v>426</v>
      </c>
      <c r="L122" s="6" t="s">
        <v>426</v>
      </c>
      <c r="M122" s="6" t="s">
        <v>426</v>
      </c>
      <c r="N122" s="6" t="s">
        <v>426</v>
      </c>
      <c r="O122" s="6" t="s">
        <v>426</v>
      </c>
      <c r="P122" s="6" t="s">
        <v>426</v>
      </c>
      <c r="Q122" s="6" t="s">
        <v>426</v>
      </c>
      <c r="R122" s="6" t="s">
        <v>426</v>
      </c>
      <c r="S122" s="6" t="s">
        <v>426</v>
      </c>
      <c r="T122" s="6" t="s">
        <v>426</v>
      </c>
      <c r="U122" s="6" t="s">
        <v>426</v>
      </c>
      <c r="V122" s="6" t="s">
        <v>426</v>
      </c>
      <c r="W122" s="6" t="s">
        <v>426</v>
      </c>
      <c r="X122" s="6" t="s">
        <v>426</v>
      </c>
      <c r="Y122" s="6" t="s">
        <v>426</v>
      </c>
      <c r="Z122" s="6" t="s">
        <v>426</v>
      </c>
      <c r="AA122" s="6" t="s">
        <v>426</v>
      </c>
      <c r="AB122" s="6" t="s">
        <v>426</v>
      </c>
      <c r="AC122" s="15" t="s">
        <v>426</v>
      </c>
      <c r="AD122" s="6" t="s">
        <v>711</v>
      </c>
      <c r="AE122" s="6">
        <v>0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1</v>
      </c>
      <c r="AL122" s="6">
        <v>0</v>
      </c>
      <c r="AM122" s="6"/>
      <c r="AN122" s="15"/>
      <c r="AO122" s="6" t="s">
        <v>426</v>
      </c>
      <c r="AP122" s="6" t="s">
        <v>761</v>
      </c>
      <c r="AQ122" s="6" t="s">
        <v>426</v>
      </c>
      <c r="AR122" s="6" t="s">
        <v>683</v>
      </c>
      <c r="AS122" s="6" t="s">
        <v>426</v>
      </c>
      <c r="AT122" s="6">
        <v>1</v>
      </c>
      <c r="AU122" s="6" t="s">
        <v>426</v>
      </c>
      <c r="AV122" s="6">
        <v>1</v>
      </c>
      <c r="AW122" s="6" t="s">
        <v>426</v>
      </c>
      <c r="AX122" s="6">
        <v>1</v>
      </c>
      <c r="AY122" s="6" t="s">
        <v>426</v>
      </c>
      <c r="AZ122" s="6">
        <v>1</v>
      </c>
      <c r="BA122" s="6" t="s">
        <v>426</v>
      </c>
      <c r="BB122" s="6">
        <v>1</v>
      </c>
      <c r="BC122" s="6" t="s">
        <v>426</v>
      </c>
      <c r="BD122" s="6">
        <v>1</v>
      </c>
      <c r="BE122" s="6" t="s">
        <v>426</v>
      </c>
      <c r="BF122" s="6">
        <v>3</v>
      </c>
      <c r="BG122" s="6" t="s">
        <v>426</v>
      </c>
      <c r="BH122" s="6">
        <v>1</v>
      </c>
      <c r="BI122" s="6" t="s">
        <v>426</v>
      </c>
      <c r="BJ122" s="6">
        <v>1</v>
      </c>
      <c r="BK122" s="6" t="s">
        <v>426</v>
      </c>
      <c r="BL122" s="6">
        <v>2</v>
      </c>
      <c r="BM122" s="6" t="s">
        <v>426</v>
      </c>
      <c r="BN122" s="6">
        <v>50</v>
      </c>
      <c r="BO122" s="6" t="s">
        <v>426</v>
      </c>
      <c r="BP122" s="6">
        <v>1</v>
      </c>
      <c r="BQ122" s="6" t="s">
        <v>426</v>
      </c>
      <c r="BR122" s="6">
        <v>800</v>
      </c>
      <c r="BS122" s="6" t="s">
        <v>426</v>
      </c>
      <c r="BT122" s="6">
        <v>15</v>
      </c>
      <c r="BU122" s="6" t="s">
        <v>426</v>
      </c>
      <c r="BV122" s="15">
        <v>1</v>
      </c>
      <c r="BW122" s="15" t="s">
        <v>518</v>
      </c>
      <c r="BX122" s="15" t="s">
        <v>429</v>
      </c>
      <c r="BY122" s="6" t="s">
        <v>430</v>
      </c>
      <c r="BZ122" s="6" t="s">
        <v>430</v>
      </c>
      <c r="CA122" s="6" t="s">
        <v>430</v>
      </c>
      <c r="CB122" s="6" t="s">
        <v>430</v>
      </c>
      <c r="CC122" s="6" t="s">
        <v>430</v>
      </c>
      <c r="CD122" s="6" t="s">
        <v>430</v>
      </c>
      <c r="CE122" s="6" t="s">
        <v>430</v>
      </c>
      <c r="CF122" s="6" t="s">
        <v>430</v>
      </c>
      <c r="CG122" s="6" t="s">
        <v>430</v>
      </c>
      <c r="CH122" s="6" t="s">
        <v>430</v>
      </c>
      <c r="CI122" s="6" t="s">
        <v>430</v>
      </c>
      <c r="CJ122" s="6" t="s">
        <v>430</v>
      </c>
      <c r="CK122" s="6" t="s">
        <v>430</v>
      </c>
      <c r="CL122" s="6" t="s">
        <v>430</v>
      </c>
      <c r="CM122" s="6" t="s">
        <v>430</v>
      </c>
      <c r="CN122" s="6" t="s">
        <v>430</v>
      </c>
      <c r="CO122" s="15" t="s">
        <v>430</v>
      </c>
      <c r="CP122" s="15" t="s">
        <v>432</v>
      </c>
      <c r="CQ122" s="6" t="s">
        <v>433</v>
      </c>
      <c r="CR122" s="15"/>
      <c r="CS122" s="6" t="s">
        <v>426</v>
      </c>
      <c r="CT122" s="6" t="s">
        <v>2357</v>
      </c>
      <c r="CU122" s="6" t="s">
        <v>971</v>
      </c>
      <c r="CV122" s="6" t="s">
        <v>1192</v>
      </c>
      <c r="CW122" s="6" t="s">
        <v>2358</v>
      </c>
      <c r="CX122" s="15" t="s">
        <v>426</v>
      </c>
      <c r="CY122" s="6" t="s">
        <v>453</v>
      </c>
      <c r="CZ122" s="6"/>
      <c r="DA122" s="6"/>
      <c r="DB122" s="6"/>
      <c r="DC122" s="6"/>
      <c r="DD122" s="15"/>
      <c r="DE122" s="15" t="s">
        <v>436</v>
      </c>
      <c r="DF122" s="6" t="s">
        <v>1171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1</v>
      </c>
      <c r="DM122" s="6" t="s">
        <v>2359</v>
      </c>
      <c r="DN122" s="6"/>
      <c r="DO122" s="6"/>
      <c r="DP122" s="6"/>
      <c r="DQ122" s="6"/>
      <c r="DR122" s="6"/>
      <c r="DS122" s="6"/>
      <c r="DT122" s="66"/>
      <c r="DU122" s="6" t="s">
        <v>523</v>
      </c>
      <c r="DV122" s="6" t="s">
        <v>426</v>
      </c>
      <c r="DW122" s="6" t="s">
        <v>490</v>
      </c>
      <c r="DX122" s="6" t="s">
        <v>440</v>
      </c>
      <c r="DY122" s="6"/>
      <c r="DZ122" s="6" t="s">
        <v>586</v>
      </c>
      <c r="EA122" s="6">
        <v>1</v>
      </c>
      <c r="EB122" s="6">
        <v>1</v>
      </c>
      <c r="EC122" s="6">
        <v>1</v>
      </c>
      <c r="ED122" s="6">
        <v>1</v>
      </c>
      <c r="EE122" s="6">
        <v>1</v>
      </c>
      <c r="EF122" s="6">
        <v>1</v>
      </c>
      <c r="EG122" s="6">
        <v>0</v>
      </c>
      <c r="EH122" s="6">
        <v>0</v>
      </c>
      <c r="EI122" s="6"/>
      <c r="EJ122" s="6" t="s">
        <v>1227</v>
      </c>
      <c r="EK122" s="6">
        <v>1</v>
      </c>
      <c r="EL122" s="6">
        <v>0</v>
      </c>
      <c r="EM122" s="6">
        <v>1</v>
      </c>
      <c r="EN122" s="6">
        <v>1</v>
      </c>
      <c r="EO122" s="6">
        <v>1</v>
      </c>
      <c r="EP122" s="6">
        <v>1</v>
      </c>
      <c r="EQ122" s="6">
        <v>0</v>
      </c>
      <c r="ER122" s="6">
        <v>0</v>
      </c>
      <c r="ES122" s="6">
        <v>0</v>
      </c>
      <c r="ET122" s="6"/>
      <c r="EU122" s="6" t="s">
        <v>443</v>
      </c>
      <c r="EV122" s="6" t="s">
        <v>588</v>
      </c>
      <c r="EW122" s="6"/>
      <c r="EX122" s="6" t="s">
        <v>2360</v>
      </c>
      <c r="EY122" s="6">
        <v>1</v>
      </c>
      <c r="EZ122" s="6">
        <v>1</v>
      </c>
      <c r="FA122" s="6">
        <v>1</v>
      </c>
      <c r="FB122" s="6">
        <v>1</v>
      </c>
      <c r="FC122" s="6">
        <v>1</v>
      </c>
      <c r="FD122" s="6">
        <v>0</v>
      </c>
      <c r="FE122" s="6">
        <v>0</v>
      </c>
      <c r="FF122" s="6">
        <v>0</v>
      </c>
      <c r="FG122" s="6"/>
      <c r="FH122" s="6" t="s">
        <v>2361</v>
      </c>
      <c r="FI122" s="6">
        <v>0</v>
      </c>
      <c r="FJ122" s="6">
        <v>0</v>
      </c>
      <c r="FK122" s="6">
        <v>1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Q122" s="6">
        <v>1</v>
      </c>
      <c r="FR122" s="6">
        <v>0</v>
      </c>
      <c r="FS122" s="6"/>
      <c r="FT122" s="6" t="s">
        <v>556</v>
      </c>
      <c r="FU122" s="6" t="s">
        <v>448</v>
      </c>
      <c r="FV122" s="6"/>
      <c r="FW122" s="6" t="s">
        <v>449</v>
      </c>
      <c r="FX122" s="15" t="s">
        <v>450</v>
      </c>
      <c r="FY122" s="6" t="s">
        <v>500</v>
      </c>
      <c r="FZ122" s="6"/>
      <c r="GA122" s="6" t="s">
        <v>450</v>
      </c>
      <c r="GB122" s="6" t="s">
        <v>501</v>
      </c>
      <c r="GC122" s="6" t="s">
        <v>453</v>
      </c>
      <c r="GD122" s="6"/>
      <c r="GE122" s="6" t="s">
        <v>642</v>
      </c>
      <c r="GF122" s="6" t="s">
        <v>2362</v>
      </c>
      <c r="GG122" s="6" t="s">
        <v>456</v>
      </c>
      <c r="GH122" s="15" t="s">
        <v>2363</v>
      </c>
      <c r="GI122" s="6" t="s">
        <v>458</v>
      </c>
      <c r="GJ122" s="6" t="s">
        <v>2364</v>
      </c>
      <c r="GK122" s="6" t="s">
        <v>460</v>
      </c>
      <c r="GL122" s="6" t="s">
        <v>461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1</v>
      </c>
      <c r="GS122" s="6">
        <v>0</v>
      </c>
      <c r="GT122" s="6"/>
      <c r="GU122" s="6" t="s">
        <v>534</v>
      </c>
      <c r="GV122" s="6" t="s">
        <v>595</v>
      </c>
      <c r="GW122" s="6" t="s">
        <v>721</v>
      </c>
      <c r="GX122" s="6">
        <v>1</v>
      </c>
      <c r="GY122" s="6">
        <v>0</v>
      </c>
      <c r="GZ122" s="6">
        <v>0</v>
      </c>
      <c r="HA122" s="6">
        <v>1</v>
      </c>
      <c r="HB122" s="6">
        <v>0</v>
      </c>
      <c r="HC122" s="6">
        <v>0</v>
      </c>
      <c r="HD122" s="6"/>
      <c r="HE122" s="6" t="s">
        <v>1178</v>
      </c>
      <c r="HF122" s="6">
        <v>1</v>
      </c>
      <c r="HG122" s="6">
        <v>1</v>
      </c>
      <c r="HH122" s="6">
        <v>1</v>
      </c>
      <c r="HI122" s="6">
        <v>1</v>
      </c>
      <c r="HJ122" s="6">
        <v>0</v>
      </c>
      <c r="HK122" s="6">
        <v>0</v>
      </c>
      <c r="HL122" s="15"/>
      <c r="HM122" s="6" t="s">
        <v>505</v>
      </c>
      <c r="HN122" s="6"/>
      <c r="HO122" s="6" t="s">
        <v>2365</v>
      </c>
      <c r="HP122" s="6" t="s">
        <v>537</v>
      </c>
      <c r="HQ122" s="6" t="s">
        <v>2366</v>
      </c>
      <c r="HR122" s="6" t="s">
        <v>2367</v>
      </c>
      <c r="HS122" s="6" t="s">
        <v>778</v>
      </c>
      <c r="HT122" s="6">
        <v>0</v>
      </c>
      <c r="HU122" s="6">
        <v>0</v>
      </c>
      <c r="HV122" s="6">
        <v>1</v>
      </c>
      <c r="HW122" s="6">
        <v>0</v>
      </c>
      <c r="HX122" s="6">
        <v>1</v>
      </c>
      <c r="HY122" s="6">
        <v>0</v>
      </c>
      <c r="HZ122" s="6"/>
      <c r="IA122" s="6" t="s">
        <v>798</v>
      </c>
      <c r="IB122" s="6">
        <v>1</v>
      </c>
      <c r="IC122" s="6">
        <v>1</v>
      </c>
      <c r="ID122" s="6">
        <v>1</v>
      </c>
      <c r="IE122" s="6">
        <v>1</v>
      </c>
      <c r="IF122" s="6">
        <v>1</v>
      </c>
      <c r="IG122" s="6">
        <v>0</v>
      </c>
      <c r="IH122" s="15" t="s">
        <v>2368</v>
      </c>
      <c r="II122" s="6" t="s">
        <v>426</v>
      </c>
      <c r="IJ122" s="6" t="s">
        <v>602</v>
      </c>
      <c r="IK122" s="6">
        <v>1</v>
      </c>
      <c r="IL122" s="6">
        <v>1</v>
      </c>
      <c r="IM122" s="6">
        <v>0</v>
      </c>
      <c r="IN122" s="6"/>
      <c r="IO122" s="6" t="s">
        <v>893</v>
      </c>
      <c r="IP122" s="6">
        <v>1</v>
      </c>
      <c r="IQ122" s="6">
        <v>0</v>
      </c>
      <c r="IR122" s="6">
        <v>0</v>
      </c>
      <c r="IS122" s="6">
        <v>1</v>
      </c>
      <c r="IT122" s="6">
        <v>0</v>
      </c>
      <c r="IU122" s="6">
        <v>0</v>
      </c>
      <c r="IV122" s="6"/>
      <c r="IW122" s="6" t="s">
        <v>426</v>
      </c>
      <c r="IX122" s="6">
        <v>1</v>
      </c>
      <c r="IY122" s="6" t="s">
        <v>474</v>
      </c>
      <c r="IZ122" s="6" t="s">
        <v>475</v>
      </c>
      <c r="JA122" s="6" t="s">
        <v>426</v>
      </c>
      <c r="JB122" s="6" t="s">
        <v>476</v>
      </c>
      <c r="JC122" s="6"/>
      <c r="JD122" s="6"/>
      <c r="JE122" s="6"/>
      <c r="JF122" s="6"/>
      <c r="JG122" s="6"/>
      <c r="JH122" s="6"/>
      <c r="JI122" s="6"/>
      <c r="JJ122" s="6"/>
      <c r="JK122" s="6" t="s">
        <v>426</v>
      </c>
      <c r="JL122" s="6" t="s">
        <v>426</v>
      </c>
      <c r="JM122" s="6"/>
      <c r="JN122" s="6"/>
      <c r="JO122" s="6"/>
      <c r="JP122" s="6"/>
      <c r="JQ122" s="6"/>
      <c r="JR122" s="6"/>
      <c r="JS122" s="6"/>
      <c r="JT122" s="6"/>
      <c r="JU122" s="6" t="s">
        <v>895</v>
      </c>
      <c r="JV122" s="15" t="s">
        <v>2369</v>
      </c>
      <c r="JW122" s="94" t="s">
        <v>2370</v>
      </c>
      <c r="JX122" s="6" t="s">
        <v>2371</v>
      </c>
      <c r="JY122" s="6">
        <v>0.5970799</v>
      </c>
      <c r="JZ122" s="6">
        <v>34.4662428</v>
      </c>
      <c r="KA122" s="6">
        <v>1305.7</v>
      </c>
      <c r="KB122" s="15">
        <v>4.56</v>
      </c>
      <c r="KC122" s="15"/>
    </row>
    <row r="123" spans="1:289">
      <c r="A123" s="6" t="s">
        <v>514</v>
      </c>
      <c r="B123" s="6" t="s">
        <v>420</v>
      </c>
      <c r="C123" s="6" t="s">
        <v>1608</v>
      </c>
      <c r="D123" s="6" t="s">
        <v>2372</v>
      </c>
      <c r="E123" s="6" t="s">
        <v>2373</v>
      </c>
      <c r="F123" s="8" t="s">
        <v>483</v>
      </c>
      <c r="G123" s="6" t="s">
        <v>731</v>
      </c>
      <c r="H123" s="6" t="s">
        <v>517</v>
      </c>
      <c r="I123" s="15"/>
      <c r="J123" s="6" t="s">
        <v>426</v>
      </c>
      <c r="K123" s="6" t="s">
        <v>426</v>
      </c>
      <c r="L123" s="6" t="s">
        <v>426</v>
      </c>
      <c r="M123" s="6" t="s">
        <v>426</v>
      </c>
      <c r="N123" s="6" t="s">
        <v>426</v>
      </c>
      <c r="O123" s="6" t="s">
        <v>426</v>
      </c>
      <c r="P123" s="6" t="s">
        <v>426</v>
      </c>
      <c r="Q123" s="6" t="s">
        <v>426</v>
      </c>
      <c r="R123" s="6" t="s">
        <v>426</v>
      </c>
      <c r="S123" s="6" t="s">
        <v>426</v>
      </c>
      <c r="T123" s="6" t="s">
        <v>426</v>
      </c>
      <c r="U123" s="6" t="s">
        <v>426</v>
      </c>
      <c r="V123" s="6" t="s">
        <v>426</v>
      </c>
      <c r="W123" s="6" t="s">
        <v>426</v>
      </c>
      <c r="X123" s="6" t="s">
        <v>426</v>
      </c>
      <c r="Y123" s="6" t="s">
        <v>426</v>
      </c>
      <c r="Z123" s="6" t="s">
        <v>426</v>
      </c>
      <c r="AA123" s="6" t="s">
        <v>426</v>
      </c>
      <c r="AB123" s="6" t="s">
        <v>426</v>
      </c>
      <c r="AC123" s="15" t="s">
        <v>426</v>
      </c>
      <c r="AD123" s="6" t="s">
        <v>427</v>
      </c>
      <c r="AE123" s="6">
        <v>0</v>
      </c>
      <c r="AF123" s="6">
        <v>0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/>
      <c r="AN123" s="15"/>
      <c r="AO123" s="6" t="s">
        <v>426</v>
      </c>
      <c r="AP123" s="6" t="s">
        <v>683</v>
      </c>
      <c r="AQ123" s="6" t="s">
        <v>426</v>
      </c>
      <c r="AR123" s="6" t="s">
        <v>920</v>
      </c>
      <c r="AS123" s="6" t="s">
        <v>426</v>
      </c>
      <c r="AT123" s="6">
        <v>1</v>
      </c>
      <c r="AU123" s="6" t="s">
        <v>426</v>
      </c>
      <c r="AV123" s="6">
        <v>0.5</v>
      </c>
      <c r="AW123" s="6" t="s">
        <v>426</v>
      </c>
      <c r="AX123" s="6">
        <v>1</v>
      </c>
      <c r="AY123" s="6" t="s">
        <v>426</v>
      </c>
      <c r="AZ123" s="6">
        <v>1</v>
      </c>
      <c r="BA123" s="6" t="s">
        <v>426</v>
      </c>
      <c r="BB123" s="6">
        <v>1</v>
      </c>
      <c r="BC123" s="6" t="s">
        <v>426</v>
      </c>
      <c r="BD123" s="6">
        <v>1</v>
      </c>
      <c r="BE123" s="6" t="s">
        <v>426</v>
      </c>
      <c r="BF123" s="6">
        <v>9</v>
      </c>
      <c r="BG123" s="6" t="s">
        <v>426</v>
      </c>
      <c r="BH123" s="6">
        <v>0.5</v>
      </c>
      <c r="BI123" s="6" t="s">
        <v>426</v>
      </c>
      <c r="BJ123" s="6">
        <v>1</v>
      </c>
      <c r="BK123" s="6" t="s">
        <v>426</v>
      </c>
      <c r="BL123" s="6">
        <v>1</v>
      </c>
      <c r="BM123" s="6" t="s">
        <v>426</v>
      </c>
      <c r="BN123" s="6">
        <v>3</v>
      </c>
      <c r="BO123" s="6" t="s">
        <v>426</v>
      </c>
      <c r="BP123" s="6">
        <v>1</v>
      </c>
      <c r="BQ123" s="6" t="s">
        <v>426</v>
      </c>
      <c r="BR123" s="6">
        <v>55</v>
      </c>
      <c r="BS123" s="6" t="s">
        <v>426</v>
      </c>
      <c r="BT123" s="6">
        <v>4</v>
      </c>
      <c r="BU123" s="6" t="s">
        <v>426</v>
      </c>
      <c r="BV123" s="15">
        <v>1</v>
      </c>
      <c r="BW123" s="15" t="s">
        <v>550</v>
      </c>
      <c r="BX123" s="15" t="s">
        <v>429</v>
      </c>
      <c r="BY123" s="6" t="s">
        <v>430</v>
      </c>
      <c r="BZ123" s="6" t="s">
        <v>430</v>
      </c>
      <c r="CA123" s="6" t="s">
        <v>430</v>
      </c>
      <c r="CB123" s="6" t="s">
        <v>430</v>
      </c>
      <c r="CC123" s="6" t="s">
        <v>430</v>
      </c>
      <c r="CD123" s="6" t="s">
        <v>430</v>
      </c>
      <c r="CE123" s="6" t="s">
        <v>430</v>
      </c>
      <c r="CF123" s="6" t="s">
        <v>430</v>
      </c>
      <c r="CG123" s="6" t="s">
        <v>430</v>
      </c>
      <c r="CH123" s="6" t="s">
        <v>430</v>
      </c>
      <c r="CI123" s="6" t="s">
        <v>430</v>
      </c>
      <c r="CJ123" s="6" t="s">
        <v>430</v>
      </c>
      <c r="CK123" s="6" t="s">
        <v>430</v>
      </c>
      <c r="CL123" s="6" t="s">
        <v>430</v>
      </c>
      <c r="CM123" s="6" t="s">
        <v>430</v>
      </c>
      <c r="CN123" s="6" t="s">
        <v>430</v>
      </c>
      <c r="CO123" s="15" t="s">
        <v>431</v>
      </c>
      <c r="CP123" s="15" t="s">
        <v>432</v>
      </c>
      <c r="CQ123" s="6" t="s">
        <v>433</v>
      </c>
      <c r="CR123" s="15"/>
      <c r="CS123" s="6" t="s">
        <v>426</v>
      </c>
      <c r="CT123" s="6" t="s">
        <v>2374</v>
      </c>
      <c r="CU123" s="6" t="s">
        <v>733</v>
      </c>
      <c r="CV123" s="6" t="s">
        <v>662</v>
      </c>
      <c r="CW123" s="6" t="s">
        <v>972</v>
      </c>
      <c r="CX123" s="15" t="s">
        <v>426</v>
      </c>
      <c r="CY123" s="6" t="s">
        <v>426</v>
      </c>
      <c r="CZ123" s="6" t="s">
        <v>2375</v>
      </c>
      <c r="DA123" s="6" t="s">
        <v>988</v>
      </c>
      <c r="DB123" s="6" t="s">
        <v>737</v>
      </c>
      <c r="DC123" s="6" t="s">
        <v>789</v>
      </c>
      <c r="DD123" s="15" t="s">
        <v>1322</v>
      </c>
      <c r="DE123" s="15" t="s">
        <v>436</v>
      </c>
      <c r="DF123" s="6" t="s">
        <v>522</v>
      </c>
      <c r="DG123" s="6">
        <v>0</v>
      </c>
      <c r="DH123" s="6">
        <v>1</v>
      </c>
      <c r="DI123" s="6">
        <v>0</v>
      </c>
      <c r="DJ123" s="6">
        <v>0</v>
      </c>
      <c r="DK123" s="6">
        <v>0</v>
      </c>
      <c r="DL123" s="6">
        <v>0</v>
      </c>
      <c r="DM123" s="6"/>
      <c r="DN123" s="6"/>
      <c r="DO123" s="6"/>
      <c r="DP123" s="6"/>
      <c r="DQ123" s="6"/>
      <c r="DR123" s="6"/>
      <c r="DS123" s="6"/>
      <c r="DT123" s="66"/>
      <c r="DU123" s="6" t="s">
        <v>438</v>
      </c>
      <c r="DV123" s="6" t="s">
        <v>426</v>
      </c>
      <c r="DW123" s="6" t="s">
        <v>439</v>
      </c>
      <c r="DX123" s="6" t="s">
        <v>440</v>
      </c>
      <c r="DY123" s="6"/>
      <c r="DZ123" s="6" t="s">
        <v>2376</v>
      </c>
      <c r="EA123" s="6">
        <v>0</v>
      </c>
      <c r="EB123" s="6">
        <v>1</v>
      </c>
      <c r="EC123" s="6">
        <v>1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/>
      <c r="EJ123" s="6" t="s">
        <v>1906</v>
      </c>
      <c r="EK123" s="6">
        <v>1</v>
      </c>
      <c r="EL123" s="6">
        <v>0</v>
      </c>
      <c r="EM123" s="6">
        <v>0</v>
      </c>
      <c r="EN123" s="6">
        <v>1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/>
      <c r="EU123" s="6" t="s">
        <v>443</v>
      </c>
      <c r="EV123" s="6" t="s">
        <v>495</v>
      </c>
      <c r="EW123" s="6"/>
      <c r="EX123" s="6" t="s">
        <v>669</v>
      </c>
      <c r="EY123" s="6">
        <v>0</v>
      </c>
      <c r="EZ123" s="6">
        <v>1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/>
      <c r="FH123" s="6" t="s">
        <v>555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1</v>
      </c>
      <c r="FR123" s="6">
        <v>0</v>
      </c>
      <c r="FS123" s="6"/>
      <c r="FT123" s="6" t="s">
        <v>447</v>
      </c>
      <c r="FU123" s="6" t="s">
        <v>448</v>
      </c>
      <c r="FV123" s="6"/>
      <c r="FW123" s="6" t="s">
        <v>449</v>
      </c>
      <c r="FX123" s="15" t="s">
        <v>450</v>
      </c>
      <c r="FY123" s="6" t="s">
        <v>529</v>
      </c>
      <c r="FZ123" s="6"/>
      <c r="GA123" s="6" t="s">
        <v>450</v>
      </c>
      <c r="GB123" s="6" t="s">
        <v>501</v>
      </c>
      <c r="GC123" s="6" t="s">
        <v>453</v>
      </c>
      <c r="GD123" s="6"/>
      <c r="GE123" s="6" t="s">
        <v>454</v>
      </c>
      <c r="GF123" s="6" t="s">
        <v>1415</v>
      </c>
      <c r="GG123" s="6" t="s">
        <v>456</v>
      </c>
      <c r="GH123" s="15" t="s">
        <v>2377</v>
      </c>
      <c r="GI123" s="6" t="s">
        <v>458</v>
      </c>
      <c r="GJ123" s="6" t="s">
        <v>2378</v>
      </c>
      <c r="GK123" s="6" t="s">
        <v>460</v>
      </c>
      <c r="GL123" s="6" t="s">
        <v>720</v>
      </c>
      <c r="GM123" s="6">
        <v>1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/>
      <c r="GU123" s="6" t="s">
        <v>534</v>
      </c>
      <c r="GV123" s="6" t="s">
        <v>463</v>
      </c>
      <c r="GW123" s="6" t="s">
        <v>464</v>
      </c>
      <c r="GX123" s="6">
        <v>1</v>
      </c>
      <c r="GY123" s="6">
        <v>0</v>
      </c>
      <c r="GZ123" s="6">
        <v>0</v>
      </c>
      <c r="HA123" s="6">
        <v>0</v>
      </c>
      <c r="HB123" s="6">
        <v>0</v>
      </c>
      <c r="HC123" s="6">
        <v>0</v>
      </c>
      <c r="HD123" s="6"/>
      <c r="HE123" s="6" t="s">
        <v>535</v>
      </c>
      <c r="HF123" s="6">
        <v>1</v>
      </c>
      <c r="HG123" s="6">
        <v>0</v>
      </c>
      <c r="HH123" s="6">
        <v>0</v>
      </c>
      <c r="HI123" s="6">
        <v>0</v>
      </c>
      <c r="HJ123" s="6">
        <v>0</v>
      </c>
      <c r="HK123" s="6">
        <v>0</v>
      </c>
      <c r="HL123" s="15"/>
      <c r="HM123" s="6" t="s">
        <v>466</v>
      </c>
      <c r="HN123" s="6"/>
      <c r="HO123" s="6" t="s">
        <v>2379</v>
      </c>
      <c r="HP123" s="6" t="s">
        <v>1668</v>
      </c>
      <c r="HQ123" s="6"/>
      <c r="HR123" s="6" t="s">
        <v>2380</v>
      </c>
      <c r="HS123" s="6" t="s">
        <v>540</v>
      </c>
      <c r="HT123" s="6">
        <v>1</v>
      </c>
      <c r="HU123" s="6">
        <v>0</v>
      </c>
      <c r="HV123" s="6">
        <v>0</v>
      </c>
      <c r="HW123" s="6">
        <v>0</v>
      </c>
      <c r="HX123" s="6">
        <v>0</v>
      </c>
      <c r="HY123" s="6">
        <v>0</v>
      </c>
      <c r="HZ123" s="6"/>
      <c r="IA123" s="6" t="s">
        <v>115</v>
      </c>
      <c r="IB123" s="6">
        <v>0</v>
      </c>
      <c r="IC123" s="6">
        <v>0</v>
      </c>
      <c r="ID123" s="6">
        <v>0</v>
      </c>
      <c r="IE123" s="6">
        <v>0</v>
      </c>
      <c r="IF123" s="6">
        <v>1</v>
      </c>
      <c r="IG123" s="6">
        <v>0</v>
      </c>
      <c r="IH123" s="15" t="s">
        <v>542</v>
      </c>
      <c r="II123" s="6" t="s">
        <v>426</v>
      </c>
      <c r="IJ123" s="6" t="s">
        <v>472</v>
      </c>
      <c r="IK123" s="6">
        <v>1</v>
      </c>
      <c r="IL123" s="6">
        <v>0</v>
      </c>
      <c r="IM123" s="6">
        <v>0</v>
      </c>
      <c r="IN123" s="6"/>
      <c r="IO123" s="6" t="s">
        <v>473</v>
      </c>
      <c r="IP123" s="6">
        <v>1</v>
      </c>
      <c r="IQ123" s="6">
        <v>0</v>
      </c>
      <c r="IR123" s="6">
        <v>0</v>
      </c>
      <c r="IS123" s="6">
        <v>0</v>
      </c>
      <c r="IT123" s="6">
        <v>0</v>
      </c>
      <c r="IU123" s="6">
        <v>0</v>
      </c>
      <c r="IV123" s="6"/>
      <c r="IW123" s="6" t="s">
        <v>426</v>
      </c>
      <c r="IX123" s="6">
        <v>1</v>
      </c>
      <c r="IY123" s="6" t="s">
        <v>474</v>
      </c>
      <c r="IZ123" s="6" t="s">
        <v>475</v>
      </c>
      <c r="JA123" s="6" t="s">
        <v>426</v>
      </c>
      <c r="JB123" s="6" t="s">
        <v>476</v>
      </c>
      <c r="JC123" s="6"/>
      <c r="JD123" s="6"/>
      <c r="JE123" s="6"/>
      <c r="JF123" s="6"/>
      <c r="JG123" s="6"/>
      <c r="JH123" s="6"/>
      <c r="JI123" s="6"/>
      <c r="JJ123" s="6"/>
      <c r="JK123" s="6" t="s">
        <v>426</v>
      </c>
      <c r="JL123" s="6" t="s">
        <v>426</v>
      </c>
      <c r="JM123" s="6"/>
      <c r="JN123" s="6"/>
      <c r="JO123" s="6"/>
      <c r="JP123" s="6"/>
      <c r="JQ123" s="6"/>
      <c r="JR123" s="6"/>
      <c r="JS123" s="6"/>
      <c r="JT123" s="6"/>
      <c r="JU123" s="6" t="s">
        <v>477</v>
      </c>
      <c r="JV123" s="15"/>
      <c r="JW123" s="94" t="s">
        <v>2381</v>
      </c>
      <c r="JX123" s="6" t="s">
        <v>2382</v>
      </c>
      <c r="JY123" s="6">
        <v>0.6140244</v>
      </c>
      <c r="JZ123" s="6">
        <v>34.4889076</v>
      </c>
      <c r="KA123" s="6">
        <v>1388.101</v>
      </c>
      <c r="KB123" s="15">
        <v>4.528</v>
      </c>
      <c r="KC123" s="15"/>
    </row>
    <row r="124" spans="1:289">
      <c r="A124" s="6" t="s">
        <v>514</v>
      </c>
      <c r="B124" s="6" t="s">
        <v>420</v>
      </c>
      <c r="C124" s="6" t="s">
        <v>1608</v>
      </c>
      <c r="D124" s="6" t="s">
        <v>1620</v>
      </c>
      <c r="E124" s="6" t="s">
        <v>2383</v>
      </c>
      <c r="F124" s="8" t="s">
        <v>423</v>
      </c>
      <c r="G124" s="6" t="s">
        <v>424</v>
      </c>
      <c r="H124" s="6" t="s">
        <v>517</v>
      </c>
      <c r="I124" s="15"/>
      <c r="J124" s="6" t="s">
        <v>426</v>
      </c>
      <c r="K124" s="6" t="s">
        <v>426</v>
      </c>
      <c r="L124" s="6" t="s">
        <v>426</v>
      </c>
      <c r="M124" s="6" t="s">
        <v>426</v>
      </c>
      <c r="N124" s="6" t="s">
        <v>426</v>
      </c>
      <c r="O124" s="6" t="s">
        <v>426</v>
      </c>
      <c r="P124" s="6" t="s">
        <v>426</v>
      </c>
      <c r="Q124" s="6" t="s">
        <v>426</v>
      </c>
      <c r="R124" s="6" t="s">
        <v>426</v>
      </c>
      <c r="S124" s="6" t="s">
        <v>426</v>
      </c>
      <c r="T124" s="6" t="s">
        <v>426</v>
      </c>
      <c r="U124" s="6" t="s">
        <v>426</v>
      </c>
      <c r="V124" s="6" t="s">
        <v>426</v>
      </c>
      <c r="W124" s="6" t="s">
        <v>426</v>
      </c>
      <c r="X124" s="6" t="s">
        <v>426</v>
      </c>
      <c r="Y124" s="6" t="s">
        <v>426</v>
      </c>
      <c r="Z124" s="6" t="s">
        <v>426</v>
      </c>
      <c r="AA124" s="6" t="s">
        <v>426</v>
      </c>
      <c r="AB124" s="6" t="s">
        <v>426</v>
      </c>
      <c r="AC124" s="15" t="s">
        <v>426</v>
      </c>
      <c r="AD124" s="6" t="s">
        <v>427</v>
      </c>
      <c r="AE124" s="6">
        <v>0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/>
      <c r="AN124" s="15"/>
      <c r="AO124" s="6" t="s">
        <v>426</v>
      </c>
      <c r="AP124" s="6" t="s">
        <v>823</v>
      </c>
      <c r="AQ124" s="6" t="s">
        <v>426</v>
      </c>
      <c r="AR124" s="6" t="s">
        <v>823</v>
      </c>
      <c r="AS124" s="6" t="s">
        <v>426</v>
      </c>
      <c r="AT124" s="6">
        <v>1</v>
      </c>
      <c r="AU124" s="6" t="s">
        <v>426</v>
      </c>
      <c r="AV124" s="6">
        <v>0.5</v>
      </c>
      <c r="AW124" s="6" t="s">
        <v>426</v>
      </c>
      <c r="AX124" s="6">
        <v>1.5</v>
      </c>
      <c r="AY124" s="6" t="s">
        <v>426</v>
      </c>
      <c r="AZ124" s="6">
        <v>1</v>
      </c>
      <c r="BA124" s="6" t="s">
        <v>426</v>
      </c>
      <c r="BB124" s="6">
        <v>0.2</v>
      </c>
      <c r="BC124" s="6" t="s">
        <v>426</v>
      </c>
      <c r="BD124" s="6">
        <v>0.8</v>
      </c>
      <c r="BE124" s="6" t="s">
        <v>426</v>
      </c>
      <c r="BF124" s="6">
        <v>12</v>
      </c>
      <c r="BG124" s="6" t="s">
        <v>426</v>
      </c>
      <c r="BH124" s="6">
        <v>1</v>
      </c>
      <c r="BI124" s="6" t="s">
        <v>426</v>
      </c>
      <c r="BJ124" s="6">
        <v>2</v>
      </c>
      <c r="BK124" s="6" t="s">
        <v>426</v>
      </c>
      <c r="BL124" s="6">
        <v>2</v>
      </c>
      <c r="BM124" s="6" t="s">
        <v>426</v>
      </c>
      <c r="BN124" s="6">
        <v>5</v>
      </c>
      <c r="BO124" s="6" t="s">
        <v>426</v>
      </c>
      <c r="BP124" s="6">
        <v>2</v>
      </c>
      <c r="BQ124" s="6" t="s">
        <v>426</v>
      </c>
      <c r="BR124" s="6">
        <v>90</v>
      </c>
      <c r="BS124" s="6" t="s">
        <v>426</v>
      </c>
      <c r="BT124" s="6">
        <v>4</v>
      </c>
      <c r="BU124" s="6" t="s">
        <v>426</v>
      </c>
      <c r="BV124" s="15">
        <v>2</v>
      </c>
      <c r="BW124" s="15" t="s">
        <v>518</v>
      </c>
      <c r="BX124" s="15" t="s">
        <v>429</v>
      </c>
      <c r="BY124" s="6" t="s">
        <v>430</v>
      </c>
      <c r="BZ124" s="6" t="s">
        <v>430</v>
      </c>
      <c r="CA124" s="6" t="s">
        <v>430</v>
      </c>
      <c r="CB124" s="6" t="s">
        <v>431</v>
      </c>
      <c r="CC124" s="6" t="s">
        <v>430</v>
      </c>
      <c r="CD124" s="6" t="s">
        <v>430</v>
      </c>
      <c r="CE124" s="6" t="s">
        <v>430</v>
      </c>
      <c r="CF124" s="6" t="s">
        <v>430</v>
      </c>
      <c r="CG124" s="6" t="s">
        <v>430</v>
      </c>
      <c r="CH124" s="6" t="s">
        <v>430</v>
      </c>
      <c r="CI124" s="6" t="s">
        <v>430</v>
      </c>
      <c r="CJ124" s="6" t="s">
        <v>431</v>
      </c>
      <c r="CK124" s="6" t="s">
        <v>430</v>
      </c>
      <c r="CL124" s="6" t="s">
        <v>430</v>
      </c>
      <c r="CM124" s="6" t="s">
        <v>430</v>
      </c>
      <c r="CN124" s="6" t="s">
        <v>430</v>
      </c>
      <c r="CO124" s="15" t="s">
        <v>430</v>
      </c>
      <c r="CP124" s="15" t="s">
        <v>432</v>
      </c>
      <c r="CQ124" s="6" t="s">
        <v>433</v>
      </c>
      <c r="CR124" s="15"/>
      <c r="CS124" s="6" t="s">
        <v>426</v>
      </c>
      <c r="CT124" s="6" t="s">
        <v>2384</v>
      </c>
      <c r="CU124" s="6" t="s">
        <v>845</v>
      </c>
      <c r="CV124" s="6" t="s">
        <v>1380</v>
      </c>
      <c r="CW124" s="6" t="s">
        <v>826</v>
      </c>
      <c r="CX124" s="15" t="s">
        <v>426</v>
      </c>
      <c r="CY124" s="6" t="s">
        <v>426</v>
      </c>
      <c r="CZ124" s="6" t="s">
        <v>2385</v>
      </c>
      <c r="DA124" s="6" t="s">
        <v>1137</v>
      </c>
      <c r="DB124" s="6" t="s">
        <v>971</v>
      </c>
      <c r="DC124" s="6" t="s">
        <v>1380</v>
      </c>
      <c r="DD124" s="15" t="s">
        <v>972</v>
      </c>
      <c r="DE124" s="15" t="s">
        <v>436</v>
      </c>
      <c r="DF124" s="6" t="s">
        <v>695</v>
      </c>
      <c r="DG124" s="6">
        <v>0</v>
      </c>
      <c r="DH124" s="6">
        <v>0</v>
      </c>
      <c r="DI124" s="6">
        <v>0</v>
      </c>
      <c r="DJ124" s="6">
        <v>0</v>
      </c>
      <c r="DK124" s="6">
        <v>1</v>
      </c>
      <c r="DL124" s="6">
        <v>0</v>
      </c>
      <c r="DM124" s="6"/>
      <c r="DN124" s="6"/>
      <c r="DO124" s="6"/>
      <c r="DP124" s="6"/>
      <c r="DQ124" s="6"/>
      <c r="DR124" s="6"/>
      <c r="DS124" s="6"/>
      <c r="DT124" s="66"/>
      <c r="DU124" s="6" t="s">
        <v>438</v>
      </c>
      <c r="DV124" s="6" t="s">
        <v>426</v>
      </c>
      <c r="DW124" s="6" t="s">
        <v>439</v>
      </c>
      <c r="DX124" s="6" t="s">
        <v>440</v>
      </c>
      <c r="DY124" s="6"/>
      <c r="DZ124" s="6" t="s">
        <v>2386</v>
      </c>
      <c r="EA124" s="6">
        <v>0</v>
      </c>
      <c r="EB124" s="6">
        <v>1</v>
      </c>
      <c r="EC124" s="6">
        <v>0</v>
      </c>
      <c r="ED124" s="6">
        <v>1</v>
      </c>
      <c r="EE124" s="6">
        <v>1</v>
      </c>
      <c r="EF124" s="6">
        <v>0</v>
      </c>
      <c r="EG124" s="6">
        <v>0</v>
      </c>
      <c r="EH124" s="6">
        <v>0</v>
      </c>
      <c r="EI124" s="6"/>
      <c r="EJ124" s="6" t="s">
        <v>2387</v>
      </c>
      <c r="EK124" s="6">
        <v>0</v>
      </c>
      <c r="EL124" s="6">
        <v>0</v>
      </c>
      <c r="EM124" s="6">
        <v>1</v>
      </c>
      <c r="EN124" s="6">
        <v>0</v>
      </c>
      <c r="EO124" s="6">
        <v>1</v>
      </c>
      <c r="EP124" s="6">
        <v>0</v>
      </c>
      <c r="EQ124" s="6">
        <v>0</v>
      </c>
      <c r="ER124" s="6">
        <v>0</v>
      </c>
      <c r="ES124" s="6">
        <v>0</v>
      </c>
      <c r="ET124" s="6"/>
      <c r="EU124" s="6" t="s">
        <v>443</v>
      </c>
      <c r="EV124" s="6" t="s">
        <v>495</v>
      </c>
      <c r="EW124" s="6"/>
      <c r="EX124" s="6" t="s">
        <v>2388</v>
      </c>
      <c r="EY124" s="6">
        <v>0</v>
      </c>
      <c r="EZ124" s="6">
        <v>1</v>
      </c>
      <c r="FA124" s="6">
        <v>0</v>
      </c>
      <c r="FB124" s="6">
        <v>1</v>
      </c>
      <c r="FC124" s="6">
        <v>0</v>
      </c>
      <c r="FD124" s="6">
        <v>0</v>
      </c>
      <c r="FE124" s="6">
        <v>0</v>
      </c>
      <c r="FF124" s="6">
        <v>0</v>
      </c>
      <c r="FG124" s="6"/>
      <c r="FH124" s="6" t="s">
        <v>618</v>
      </c>
      <c r="FI124" s="6">
        <v>0</v>
      </c>
      <c r="FJ124" s="6">
        <v>0</v>
      </c>
      <c r="FK124" s="6">
        <v>0</v>
      </c>
      <c r="FL124" s="6">
        <v>1</v>
      </c>
      <c r="FM124" s="6">
        <v>0</v>
      </c>
      <c r="FN124" s="6">
        <v>0</v>
      </c>
      <c r="FO124" s="6">
        <v>0</v>
      </c>
      <c r="FP124" s="6">
        <v>0</v>
      </c>
      <c r="FQ124" s="6">
        <v>0</v>
      </c>
      <c r="FR124" s="6">
        <v>0</v>
      </c>
      <c r="FS124" s="6"/>
      <c r="FT124" s="6" t="s">
        <v>447</v>
      </c>
      <c r="FU124" s="6" t="s">
        <v>499</v>
      </c>
      <c r="FV124" s="6"/>
      <c r="FW124" s="6" t="s">
        <v>1709</v>
      </c>
      <c r="FX124" s="15" t="s">
        <v>450</v>
      </c>
      <c r="FY124" s="6" t="s">
        <v>500</v>
      </c>
      <c r="FZ124" s="6"/>
      <c r="GA124" s="6" t="s">
        <v>450</v>
      </c>
      <c r="GB124" s="6" t="s">
        <v>501</v>
      </c>
      <c r="GC124" s="6" t="s">
        <v>453</v>
      </c>
      <c r="GD124" s="6"/>
      <c r="GE124" s="6" t="s">
        <v>454</v>
      </c>
      <c r="GF124" s="6" t="s">
        <v>672</v>
      </c>
      <c r="GG124" s="6" t="s">
        <v>456</v>
      </c>
      <c r="GH124" s="15" t="s">
        <v>2143</v>
      </c>
      <c r="GI124" s="6" t="s">
        <v>458</v>
      </c>
      <c r="GJ124" s="6" t="s">
        <v>2389</v>
      </c>
      <c r="GK124" s="6" t="s">
        <v>460</v>
      </c>
      <c r="GL124" s="6" t="s">
        <v>857</v>
      </c>
      <c r="GM124" s="6">
        <v>0</v>
      </c>
      <c r="GN124" s="6">
        <v>1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/>
      <c r="GU124" s="6" t="s">
        <v>462</v>
      </c>
      <c r="GV124" s="6" t="s">
        <v>463</v>
      </c>
      <c r="GW124" s="6" t="s">
        <v>464</v>
      </c>
      <c r="GX124" s="6">
        <v>1</v>
      </c>
      <c r="GY124" s="6">
        <v>0</v>
      </c>
      <c r="GZ124" s="6">
        <v>0</v>
      </c>
      <c r="HA124" s="6">
        <v>0</v>
      </c>
      <c r="HB124" s="6">
        <v>0</v>
      </c>
      <c r="HC124" s="6">
        <v>0</v>
      </c>
      <c r="HD124" s="6"/>
      <c r="HE124" s="6" t="s">
        <v>535</v>
      </c>
      <c r="HF124" s="6">
        <v>1</v>
      </c>
      <c r="HG124" s="6">
        <v>0</v>
      </c>
      <c r="HH124" s="6">
        <v>0</v>
      </c>
      <c r="HI124" s="6">
        <v>0</v>
      </c>
      <c r="HJ124" s="6">
        <v>0</v>
      </c>
      <c r="HK124" s="6">
        <v>0</v>
      </c>
      <c r="HL124" s="15"/>
      <c r="HM124" s="6" t="s">
        <v>466</v>
      </c>
      <c r="HN124" s="6"/>
      <c r="HO124" s="6" t="s">
        <v>2390</v>
      </c>
      <c r="HP124" s="6" t="s">
        <v>1668</v>
      </c>
      <c r="HQ124" s="6"/>
      <c r="HR124" s="6" t="s">
        <v>2391</v>
      </c>
      <c r="HS124" s="6" t="s">
        <v>540</v>
      </c>
      <c r="HT124" s="6">
        <v>1</v>
      </c>
      <c r="HU124" s="6">
        <v>0</v>
      </c>
      <c r="HV124" s="6">
        <v>0</v>
      </c>
      <c r="HW124" s="6">
        <v>0</v>
      </c>
      <c r="HX124" s="6">
        <v>0</v>
      </c>
      <c r="HY124" s="6">
        <v>0</v>
      </c>
      <c r="HZ124" s="6"/>
      <c r="IA124" s="6" t="s">
        <v>114</v>
      </c>
      <c r="IB124" s="6">
        <v>0</v>
      </c>
      <c r="IC124" s="6">
        <v>0</v>
      </c>
      <c r="ID124" s="6">
        <v>0</v>
      </c>
      <c r="IE124" s="6">
        <v>1</v>
      </c>
      <c r="IF124" s="6">
        <v>0</v>
      </c>
      <c r="IG124" s="6">
        <v>0</v>
      </c>
      <c r="IH124" s="15" t="s">
        <v>2392</v>
      </c>
      <c r="II124" s="6" t="s">
        <v>426</v>
      </c>
      <c r="IJ124" s="6" t="s">
        <v>472</v>
      </c>
      <c r="IK124" s="6">
        <v>1</v>
      </c>
      <c r="IL124" s="6">
        <v>0</v>
      </c>
      <c r="IM124" s="6">
        <v>0</v>
      </c>
      <c r="IN124" s="6"/>
      <c r="IO124" s="6" t="s">
        <v>473</v>
      </c>
      <c r="IP124" s="6">
        <v>1</v>
      </c>
      <c r="IQ124" s="6">
        <v>0</v>
      </c>
      <c r="IR124" s="6">
        <v>0</v>
      </c>
      <c r="IS124" s="6">
        <v>0</v>
      </c>
      <c r="IT124" s="6">
        <v>0</v>
      </c>
      <c r="IU124" s="6">
        <v>0</v>
      </c>
      <c r="IV124" s="6"/>
      <c r="IW124" s="6" t="s">
        <v>426</v>
      </c>
      <c r="IX124" s="6">
        <v>1</v>
      </c>
      <c r="IY124" s="6" t="s">
        <v>474</v>
      </c>
      <c r="IZ124" s="6" t="s">
        <v>475</v>
      </c>
      <c r="JA124" s="6" t="s">
        <v>426</v>
      </c>
      <c r="JB124" s="6" t="s">
        <v>476</v>
      </c>
      <c r="JC124" s="6"/>
      <c r="JD124" s="6"/>
      <c r="JE124" s="6"/>
      <c r="JF124" s="6"/>
      <c r="JG124" s="6"/>
      <c r="JH124" s="6"/>
      <c r="JI124" s="6"/>
      <c r="JJ124" s="6"/>
      <c r="JK124" s="6" t="s">
        <v>426</v>
      </c>
      <c r="JL124" s="6" t="s">
        <v>426</v>
      </c>
      <c r="JM124" s="6"/>
      <c r="JN124" s="6"/>
      <c r="JO124" s="6"/>
      <c r="JP124" s="6"/>
      <c r="JQ124" s="6"/>
      <c r="JR124" s="6"/>
      <c r="JS124" s="6"/>
      <c r="JT124" s="6"/>
      <c r="JU124" s="6" t="s">
        <v>511</v>
      </c>
      <c r="JV124" s="15"/>
      <c r="JW124" s="94" t="s">
        <v>2393</v>
      </c>
      <c r="JX124" s="6" t="s">
        <v>2394</v>
      </c>
      <c r="JY124" s="6">
        <v>0.6101075</v>
      </c>
      <c r="JZ124" s="6">
        <v>34.4811981</v>
      </c>
      <c r="KA124" s="6">
        <v>1343.832</v>
      </c>
      <c r="KB124" s="15">
        <v>4.982</v>
      </c>
      <c r="KC124" s="15"/>
    </row>
    <row r="125" spans="1:289">
      <c r="A125" s="6" t="s">
        <v>755</v>
      </c>
      <c r="B125" s="6" t="s">
        <v>420</v>
      </c>
      <c r="C125" s="6" t="s">
        <v>1608</v>
      </c>
      <c r="D125" s="6" t="s">
        <v>1620</v>
      </c>
      <c r="E125" s="6" t="s">
        <v>2395</v>
      </c>
      <c r="F125" s="8" t="s">
        <v>483</v>
      </c>
      <c r="G125" s="6" t="s">
        <v>484</v>
      </c>
      <c r="H125" s="6" t="s">
        <v>517</v>
      </c>
      <c r="I125" s="15"/>
      <c r="J125" s="6" t="s">
        <v>426</v>
      </c>
      <c r="K125" s="6" t="s">
        <v>426</v>
      </c>
      <c r="L125" s="6" t="s">
        <v>426</v>
      </c>
      <c r="M125" s="6" t="s">
        <v>426</v>
      </c>
      <c r="N125" s="6" t="s">
        <v>426</v>
      </c>
      <c r="O125" s="6" t="s">
        <v>426</v>
      </c>
      <c r="P125" s="6" t="s">
        <v>426</v>
      </c>
      <c r="Q125" s="6" t="s">
        <v>426</v>
      </c>
      <c r="R125" s="6" t="s">
        <v>426</v>
      </c>
      <c r="S125" s="6" t="s">
        <v>426</v>
      </c>
      <c r="T125" s="6" t="s">
        <v>426</v>
      </c>
      <c r="U125" s="6" t="s">
        <v>426</v>
      </c>
      <c r="V125" s="6" t="s">
        <v>453</v>
      </c>
      <c r="W125" s="6" t="s">
        <v>453</v>
      </c>
      <c r="X125" s="6" t="s">
        <v>426</v>
      </c>
      <c r="Y125" s="6" t="s">
        <v>426</v>
      </c>
      <c r="Z125" s="6" t="s">
        <v>426</v>
      </c>
      <c r="AA125" s="6" t="s">
        <v>426</v>
      </c>
      <c r="AB125" s="6" t="s">
        <v>426</v>
      </c>
      <c r="AC125" s="15" t="s">
        <v>426</v>
      </c>
      <c r="AD125" s="6" t="s">
        <v>427</v>
      </c>
      <c r="AE125" s="6">
        <v>0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0</v>
      </c>
      <c r="AL125" s="6">
        <v>0</v>
      </c>
      <c r="AM125" s="6"/>
      <c r="AN125" s="15"/>
      <c r="AO125" s="6" t="s">
        <v>426</v>
      </c>
      <c r="AP125" s="6" t="s">
        <v>688</v>
      </c>
      <c r="AQ125" s="6" t="s">
        <v>426</v>
      </c>
      <c r="AR125" s="6" t="s">
        <v>688</v>
      </c>
      <c r="AS125" s="6" t="s">
        <v>426</v>
      </c>
      <c r="AT125" s="6">
        <v>1</v>
      </c>
      <c r="AU125" s="6" t="s">
        <v>453</v>
      </c>
      <c r="AV125" s="6"/>
      <c r="AW125" s="6" t="s">
        <v>426</v>
      </c>
      <c r="AX125" s="6">
        <v>1</v>
      </c>
      <c r="AY125" s="6" t="s">
        <v>426</v>
      </c>
      <c r="AZ125" s="6">
        <v>5</v>
      </c>
      <c r="BA125" s="6" t="s">
        <v>453</v>
      </c>
      <c r="BB125" s="6"/>
      <c r="BC125" s="6" t="s">
        <v>426</v>
      </c>
      <c r="BD125" s="6">
        <v>1</v>
      </c>
      <c r="BE125" s="6" t="s">
        <v>453</v>
      </c>
      <c r="BF125" s="6"/>
      <c r="BG125" s="6" t="s">
        <v>426</v>
      </c>
      <c r="BH125" s="6">
        <v>1</v>
      </c>
      <c r="BI125" s="6" t="s">
        <v>426</v>
      </c>
      <c r="BJ125" s="6">
        <v>1</v>
      </c>
      <c r="BK125" s="6" t="s">
        <v>426</v>
      </c>
      <c r="BL125" s="6">
        <v>1</v>
      </c>
      <c r="BM125" s="6" t="s">
        <v>426</v>
      </c>
      <c r="BN125" s="6">
        <v>56</v>
      </c>
      <c r="BO125" s="6" t="s">
        <v>426</v>
      </c>
      <c r="BP125" s="6">
        <v>1</v>
      </c>
      <c r="BQ125" s="6" t="s">
        <v>426</v>
      </c>
      <c r="BR125" s="6">
        <v>10</v>
      </c>
      <c r="BS125" s="6" t="s">
        <v>453</v>
      </c>
      <c r="BT125" s="6"/>
      <c r="BU125" s="6" t="s">
        <v>426</v>
      </c>
      <c r="BV125" s="15">
        <v>1</v>
      </c>
      <c r="BW125" s="15" t="s">
        <v>518</v>
      </c>
      <c r="BX125" s="15" t="s">
        <v>429</v>
      </c>
      <c r="BY125" s="6" t="s">
        <v>430</v>
      </c>
      <c r="BZ125" s="6" t="s">
        <v>430</v>
      </c>
      <c r="CA125" s="6" t="s">
        <v>430</v>
      </c>
      <c r="CB125" s="6" t="s">
        <v>487</v>
      </c>
      <c r="CC125" s="6" t="s">
        <v>430</v>
      </c>
      <c r="CD125" s="6" t="s">
        <v>430</v>
      </c>
      <c r="CE125" s="6" t="s">
        <v>487</v>
      </c>
      <c r="CF125" s="6" t="s">
        <v>430</v>
      </c>
      <c r="CG125" s="6" t="s">
        <v>487</v>
      </c>
      <c r="CH125" s="6" t="s">
        <v>430</v>
      </c>
      <c r="CI125" s="6" t="s">
        <v>430</v>
      </c>
      <c r="CJ125" s="6" t="s">
        <v>430</v>
      </c>
      <c r="CK125" s="6" t="s">
        <v>430</v>
      </c>
      <c r="CL125" s="6" t="s">
        <v>430</v>
      </c>
      <c r="CM125" s="6" t="s">
        <v>430</v>
      </c>
      <c r="CN125" s="6" t="s">
        <v>487</v>
      </c>
      <c r="CO125" s="15" t="s">
        <v>430</v>
      </c>
      <c r="CP125" s="15" t="s">
        <v>432</v>
      </c>
      <c r="CQ125" s="6" t="s">
        <v>433</v>
      </c>
      <c r="CR125" s="15"/>
      <c r="CS125" s="6" t="s">
        <v>426</v>
      </c>
      <c r="CT125" s="6" t="s">
        <v>2396</v>
      </c>
      <c r="CU125" s="6" t="s">
        <v>656</v>
      </c>
      <c r="CV125" s="6" t="s">
        <v>692</v>
      </c>
      <c r="CW125" s="6" t="s">
        <v>988</v>
      </c>
      <c r="CX125" s="15" t="s">
        <v>426</v>
      </c>
      <c r="CY125" s="6" t="s">
        <v>426</v>
      </c>
      <c r="CZ125" s="6" t="s">
        <v>2154</v>
      </c>
      <c r="DA125" s="6" t="s">
        <v>692</v>
      </c>
      <c r="DB125" s="6" t="s">
        <v>658</v>
      </c>
      <c r="DC125" s="6" t="s">
        <v>692</v>
      </c>
      <c r="DD125" s="15" t="s">
        <v>692</v>
      </c>
      <c r="DE125" s="15" t="s">
        <v>436</v>
      </c>
      <c r="DF125" s="6" t="s">
        <v>437</v>
      </c>
      <c r="DG125" s="6">
        <v>1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/>
      <c r="DN125" s="6"/>
      <c r="DO125" s="6"/>
      <c r="DP125" s="6"/>
      <c r="DQ125" s="6"/>
      <c r="DR125" s="6"/>
      <c r="DS125" s="6"/>
      <c r="DT125" s="66"/>
      <c r="DU125" s="6" t="s">
        <v>438</v>
      </c>
      <c r="DV125" s="6" t="s">
        <v>426</v>
      </c>
      <c r="DW125" s="6" t="s">
        <v>490</v>
      </c>
      <c r="DX125" s="6" t="s">
        <v>440</v>
      </c>
      <c r="DY125" s="6"/>
      <c r="DZ125" s="6" t="s">
        <v>586</v>
      </c>
      <c r="EA125" s="6">
        <v>1</v>
      </c>
      <c r="EB125" s="6">
        <v>1</v>
      </c>
      <c r="EC125" s="6">
        <v>1</v>
      </c>
      <c r="ED125" s="6">
        <v>1</v>
      </c>
      <c r="EE125" s="6">
        <v>1</v>
      </c>
      <c r="EF125" s="6">
        <v>1</v>
      </c>
      <c r="EG125" s="6">
        <v>0</v>
      </c>
      <c r="EH125" s="6">
        <v>0</v>
      </c>
      <c r="EI125" s="6"/>
      <c r="EJ125" s="6" t="s">
        <v>851</v>
      </c>
      <c r="EK125" s="6">
        <v>1</v>
      </c>
      <c r="EL125" s="6">
        <v>1</v>
      </c>
      <c r="EM125" s="6">
        <v>1</v>
      </c>
      <c r="EN125" s="6">
        <v>1</v>
      </c>
      <c r="EO125" s="6">
        <v>1</v>
      </c>
      <c r="EP125" s="6">
        <v>0</v>
      </c>
      <c r="EQ125" s="6">
        <v>0</v>
      </c>
      <c r="ER125" s="6">
        <v>0</v>
      </c>
      <c r="ES125" s="6">
        <v>0</v>
      </c>
      <c r="ET125" s="6"/>
      <c r="EU125" s="6" t="s">
        <v>443</v>
      </c>
      <c r="EV125" s="6" t="s">
        <v>495</v>
      </c>
      <c r="EW125" s="6"/>
      <c r="EX125" s="6" t="s">
        <v>1051</v>
      </c>
      <c r="EY125" s="6">
        <v>1</v>
      </c>
      <c r="EZ125" s="6">
        <v>1</v>
      </c>
      <c r="FA125" s="6">
        <v>1</v>
      </c>
      <c r="FB125" s="6">
        <v>1</v>
      </c>
      <c r="FC125" s="6">
        <v>1</v>
      </c>
      <c r="FD125" s="6">
        <v>0</v>
      </c>
      <c r="FE125" s="6">
        <v>0</v>
      </c>
      <c r="FF125" s="6">
        <v>0</v>
      </c>
      <c r="FG125" s="6"/>
      <c r="FH125" s="6" t="s">
        <v>2397</v>
      </c>
      <c r="FI125" s="6">
        <v>1</v>
      </c>
      <c r="FJ125" s="6">
        <v>0</v>
      </c>
      <c r="FK125" s="6">
        <v>0</v>
      </c>
      <c r="FL125" s="6">
        <v>1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/>
      <c r="FT125" s="6" t="s">
        <v>447</v>
      </c>
      <c r="FU125" s="6" t="s">
        <v>499</v>
      </c>
      <c r="FV125" s="6"/>
      <c r="FW125" s="6" t="s">
        <v>449</v>
      </c>
      <c r="FX125" s="15" t="s">
        <v>450</v>
      </c>
      <c r="FY125" s="6" t="s">
        <v>451</v>
      </c>
      <c r="FZ125" s="6"/>
      <c r="GA125" s="6" t="s">
        <v>450</v>
      </c>
      <c r="GB125" s="6" t="s">
        <v>501</v>
      </c>
      <c r="GC125" s="6" t="s">
        <v>426</v>
      </c>
      <c r="GD125" s="6" t="s">
        <v>2398</v>
      </c>
      <c r="GE125" s="6" t="s">
        <v>454</v>
      </c>
      <c r="GF125" s="6" t="s">
        <v>2399</v>
      </c>
      <c r="GG125" s="6" t="s">
        <v>456</v>
      </c>
      <c r="GH125" s="15" t="s">
        <v>2400</v>
      </c>
      <c r="GI125" s="6" t="s">
        <v>458</v>
      </c>
      <c r="GJ125" s="6" t="s">
        <v>1374</v>
      </c>
      <c r="GK125" s="6" t="s">
        <v>460</v>
      </c>
      <c r="GL125" s="6" t="s">
        <v>2401</v>
      </c>
      <c r="GM125" s="6">
        <v>1</v>
      </c>
      <c r="GN125" s="6">
        <v>0</v>
      </c>
      <c r="GO125" s="6">
        <v>1</v>
      </c>
      <c r="GP125" s="6">
        <v>0</v>
      </c>
      <c r="GQ125" s="6">
        <v>0</v>
      </c>
      <c r="GR125" s="6">
        <v>0</v>
      </c>
      <c r="GS125" s="6">
        <v>0</v>
      </c>
      <c r="GT125" s="6"/>
      <c r="GU125" s="6" t="s">
        <v>534</v>
      </c>
      <c r="GV125" s="6" t="s">
        <v>595</v>
      </c>
      <c r="GW125" s="6" t="s">
        <v>464</v>
      </c>
      <c r="GX125" s="6">
        <v>1</v>
      </c>
      <c r="GY125" s="6">
        <v>0</v>
      </c>
      <c r="GZ125" s="6">
        <v>0</v>
      </c>
      <c r="HA125" s="6">
        <v>0</v>
      </c>
      <c r="HB125" s="6">
        <v>0</v>
      </c>
      <c r="HC125" s="6">
        <v>0</v>
      </c>
      <c r="HD125" s="6"/>
      <c r="HE125" s="6" t="s">
        <v>1076</v>
      </c>
      <c r="HF125" s="6">
        <v>1</v>
      </c>
      <c r="HG125" s="6">
        <v>1</v>
      </c>
      <c r="HH125" s="6">
        <v>1</v>
      </c>
      <c r="HI125" s="6">
        <v>0</v>
      </c>
      <c r="HJ125" s="6">
        <v>0</v>
      </c>
      <c r="HK125" s="6">
        <v>0</v>
      </c>
      <c r="HL125" s="15"/>
      <c r="HM125" s="6" t="s">
        <v>505</v>
      </c>
      <c r="HN125" s="6"/>
      <c r="HO125" s="6" t="s">
        <v>2402</v>
      </c>
      <c r="HP125" s="6" t="s">
        <v>561</v>
      </c>
      <c r="HQ125" s="6"/>
      <c r="HR125" s="6" t="s">
        <v>2403</v>
      </c>
      <c r="HS125" s="6" t="s">
        <v>508</v>
      </c>
      <c r="HT125" s="6">
        <v>0</v>
      </c>
      <c r="HU125" s="6">
        <v>0</v>
      </c>
      <c r="HV125" s="6">
        <v>1</v>
      </c>
      <c r="HW125" s="6">
        <v>0</v>
      </c>
      <c r="HX125" s="6">
        <v>0</v>
      </c>
      <c r="HY125" s="6">
        <v>0</v>
      </c>
      <c r="HZ125" s="6"/>
      <c r="IA125" s="6" t="s">
        <v>798</v>
      </c>
      <c r="IB125" s="6">
        <v>1</v>
      </c>
      <c r="IC125" s="6">
        <v>1</v>
      </c>
      <c r="ID125" s="6">
        <v>1</v>
      </c>
      <c r="IE125" s="6">
        <v>1</v>
      </c>
      <c r="IF125" s="6">
        <v>1</v>
      </c>
      <c r="IG125" s="6">
        <v>0</v>
      </c>
      <c r="IH125" s="15" t="s">
        <v>2404</v>
      </c>
      <c r="II125" s="6" t="s">
        <v>426</v>
      </c>
      <c r="IJ125" s="6" t="s">
        <v>472</v>
      </c>
      <c r="IK125" s="6">
        <v>1</v>
      </c>
      <c r="IL125" s="6">
        <v>0</v>
      </c>
      <c r="IM125" s="6">
        <v>0</v>
      </c>
      <c r="IN125" s="6"/>
      <c r="IO125" s="6" t="s">
        <v>473</v>
      </c>
      <c r="IP125" s="6">
        <v>1</v>
      </c>
      <c r="IQ125" s="6">
        <v>0</v>
      </c>
      <c r="IR125" s="6">
        <v>0</v>
      </c>
      <c r="IS125" s="6">
        <v>0</v>
      </c>
      <c r="IT125" s="6">
        <v>0</v>
      </c>
      <c r="IU125" s="6">
        <v>0</v>
      </c>
      <c r="IV125" s="6"/>
      <c r="IW125" s="6" t="s">
        <v>426</v>
      </c>
      <c r="IX125" s="6">
        <v>1</v>
      </c>
      <c r="IY125" s="6" t="s">
        <v>474</v>
      </c>
      <c r="IZ125" s="6" t="s">
        <v>475</v>
      </c>
      <c r="JA125" s="6" t="s">
        <v>426</v>
      </c>
      <c r="JB125" s="6" t="s">
        <v>476</v>
      </c>
      <c r="JC125" s="6"/>
      <c r="JD125" s="6"/>
      <c r="JE125" s="6"/>
      <c r="JF125" s="6"/>
      <c r="JG125" s="6"/>
      <c r="JH125" s="6"/>
      <c r="JI125" s="6"/>
      <c r="JJ125" s="6"/>
      <c r="JK125" s="6" t="s">
        <v>453</v>
      </c>
      <c r="JL125" s="6"/>
      <c r="JM125" s="6"/>
      <c r="JN125" s="6"/>
      <c r="JO125" s="6"/>
      <c r="JP125" s="6"/>
      <c r="JQ125" s="6"/>
      <c r="JR125" s="6"/>
      <c r="JS125" s="6"/>
      <c r="JT125" s="6"/>
      <c r="JU125" s="6" t="s">
        <v>544</v>
      </c>
      <c r="JV125" s="15"/>
      <c r="JW125" s="94" t="s">
        <v>2405</v>
      </c>
      <c r="JX125" s="6" t="s">
        <v>2406</v>
      </c>
      <c r="JY125" s="6">
        <v>0.5971333</v>
      </c>
      <c r="JZ125" s="6">
        <v>34.4661671</v>
      </c>
      <c r="KA125" s="6">
        <v>1298.844</v>
      </c>
      <c r="KB125" s="15">
        <v>2.145</v>
      </c>
      <c r="KC125" s="15"/>
    </row>
    <row r="126" spans="1:289">
      <c r="A126" s="6" t="s">
        <v>633</v>
      </c>
      <c r="B126" s="6" t="s">
        <v>420</v>
      </c>
      <c r="C126" s="6" t="s">
        <v>1608</v>
      </c>
      <c r="D126" s="6" t="s">
        <v>2407</v>
      </c>
      <c r="E126" s="6" t="s">
        <v>2408</v>
      </c>
      <c r="F126" s="8" t="s">
        <v>423</v>
      </c>
      <c r="G126" s="6" t="s">
        <v>567</v>
      </c>
      <c r="H126" s="6" t="s">
        <v>517</v>
      </c>
      <c r="I126" s="15"/>
      <c r="J126" s="6" t="s">
        <v>426</v>
      </c>
      <c r="K126" s="6" t="s">
        <v>426</v>
      </c>
      <c r="L126" s="6" t="s">
        <v>426</v>
      </c>
      <c r="M126" s="6" t="s">
        <v>426</v>
      </c>
      <c r="N126" s="6" t="s">
        <v>426</v>
      </c>
      <c r="O126" s="6" t="s">
        <v>426</v>
      </c>
      <c r="P126" s="6" t="s">
        <v>426</v>
      </c>
      <c r="Q126" s="6" t="s">
        <v>426</v>
      </c>
      <c r="R126" s="6" t="s">
        <v>426</v>
      </c>
      <c r="S126" s="6" t="s">
        <v>426</v>
      </c>
      <c r="T126" s="6" t="s">
        <v>426</v>
      </c>
      <c r="U126" s="6" t="s">
        <v>426</v>
      </c>
      <c r="V126" s="6" t="s">
        <v>426</v>
      </c>
      <c r="W126" s="6" t="s">
        <v>426</v>
      </c>
      <c r="X126" s="6" t="s">
        <v>426</v>
      </c>
      <c r="Y126" s="6" t="s">
        <v>426</v>
      </c>
      <c r="Z126" s="6" t="s">
        <v>426</v>
      </c>
      <c r="AA126" s="6" t="s">
        <v>426</v>
      </c>
      <c r="AB126" s="6" t="s">
        <v>426</v>
      </c>
      <c r="AC126" s="15" t="s">
        <v>426</v>
      </c>
      <c r="AD126" s="6" t="s">
        <v>427</v>
      </c>
      <c r="AE126" s="6">
        <v>0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0</v>
      </c>
      <c r="AM126" s="6"/>
      <c r="AN126" s="15"/>
      <c r="AO126" s="6" t="s">
        <v>426</v>
      </c>
      <c r="AP126" s="6" t="s">
        <v>660</v>
      </c>
      <c r="AQ126" s="6" t="s">
        <v>426</v>
      </c>
      <c r="AR126" s="6" t="s">
        <v>766</v>
      </c>
      <c r="AS126" s="6" t="s">
        <v>426</v>
      </c>
      <c r="AT126" s="6">
        <v>1</v>
      </c>
      <c r="AU126" s="6" t="s">
        <v>426</v>
      </c>
      <c r="AV126" s="6">
        <v>0.5</v>
      </c>
      <c r="AW126" s="6" t="s">
        <v>426</v>
      </c>
      <c r="AX126" s="6">
        <v>1</v>
      </c>
      <c r="AY126" s="6" t="s">
        <v>426</v>
      </c>
      <c r="AZ126" s="6">
        <v>1</v>
      </c>
      <c r="BA126" s="6" t="s">
        <v>426</v>
      </c>
      <c r="BB126" s="6">
        <v>0.1</v>
      </c>
      <c r="BC126" s="6" t="s">
        <v>426</v>
      </c>
      <c r="BD126" s="6">
        <v>1</v>
      </c>
      <c r="BE126" s="6" t="s">
        <v>426</v>
      </c>
      <c r="BF126" s="6">
        <v>1</v>
      </c>
      <c r="BG126" s="6" t="s">
        <v>426</v>
      </c>
      <c r="BH126" s="6">
        <v>0.1</v>
      </c>
      <c r="BI126" s="6" t="s">
        <v>426</v>
      </c>
      <c r="BJ126" s="6">
        <v>0.2</v>
      </c>
      <c r="BK126" s="6" t="s">
        <v>426</v>
      </c>
      <c r="BL126" s="6">
        <v>1</v>
      </c>
      <c r="BM126" s="6" t="s">
        <v>426</v>
      </c>
      <c r="BN126" s="6">
        <v>20</v>
      </c>
      <c r="BO126" s="6" t="s">
        <v>426</v>
      </c>
      <c r="BP126" s="6">
        <v>0.1</v>
      </c>
      <c r="BQ126" s="6" t="s">
        <v>426</v>
      </c>
      <c r="BR126" s="6">
        <v>500</v>
      </c>
      <c r="BS126" s="6" t="s">
        <v>426</v>
      </c>
      <c r="BT126" s="6">
        <v>4</v>
      </c>
      <c r="BU126" s="6" t="s">
        <v>426</v>
      </c>
      <c r="BV126" s="15">
        <v>1</v>
      </c>
      <c r="BW126" s="15" t="s">
        <v>518</v>
      </c>
      <c r="BX126" s="15" t="s">
        <v>429</v>
      </c>
      <c r="BY126" s="6" t="s">
        <v>430</v>
      </c>
      <c r="BZ126" s="6" t="s">
        <v>430</v>
      </c>
      <c r="CA126" s="6" t="s">
        <v>430</v>
      </c>
      <c r="CB126" s="6" t="s">
        <v>430</v>
      </c>
      <c r="CC126" s="6" t="s">
        <v>430</v>
      </c>
      <c r="CD126" s="6" t="s">
        <v>430</v>
      </c>
      <c r="CE126" s="6" t="s">
        <v>430</v>
      </c>
      <c r="CF126" s="6" t="s">
        <v>430</v>
      </c>
      <c r="CG126" s="6" t="s">
        <v>430</v>
      </c>
      <c r="CH126" s="6" t="s">
        <v>430</v>
      </c>
      <c r="CI126" s="6" t="s">
        <v>430</v>
      </c>
      <c r="CJ126" s="6" t="s">
        <v>430</v>
      </c>
      <c r="CK126" s="6" t="s">
        <v>430</v>
      </c>
      <c r="CL126" s="6" t="s">
        <v>430</v>
      </c>
      <c r="CM126" s="6" t="s">
        <v>430</v>
      </c>
      <c r="CN126" s="6" t="s">
        <v>430</v>
      </c>
      <c r="CO126" s="15" t="s">
        <v>430</v>
      </c>
      <c r="CP126" s="15" t="s">
        <v>432</v>
      </c>
      <c r="CQ126" s="6" t="s">
        <v>433</v>
      </c>
      <c r="CR126" s="15"/>
      <c r="CS126" s="6" t="s">
        <v>426</v>
      </c>
      <c r="CT126" s="6" t="s">
        <v>2409</v>
      </c>
      <c r="CU126" s="6" t="s">
        <v>660</v>
      </c>
      <c r="CV126" s="6" t="s">
        <v>987</v>
      </c>
      <c r="CW126" s="6" t="s">
        <v>988</v>
      </c>
      <c r="CX126" s="15" t="s">
        <v>426</v>
      </c>
      <c r="CY126" s="6" t="s">
        <v>426</v>
      </c>
      <c r="CZ126" s="6" t="s">
        <v>2410</v>
      </c>
      <c r="DA126" s="6" t="s">
        <v>735</v>
      </c>
      <c r="DB126" s="6" t="s">
        <v>1273</v>
      </c>
      <c r="DC126" s="6" t="s">
        <v>1087</v>
      </c>
      <c r="DD126" s="15" t="s">
        <v>2014</v>
      </c>
      <c r="DE126" s="15" t="s">
        <v>436</v>
      </c>
      <c r="DF126" s="6" t="s">
        <v>522</v>
      </c>
      <c r="DG126" s="6">
        <v>0</v>
      </c>
      <c r="DH126" s="6">
        <v>1</v>
      </c>
      <c r="DI126" s="6">
        <v>0</v>
      </c>
      <c r="DJ126" s="6">
        <v>0</v>
      </c>
      <c r="DK126" s="6">
        <v>0</v>
      </c>
      <c r="DL126" s="6">
        <v>0</v>
      </c>
      <c r="DM126" s="6"/>
      <c r="DN126" s="6"/>
      <c r="DO126" s="6"/>
      <c r="DP126" s="6"/>
      <c r="DQ126" s="6"/>
      <c r="DR126" s="6"/>
      <c r="DS126" s="6"/>
      <c r="DT126" s="66"/>
      <c r="DU126" s="6" t="s">
        <v>523</v>
      </c>
      <c r="DV126" s="6" t="s">
        <v>426</v>
      </c>
      <c r="DW126" s="6" t="s">
        <v>439</v>
      </c>
      <c r="DX126" s="6" t="s">
        <v>440</v>
      </c>
      <c r="DY126" s="6"/>
      <c r="DZ126" s="6" t="s">
        <v>1935</v>
      </c>
      <c r="EA126" s="6">
        <v>1</v>
      </c>
      <c r="EB126" s="6">
        <v>1</v>
      </c>
      <c r="EC126" s="6">
        <v>1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/>
      <c r="EJ126" s="6" t="s">
        <v>741</v>
      </c>
      <c r="EK126" s="6">
        <v>1</v>
      </c>
      <c r="EL126" s="6">
        <v>0</v>
      </c>
      <c r="EM126" s="6">
        <v>1</v>
      </c>
      <c r="EN126" s="6">
        <v>1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/>
      <c r="EU126" s="6" t="s">
        <v>443</v>
      </c>
      <c r="EV126" s="6" t="s">
        <v>554</v>
      </c>
      <c r="EW126" s="6"/>
      <c r="EX126" s="6" t="s">
        <v>1123</v>
      </c>
      <c r="EY126" s="6">
        <v>1</v>
      </c>
      <c r="EZ126" s="6">
        <v>0</v>
      </c>
      <c r="FA126" s="6">
        <v>0</v>
      </c>
      <c r="FB126" s="6">
        <v>0</v>
      </c>
      <c r="FC126" s="6">
        <v>0</v>
      </c>
      <c r="FD126" s="6">
        <v>0</v>
      </c>
      <c r="FE126" s="6">
        <v>0</v>
      </c>
      <c r="FF126" s="6">
        <v>0</v>
      </c>
      <c r="FG126" s="6"/>
      <c r="FH126" s="6" t="s">
        <v>993</v>
      </c>
      <c r="FI126" s="6">
        <v>0</v>
      </c>
      <c r="FJ126" s="6">
        <v>0</v>
      </c>
      <c r="FK126" s="6">
        <v>0</v>
      </c>
      <c r="FL126" s="6">
        <v>1</v>
      </c>
      <c r="FM126" s="6">
        <v>1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/>
      <c r="FT126" s="6" t="s">
        <v>2172</v>
      </c>
      <c r="FU126" s="6" t="s">
        <v>499</v>
      </c>
      <c r="FV126" s="6"/>
      <c r="FW126" s="6" t="s">
        <v>1124</v>
      </c>
      <c r="FX126" s="15" t="s">
        <v>450</v>
      </c>
      <c r="FY126" s="6" t="s">
        <v>529</v>
      </c>
      <c r="FZ126" s="6"/>
      <c r="GA126" s="6" t="s">
        <v>450</v>
      </c>
      <c r="GB126" s="6" t="s">
        <v>501</v>
      </c>
      <c r="GC126" s="6" t="s">
        <v>453</v>
      </c>
      <c r="GD126" s="6"/>
      <c r="GE126" s="6" t="s">
        <v>454</v>
      </c>
      <c r="GF126" s="6" t="s">
        <v>1748</v>
      </c>
      <c r="GG126" s="6" t="s">
        <v>456</v>
      </c>
      <c r="GH126" s="15" t="s">
        <v>2411</v>
      </c>
      <c r="GI126" s="6" t="s">
        <v>458</v>
      </c>
      <c r="GJ126" s="6" t="s">
        <v>2282</v>
      </c>
      <c r="GK126" s="6" t="s">
        <v>460</v>
      </c>
      <c r="GL126" s="6" t="s">
        <v>461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1</v>
      </c>
      <c r="GS126" s="6">
        <v>0</v>
      </c>
      <c r="GT126" s="6"/>
      <c r="GU126" s="6" t="s">
        <v>534</v>
      </c>
      <c r="GV126" s="6" t="s">
        <v>595</v>
      </c>
      <c r="GW126" s="6" t="s">
        <v>1647</v>
      </c>
      <c r="GX126" s="6">
        <v>0</v>
      </c>
      <c r="GY126" s="6">
        <v>0</v>
      </c>
      <c r="GZ126" s="6">
        <v>0</v>
      </c>
      <c r="HA126" s="6">
        <v>0</v>
      </c>
      <c r="HB126" s="6">
        <v>0</v>
      </c>
      <c r="HC126" s="6">
        <v>1</v>
      </c>
      <c r="HD126" s="6" t="s">
        <v>1500</v>
      </c>
      <c r="HE126" s="6" t="s">
        <v>1076</v>
      </c>
      <c r="HF126" s="6">
        <v>1</v>
      </c>
      <c r="HG126" s="6">
        <v>1</v>
      </c>
      <c r="HH126" s="6">
        <v>1</v>
      </c>
      <c r="HI126" s="6">
        <v>0</v>
      </c>
      <c r="HJ126" s="6">
        <v>0</v>
      </c>
      <c r="HK126" s="6">
        <v>0</v>
      </c>
      <c r="HL126" s="15"/>
      <c r="HM126" s="6" t="s">
        <v>505</v>
      </c>
      <c r="HN126" s="6"/>
      <c r="HO126" s="6" t="s">
        <v>2412</v>
      </c>
      <c r="HP126" s="6" t="s">
        <v>648</v>
      </c>
      <c r="HQ126" s="6"/>
      <c r="HR126" s="6" t="s">
        <v>2413</v>
      </c>
      <c r="HS126" s="6" t="s">
        <v>508</v>
      </c>
      <c r="HT126" s="6">
        <v>0</v>
      </c>
      <c r="HU126" s="6">
        <v>0</v>
      </c>
      <c r="HV126" s="6">
        <v>1</v>
      </c>
      <c r="HW126" s="6">
        <v>0</v>
      </c>
      <c r="HX126" s="6">
        <v>0</v>
      </c>
      <c r="HY126" s="6">
        <v>0</v>
      </c>
      <c r="HZ126" s="6"/>
      <c r="IA126" s="6" t="s">
        <v>1105</v>
      </c>
      <c r="IB126" s="6">
        <v>1</v>
      </c>
      <c r="IC126" s="6">
        <v>1</v>
      </c>
      <c r="ID126" s="6">
        <v>0</v>
      </c>
      <c r="IE126" s="6">
        <v>0</v>
      </c>
      <c r="IF126" s="6">
        <v>0</v>
      </c>
      <c r="IG126" s="6">
        <v>0</v>
      </c>
      <c r="IH126" s="15" t="s">
        <v>2414</v>
      </c>
      <c r="II126" s="6" t="s">
        <v>426</v>
      </c>
      <c r="IJ126" s="6" t="s">
        <v>472</v>
      </c>
      <c r="IK126" s="6">
        <v>1</v>
      </c>
      <c r="IL126" s="6">
        <v>0</v>
      </c>
      <c r="IM126" s="6">
        <v>0</v>
      </c>
      <c r="IN126" s="6"/>
      <c r="IO126" s="6" t="s">
        <v>473</v>
      </c>
      <c r="IP126" s="6">
        <v>1</v>
      </c>
      <c r="IQ126" s="6">
        <v>0</v>
      </c>
      <c r="IR126" s="6">
        <v>0</v>
      </c>
      <c r="IS126" s="6">
        <v>0</v>
      </c>
      <c r="IT126" s="6">
        <v>0</v>
      </c>
      <c r="IU126" s="6">
        <v>0</v>
      </c>
      <c r="IV126" s="6"/>
      <c r="IW126" s="6" t="s">
        <v>453</v>
      </c>
      <c r="IX126" s="6"/>
      <c r="IY126" s="6" t="s">
        <v>510</v>
      </c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 t="s">
        <v>453</v>
      </c>
      <c r="JK126" s="6" t="s">
        <v>453</v>
      </c>
      <c r="JL126" s="6"/>
      <c r="JM126" s="6"/>
      <c r="JN126" s="6"/>
      <c r="JO126" s="6"/>
      <c r="JP126" s="6"/>
      <c r="JQ126" s="6"/>
      <c r="JR126" s="6"/>
      <c r="JS126" s="6"/>
      <c r="JT126" s="6"/>
      <c r="JU126" s="6" t="s">
        <v>511</v>
      </c>
      <c r="JV126" s="15"/>
      <c r="JW126" s="94" t="s">
        <v>2415</v>
      </c>
      <c r="JX126" s="6" t="s">
        <v>2416</v>
      </c>
      <c r="JY126" s="6">
        <v>0.6043261</v>
      </c>
      <c r="JZ126" s="6">
        <v>34.4537603</v>
      </c>
      <c r="KA126" s="6">
        <v>1297</v>
      </c>
      <c r="KB126" s="15">
        <v>4.6</v>
      </c>
      <c r="KC126" s="15"/>
    </row>
    <row r="127" spans="1:289">
      <c r="A127" s="6" t="s">
        <v>2115</v>
      </c>
      <c r="B127" s="6" t="s">
        <v>420</v>
      </c>
      <c r="C127" s="6" t="s">
        <v>1608</v>
      </c>
      <c r="D127" s="6" t="s">
        <v>2417</v>
      </c>
      <c r="E127" s="6" t="s">
        <v>2418</v>
      </c>
      <c r="F127" s="8" t="s">
        <v>483</v>
      </c>
      <c r="G127" s="6" t="s">
        <v>484</v>
      </c>
      <c r="H127" s="6" t="s">
        <v>425</v>
      </c>
      <c r="I127" s="15"/>
      <c r="J127" s="6" t="s">
        <v>426</v>
      </c>
      <c r="K127" s="6" t="s">
        <v>426</v>
      </c>
      <c r="L127" s="6" t="s">
        <v>426</v>
      </c>
      <c r="M127" s="6" t="s">
        <v>453</v>
      </c>
      <c r="N127" s="6" t="s">
        <v>426</v>
      </c>
      <c r="O127" s="6" t="s">
        <v>426</v>
      </c>
      <c r="P127" s="6" t="s">
        <v>426</v>
      </c>
      <c r="Q127" s="6" t="s">
        <v>426</v>
      </c>
      <c r="R127" s="6" t="s">
        <v>426</v>
      </c>
      <c r="S127" s="6" t="s">
        <v>426</v>
      </c>
      <c r="T127" s="6" t="s">
        <v>426</v>
      </c>
      <c r="U127" s="6" t="s">
        <v>426</v>
      </c>
      <c r="V127" s="6" t="s">
        <v>426</v>
      </c>
      <c r="W127" s="6" t="s">
        <v>426</v>
      </c>
      <c r="X127" s="6" t="s">
        <v>426</v>
      </c>
      <c r="Y127" s="6" t="s">
        <v>426</v>
      </c>
      <c r="Z127" s="6" t="s">
        <v>426</v>
      </c>
      <c r="AA127" s="6" t="s">
        <v>426</v>
      </c>
      <c r="AB127" s="6" t="s">
        <v>426</v>
      </c>
      <c r="AC127" s="15" t="s">
        <v>426</v>
      </c>
      <c r="AD127" s="6" t="s">
        <v>427</v>
      </c>
      <c r="AE127" s="6">
        <v>0</v>
      </c>
      <c r="AF127" s="6">
        <v>0</v>
      </c>
      <c r="AG127" s="6">
        <v>0</v>
      </c>
      <c r="AH127" s="6">
        <v>1</v>
      </c>
      <c r="AI127" s="6">
        <v>0</v>
      </c>
      <c r="AJ127" s="6">
        <v>0</v>
      </c>
      <c r="AK127" s="6">
        <v>0</v>
      </c>
      <c r="AL127" s="6">
        <v>0</v>
      </c>
      <c r="AM127" s="6"/>
      <c r="AN127" s="15"/>
      <c r="AO127" s="6" t="s">
        <v>426</v>
      </c>
      <c r="AP127" s="6" t="s">
        <v>823</v>
      </c>
      <c r="AQ127" s="6" t="s">
        <v>426</v>
      </c>
      <c r="AR127" s="6" t="s">
        <v>985</v>
      </c>
      <c r="AS127" s="6" t="s">
        <v>426</v>
      </c>
      <c r="AT127" s="6">
        <v>1.5</v>
      </c>
      <c r="AU127" s="6" t="s">
        <v>426</v>
      </c>
      <c r="AV127" s="6">
        <v>1.5</v>
      </c>
      <c r="AW127" s="6" t="s">
        <v>426</v>
      </c>
      <c r="AX127" s="6">
        <v>1.5</v>
      </c>
      <c r="AY127" s="6" t="s">
        <v>426</v>
      </c>
      <c r="AZ127" s="6">
        <v>1</v>
      </c>
      <c r="BA127" s="6" t="s">
        <v>426</v>
      </c>
      <c r="BB127" s="6">
        <v>0.5</v>
      </c>
      <c r="BC127" s="6" t="s">
        <v>426</v>
      </c>
      <c r="BD127" s="6">
        <v>0.5</v>
      </c>
      <c r="BE127" s="6" t="s">
        <v>426</v>
      </c>
      <c r="BF127" s="6">
        <v>3</v>
      </c>
      <c r="BG127" s="6" t="s">
        <v>426</v>
      </c>
      <c r="BH127" s="6">
        <v>1</v>
      </c>
      <c r="BI127" s="6" t="s">
        <v>426</v>
      </c>
      <c r="BJ127" s="6">
        <v>1.5</v>
      </c>
      <c r="BK127" s="6" t="s">
        <v>426</v>
      </c>
      <c r="BL127" s="6">
        <v>1.5</v>
      </c>
      <c r="BM127" s="6" t="s">
        <v>426</v>
      </c>
      <c r="BN127" s="6">
        <v>20</v>
      </c>
      <c r="BO127" s="6" t="s">
        <v>426</v>
      </c>
      <c r="BP127" s="6">
        <v>0.125</v>
      </c>
      <c r="BQ127" s="6" t="s">
        <v>426</v>
      </c>
      <c r="BR127" s="6">
        <v>150</v>
      </c>
      <c r="BS127" s="6" t="s">
        <v>426</v>
      </c>
      <c r="BT127" s="6">
        <v>2</v>
      </c>
      <c r="BU127" s="6" t="s">
        <v>426</v>
      </c>
      <c r="BV127" s="15">
        <v>1.5</v>
      </c>
      <c r="BW127" s="15" t="s">
        <v>518</v>
      </c>
      <c r="BX127" s="15" t="s">
        <v>429</v>
      </c>
      <c r="BY127" s="6" t="s">
        <v>430</v>
      </c>
      <c r="BZ127" s="6" t="s">
        <v>430</v>
      </c>
      <c r="CA127" s="6" t="s">
        <v>430</v>
      </c>
      <c r="CB127" s="6" t="s">
        <v>430</v>
      </c>
      <c r="CC127" s="6" t="s">
        <v>430</v>
      </c>
      <c r="CD127" s="6" t="s">
        <v>430</v>
      </c>
      <c r="CE127" s="6" t="s">
        <v>430</v>
      </c>
      <c r="CF127" s="6" t="s">
        <v>430</v>
      </c>
      <c r="CG127" s="6" t="s">
        <v>430</v>
      </c>
      <c r="CH127" s="6" t="s">
        <v>430</v>
      </c>
      <c r="CI127" s="6" t="s">
        <v>430</v>
      </c>
      <c r="CJ127" s="6" t="s">
        <v>430</v>
      </c>
      <c r="CK127" s="6" t="s">
        <v>430</v>
      </c>
      <c r="CL127" s="6" t="s">
        <v>430</v>
      </c>
      <c r="CM127" s="6" t="s">
        <v>430</v>
      </c>
      <c r="CN127" s="6" t="s">
        <v>430</v>
      </c>
      <c r="CO127" s="15" t="s">
        <v>430</v>
      </c>
      <c r="CP127" s="15" t="s">
        <v>432</v>
      </c>
      <c r="CQ127" s="6" t="s">
        <v>433</v>
      </c>
      <c r="CR127" s="15"/>
      <c r="CS127" s="6" t="s">
        <v>426</v>
      </c>
      <c r="CT127" s="6" t="s">
        <v>2419</v>
      </c>
      <c r="CU127" s="6" t="s">
        <v>2420</v>
      </c>
      <c r="CV127" s="6" t="s">
        <v>825</v>
      </c>
      <c r="CW127" s="6" t="s">
        <v>2421</v>
      </c>
      <c r="CX127" s="15" t="s">
        <v>426</v>
      </c>
      <c r="CY127" s="6" t="s">
        <v>426</v>
      </c>
      <c r="CZ127" s="6" t="s">
        <v>1086</v>
      </c>
      <c r="DA127" s="6" t="s">
        <v>2422</v>
      </c>
      <c r="DB127" s="6" t="s">
        <v>845</v>
      </c>
      <c r="DC127" s="6" t="s">
        <v>825</v>
      </c>
      <c r="DD127" s="15" t="s">
        <v>826</v>
      </c>
      <c r="DE127" s="15" t="s">
        <v>436</v>
      </c>
      <c r="DF127" s="6" t="s">
        <v>437</v>
      </c>
      <c r="DG127" s="6">
        <v>1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/>
      <c r="DN127" s="6"/>
      <c r="DO127" s="6"/>
      <c r="DP127" s="6"/>
      <c r="DQ127" s="6"/>
      <c r="DR127" s="6"/>
      <c r="DS127" s="6"/>
      <c r="DT127" s="66"/>
      <c r="DU127" s="6" t="s">
        <v>438</v>
      </c>
      <c r="DV127" s="6" t="s">
        <v>426</v>
      </c>
      <c r="DW127" s="6" t="s">
        <v>490</v>
      </c>
      <c r="DX127" s="6" t="s">
        <v>440</v>
      </c>
      <c r="DY127" s="6"/>
      <c r="DZ127" s="6" t="s">
        <v>441</v>
      </c>
      <c r="EA127" s="6">
        <v>1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/>
      <c r="EJ127" s="6" t="s">
        <v>811</v>
      </c>
      <c r="EK127" s="6">
        <v>1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/>
      <c r="EU127" s="6" t="s">
        <v>443</v>
      </c>
      <c r="EV127" s="6" t="s">
        <v>588</v>
      </c>
      <c r="EW127" s="6"/>
      <c r="EX127" s="6" t="s">
        <v>1123</v>
      </c>
      <c r="EY127" s="6">
        <v>1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/>
      <c r="FH127" s="6" t="s">
        <v>555</v>
      </c>
      <c r="FI127" s="6">
        <v>0</v>
      </c>
      <c r="FJ127" s="6">
        <v>0</v>
      </c>
      <c r="FK127" s="6">
        <v>0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Q127" s="6">
        <v>1</v>
      </c>
      <c r="FR127" s="6">
        <v>0</v>
      </c>
      <c r="FS127" s="6"/>
      <c r="FT127" s="6" t="s">
        <v>447</v>
      </c>
      <c r="FU127" s="6" t="s">
        <v>499</v>
      </c>
      <c r="FV127" s="6"/>
      <c r="FW127" s="6" t="s">
        <v>449</v>
      </c>
      <c r="FX127" s="15" t="s">
        <v>450</v>
      </c>
      <c r="FY127" s="6" t="s">
        <v>500</v>
      </c>
      <c r="FZ127" s="6"/>
      <c r="GA127" s="6" t="s">
        <v>450</v>
      </c>
      <c r="GB127" s="6" t="s">
        <v>501</v>
      </c>
      <c r="GC127" s="6" t="s">
        <v>453</v>
      </c>
      <c r="GD127" s="6"/>
      <c r="GE127" s="6" t="s">
        <v>454</v>
      </c>
      <c r="GF127" s="6" t="s">
        <v>2423</v>
      </c>
      <c r="GG127" s="6" t="s">
        <v>456</v>
      </c>
      <c r="GH127" s="15" t="s">
        <v>2424</v>
      </c>
      <c r="GI127" s="6" t="s">
        <v>458</v>
      </c>
      <c r="GJ127" s="6" t="s">
        <v>2226</v>
      </c>
      <c r="GK127" s="6" t="s">
        <v>460</v>
      </c>
      <c r="GL127" s="6" t="s">
        <v>461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1</v>
      </c>
      <c r="GS127" s="6">
        <v>0</v>
      </c>
      <c r="GT127" s="6"/>
      <c r="GU127" s="6" t="s">
        <v>534</v>
      </c>
      <c r="GV127" s="6" t="s">
        <v>595</v>
      </c>
      <c r="GW127" s="6" t="s">
        <v>464</v>
      </c>
      <c r="GX127" s="6">
        <v>1</v>
      </c>
      <c r="GY127" s="6">
        <v>0</v>
      </c>
      <c r="GZ127" s="6">
        <v>0</v>
      </c>
      <c r="HA127" s="6">
        <v>0</v>
      </c>
      <c r="HB127" s="6">
        <v>0</v>
      </c>
      <c r="HC127" s="6">
        <v>0</v>
      </c>
      <c r="HD127" s="6"/>
      <c r="HE127" s="6" t="s">
        <v>465</v>
      </c>
      <c r="HF127" s="6">
        <v>0</v>
      </c>
      <c r="HG127" s="6">
        <v>1</v>
      </c>
      <c r="HH127" s="6">
        <v>0</v>
      </c>
      <c r="HI127" s="6">
        <v>0</v>
      </c>
      <c r="HJ127" s="6">
        <v>0</v>
      </c>
      <c r="HK127" s="6">
        <v>0</v>
      </c>
      <c r="HL127" s="15"/>
      <c r="HM127" s="6" t="s">
        <v>505</v>
      </c>
      <c r="HN127" s="6"/>
      <c r="HO127" s="6" t="s">
        <v>2122</v>
      </c>
      <c r="HP127" s="6" t="s">
        <v>468</v>
      </c>
      <c r="HQ127" s="6"/>
      <c r="HR127" s="6" t="s">
        <v>2425</v>
      </c>
      <c r="HS127" s="6" t="s">
        <v>540</v>
      </c>
      <c r="HT127" s="6">
        <v>1</v>
      </c>
      <c r="HU127" s="6">
        <v>0</v>
      </c>
      <c r="HV127" s="6">
        <v>0</v>
      </c>
      <c r="HW127" s="6">
        <v>0</v>
      </c>
      <c r="HX127" s="6">
        <v>0</v>
      </c>
      <c r="HY127" s="6">
        <v>0</v>
      </c>
      <c r="HZ127" s="6"/>
      <c r="IA127" s="6" t="s">
        <v>111</v>
      </c>
      <c r="IB127" s="6">
        <v>1</v>
      </c>
      <c r="IC127" s="6">
        <v>0</v>
      </c>
      <c r="ID127" s="6">
        <v>0</v>
      </c>
      <c r="IE127" s="6">
        <v>0</v>
      </c>
      <c r="IF127" s="6">
        <v>0</v>
      </c>
      <c r="IG127" s="6">
        <v>0</v>
      </c>
      <c r="IH127" s="15" t="s">
        <v>2426</v>
      </c>
      <c r="II127" s="6" t="s">
        <v>426</v>
      </c>
      <c r="IJ127" s="6" t="s">
        <v>543</v>
      </c>
      <c r="IK127" s="6">
        <v>0</v>
      </c>
      <c r="IL127" s="6">
        <v>1</v>
      </c>
      <c r="IM127" s="6">
        <v>0</v>
      </c>
      <c r="IN127" s="6"/>
      <c r="IO127" s="6" t="s">
        <v>473</v>
      </c>
      <c r="IP127" s="6">
        <v>1</v>
      </c>
      <c r="IQ127" s="6">
        <v>0</v>
      </c>
      <c r="IR127" s="6">
        <v>0</v>
      </c>
      <c r="IS127" s="6">
        <v>0</v>
      </c>
      <c r="IT127" s="6">
        <v>0</v>
      </c>
      <c r="IU127" s="6">
        <v>0</v>
      </c>
      <c r="IV127" s="6"/>
      <c r="IW127" s="6" t="s">
        <v>426</v>
      </c>
      <c r="IX127" s="6">
        <v>1</v>
      </c>
      <c r="IY127" s="6" t="s">
        <v>474</v>
      </c>
      <c r="IZ127" s="6" t="s">
        <v>604</v>
      </c>
      <c r="JA127" s="6" t="s">
        <v>605</v>
      </c>
      <c r="JB127" s="6"/>
      <c r="JC127" s="6"/>
      <c r="JD127" s="6"/>
      <c r="JE127" s="6"/>
      <c r="JF127" s="6"/>
      <c r="JG127" s="6"/>
      <c r="JH127" s="6"/>
      <c r="JI127" s="6"/>
      <c r="JJ127" s="6"/>
      <c r="JK127" s="6" t="s">
        <v>453</v>
      </c>
      <c r="JL127" s="6"/>
      <c r="JM127" s="6"/>
      <c r="JN127" s="6"/>
      <c r="JO127" s="6"/>
      <c r="JP127" s="6"/>
      <c r="JQ127" s="6"/>
      <c r="JR127" s="6"/>
      <c r="JS127" s="6"/>
      <c r="JT127" s="6"/>
      <c r="JU127" s="6" t="s">
        <v>544</v>
      </c>
      <c r="JV127" s="15"/>
      <c r="JW127" s="94" t="s">
        <v>2427</v>
      </c>
      <c r="JX127" s="6" t="s">
        <v>2428</v>
      </c>
      <c r="JY127" s="6">
        <v>0.6106276</v>
      </c>
      <c r="JZ127" s="6">
        <v>34.4900799</v>
      </c>
      <c r="KA127" s="6">
        <v>1377.023</v>
      </c>
      <c r="KB127" s="15">
        <v>4.591</v>
      </c>
      <c r="KC127" s="15"/>
    </row>
    <row r="128" spans="1:289">
      <c r="A128" s="6" t="s">
        <v>419</v>
      </c>
      <c r="B128" s="6" t="s">
        <v>420</v>
      </c>
      <c r="C128" s="6" t="s">
        <v>1608</v>
      </c>
      <c r="D128" s="6" t="s">
        <v>2344</v>
      </c>
      <c r="E128" s="6" t="s">
        <v>2429</v>
      </c>
      <c r="F128" s="8" t="s">
        <v>483</v>
      </c>
      <c r="G128" s="6" t="s">
        <v>424</v>
      </c>
      <c r="H128" s="6" t="s">
        <v>425</v>
      </c>
      <c r="I128" s="15"/>
      <c r="J128" s="6" t="s">
        <v>426</v>
      </c>
      <c r="K128" s="6" t="s">
        <v>426</v>
      </c>
      <c r="L128" s="6" t="s">
        <v>426</v>
      </c>
      <c r="M128" s="6" t="s">
        <v>426</v>
      </c>
      <c r="N128" s="6" t="s">
        <v>426</v>
      </c>
      <c r="O128" s="6" t="s">
        <v>426</v>
      </c>
      <c r="P128" s="6" t="s">
        <v>426</v>
      </c>
      <c r="Q128" s="6" t="s">
        <v>426</v>
      </c>
      <c r="R128" s="6" t="s">
        <v>426</v>
      </c>
      <c r="S128" s="6" t="s">
        <v>426</v>
      </c>
      <c r="T128" s="6" t="s">
        <v>426</v>
      </c>
      <c r="U128" s="6" t="s">
        <v>426</v>
      </c>
      <c r="V128" s="6" t="s">
        <v>426</v>
      </c>
      <c r="W128" s="6" t="s">
        <v>426</v>
      </c>
      <c r="X128" s="6" t="s">
        <v>426</v>
      </c>
      <c r="Y128" s="6" t="s">
        <v>426</v>
      </c>
      <c r="Z128" s="6" t="s">
        <v>426</v>
      </c>
      <c r="AA128" s="6" t="s">
        <v>426</v>
      </c>
      <c r="AB128" s="6" t="s">
        <v>426</v>
      </c>
      <c r="AC128" s="15" t="s">
        <v>426</v>
      </c>
      <c r="AD128" s="6" t="s">
        <v>427</v>
      </c>
      <c r="AE128" s="6">
        <v>0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/>
      <c r="AN128" s="15"/>
      <c r="AO128" s="6" t="s">
        <v>426</v>
      </c>
      <c r="AP128" s="6" t="s">
        <v>823</v>
      </c>
      <c r="AQ128" s="6" t="s">
        <v>426</v>
      </c>
      <c r="AR128" s="6" t="s">
        <v>823</v>
      </c>
      <c r="AS128" s="6" t="s">
        <v>426</v>
      </c>
      <c r="AT128" s="6">
        <v>0.2</v>
      </c>
      <c r="AU128" s="6" t="s">
        <v>426</v>
      </c>
      <c r="AV128" s="6">
        <v>0.2</v>
      </c>
      <c r="AW128" s="6" t="s">
        <v>426</v>
      </c>
      <c r="AX128" s="6">
        <v>0.75</v>
      </c>
      <c r="AY128" s="6" t="s">
        <v>426</v>
      </c>
      <c r="AZ128" s="6">
        <v>1</v>
      </c>
      <c r="BA128" s="6" t="s">
        <v>426</v>
      </c>
      <c r="BB128" s="6">
        <v>0.75</v>
      </c>
      <c r="BC128" s="6" t="s">
        <v>426</v>
      </c>
      <c r="BD128" s="6">
        <v>0.75</v>
      </c>
      <c r="BE128" s="6" t="s">
        <v>426</v>
      </c>
      <c r="BF128" s="6">
        <v>10</v>
      </c>
      <c r="BG128" s="6" t="s">
        <v>426</v>
      </c>
      <c r="BH128" s="6">
        <v>0.2</v>
      </c>
      <c r="BI128" s="6" t="s">
        <v>426</v>
      </c>
      <c r="BJ128" s="6">
        <v>0.2</v>
      </c>
      <c r="BK128" s="6" t="s">
        <v>426</v>
      </c>
      <c r="BL128" s="6">
        <v>1</v>
      </c>
      <c r="BM128" s="6" t="s">
        <v>426</v>
      </c>
      <c r="BN128" s="6">
        <v>20</v>
      </c>
      <c r="BO128" s="6" t="s">
        <v>426</v>
      </c>
      <c r="BP128" s="6">
        <v>0.75</v>
      </c>
      <c r="BQ128" s="6" t="s">
        <v>426</v>
      </c>
      <c r="BR128" s="6">
        <v>320</v>
      </c>
      <c r="BS128" s="6" t="s">
        <v>426</v>
      </c>
      <c r="BT128" s="6">
        <v>7</v>
      </c>
      <c r="BU128" s="6" t="s">
        <v>426</v>
      </c>
      <c r="BV128" s="15">
        <v>0.75</v>
      </c>
      <c r="BW128" s="15" t="s">
        <v>428</v>
      </c>
      <c r="BX128" s="15" t="s">
        <v>429</v>
      </c>
      <c r="BY128" s="6" t="s">
        <v>430</v>
      </c>
      <c r="BZ128" s="6" t="s">
        <v>430</v>
      </c>
      <c r="CA128" s="6" t="s">
        <v>430</v>
      </c>
      <c r="CB128" s="6" t="s">
        <v>431</v>
      </c>
      <c r="CC128" s="6" t="s">
        <v>430</v>
      </c>
      <c r="CD128" s="6" t="s">
        <v>431</v>
      </c>
      <c r="CE128" s="6" t="s">
        <v>431</v>
      </c>
      <c r="CF128" s="6" t="s">
        <v>430</v>
      </c>
      <c r="CG128" s="6" t="s">
        <v>431</v>
      </c>
      <c r="CH128" s="6" t="s">
        <v>431</v>
      </c>
      <c r="CI128" s="6" t="s">
        <v>430</v>
      </c>
      <c r="CJ128" s="6" t="s">
        <v>430</v>
      </c>
      <c r="CK128" s="6" t="s">
        <v>430</v>
      </c>
      <c r="CL128" s="6" t="s">
        <v>430</v>
      </c>
      <c r="CM128" s="6" t="s">
        <v>430</v>
      </c>
      <c r="CN128" s="6" t="s">
        <v>431</v>
      </c>
      <c r="CO128" s="15" t="s">
        <v>430</v>
      </c>
      <c r="CP128" s="15" t="s">
        <v>432</v>
      </c>
      <c r="CQ128" s="6" t="s">
        <v>433</v>
      </c>
      <c r="CR128" s="15"/>
      <c r="CS128" s="6" t="s">
        <v>426</v>
      </c>
      <c r="CT128" s="6" t="s">
        <v>2430</v>
      </c>
      <c r="CU128" s="6" t="s">
        <v>1367</v>
      </c>
      <c r="CV128" s="6" t="s">
        <v>737</v>
      </c>
      <c r="CW128" s="6" t="s">
        <v>1866</v>
      </c>
      <c r="CX128" s="15" t="s">
        <v>426</v>
      </c>
      <c r="CY128" s="6" t="s">
        <v>426</v>
      </c>
      <c r="CZ128" s="6" t="s">
        <v>1451</v>
      </c>
      <c r="DA128" s="6" t="s">
        <v>1137</v>
      </c>
      <c r="DB128" s="6" t="s">
        <v>2431</v>
      </c>
      <c r="DC128" s="6" t="s">
        <v>733</v>
      </c>
      <c r="DD128" s="15" t="s">
        <v>1866</v>
      </c>
      <c r="DE128" s="15" t="s">
        <v>521</v>
      </c>
      <c r="DF128" s="6" t="s">
        <v>611</v>
      </c>
      <c r="DG128" s="6">
        <v>1</v>
      </c>
      <c r="DH128" s="6">
        <v>1</v>
      </c>
      <c r="DI128" s="6">
        <v>0</v>
      </c>
      <c r="DJ128" s="6">
        <v>0</v>
      </c>
      <c r="DK128" s="6">
        <v>0</v>
      </c>
      <c r="DL128" s="6">
        <v>0</v>
      </c>
      <c r="DM128" s="6"/>
      <c r="DN128" s="6"/>
      <c r="DO128" s="6"/>
      <c r="DP128" s="6"/>
      <c r="DQ128" s="6"/>
      <c r="DR128" s="6"/>
      <c r="DS128" s="6"/>
      <c r="DT128" s="66"/>
      <c r="DU128" s="6" t="s">
        <v>438</v>
      </c>
      <c r="DV128" s="6" t="s">
        <v>426</v>
      </c>
      <c r="DW128" s="6" t="s">
        <v>439</v>
      </c>
      <c r="DX128" s="6" t="s">
        <v>491</v>
      </c>
      <c r="DY128" s="6"/>
      <c r="DZ128" s="6" t="s">
        <v>940</v>
      </c>
      <c r="EA128" s="6">
        <v>1</v>
      </c>
      <c r="EB128" s="6">
        <v>1</v>
      </c>
      <c r="EC128" s="6">
        <v>1</v>
      </c>
      <c r="ED128" s="6">
        <v>1</v>
      </c>
      <c r="EE128" s="6">
        <v>0</v>
      </c>
      <c r="EF128" s="6">
        <v>0</v>
      </c>
      <c r="EG128" s="6">
        <v>0</v>
      </c>
      <c r="EH128" s="6">
        <v>0</v>
      </c>
      <c r="EI128" s="6"/>
      <c r="EJ128" s="6" t="s">
        <v>2432</v>
      </c>
      <c r="EK128" s="6">
        <v>1</v>
      </c>
      <c r="EL128" s="6">
        <v>1</v>
      </c>
      <c r="EM128" s="6">
        <v>1</v>
      </c>
      <c r="EN128" s="6">
        <v>1</v>
      </c>
      <c r="EO128" s="6">
        <v>1</v>
      </c>
      <c r="EP128" s="6">
        <v>1</v>
      </c>
      <c r="EQ128" s="6">
        <v>0</v>
      </c>
      <c r="ER128" s="6">
        <v>0</v>
      </c>
      <c r="ES128" s="6">
        <v>0</v>
      </c>
      <c r="ET128" s="6"/>
      <c r="EU128" s="6" t="s">
        <v>494</v>
      </c>
      <c r="EV128" s="6" t="s">
        <v>495</v>
      </c>
      <c r="EW128" s="6"/>
      <c r="EX128" s="6" t="s">
        <v>445</v>
      </c>
      <c r="EY128" s="6">
        <v>0</v>
      </c>
      <c r="EZ128" s="6">
        <v>0</v>
      </c>
      <c r="FA128" s="6">
        <v>1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/>
      <c r="FH128" s="6" t="s">
        <v>446</v>
      </c>
      <c r="FI128" s="6">
        <v>1</v>
      </c>
      <c r="FJ128" s="6">
        <v>0</v>
      </c>
      <c r="FK128" s="6">
        <v>0</v>
      </c>
      <c r="FL128" s="6">
        <v>0</v>
      </c>
      <c r="FM128" s="6">
        <v>1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/>
      <c r="FT128" s="6" t="s">
        <v>447</v>
      </c>
      <c r="FU128" s="6" t="s">
        <v>448</v>
      </c>
      <c r="FV128" s="6"/>
      <c r="FW128" s="6" t="s">
        <v>449</v>
      </c>
      <c r="FX128" s="15" t="s">
        <v>528</v>
      </c>
      <c r="FY128" s="6" t="s">
        <v>451</v>
      </c>
      <c r="FZ128" s="6"/>
      <c r="GA128" s="6" t="s">
        <v>528</v>
      </c>
      <c r="GB128" s="6" t="s">
        <v>452</v>
      </c>
      <c r="GC128" s="6" t="s">
        <v>453</v>
      </c>
      <c r="GD128" s="6"/>
      <c r="GE128" s="6" t="s">
        <v>454</v>
      </c>
      <c r="GF128" s="6" t="s">
        <v>2433</v>
      </c>
      <c r="GG128" s="6" t="s">
        <v>456</v>
      </c>
      <c r="GH128" s="15" t="s">
        <v>2434</v>
      </c>
      <c r="GI128" s="6" t="s">
        <v>458</v>
      </c>
      <c r="GJ128" s="6" t="s">
        <v>2435</v>
      </c>
      <c r="GK128" s="6" t="s">
        <v>460</v>
      </c>
      <c r="GL128" s="6" t="s">
        <v>704</v>
      </c>
      <c r="GM128" s="6">
        <v>0</v>
      </c>
      <c r="GN128" s="6">
        <v>0</v>
      </c>
      <c r="GO128" s="6">
        <v>0</v>
      </c>
      <c r="GP128" s="6">
        <v>1</v>
      </c>
      <c r="GQ128" s="6">
        <v>0</v>
      </c>
      <c r="GR128" s="6">
        <v>0</v>
      </c>
      <c r="GS128" s="6">
        <v>0</v>
      </c>
      <c r="GT128" s="6"/>
      <c r="GU128" s="6" t="s">
        <v>462</v>
      </c>
      <c r="GV128" s="6" t="s">
        <v>463</v>
      </c>
      <c r="GW128" s="6" t="s">
        <v>464</v>
      </c>
      <c r="GX128" s="6">
        <v>1</v>
      </c>
      <c r="GY128" s="6">
        <v>0</v>
      </c>
      <c r="GZ128" s="6">
        <v>0</v>
      </c>
      <c r="HA128" s="6">
        <v>0</v>
      </c>
      <c r="HB128" s="6">
        <v>0</v>
      </c>
      <c r="HC128" s="6">
        <v>0</v>
      </c>
      <c r="HD128" s="6"/>
      <c r="HE128" s="6" t="s">
        <v>535</v>
      </c>
      <c r="HF128" s="6">
        <v>1</v>
      </c>
      <c r="HG128" s="6">
        <v>0</v>
      </c>
      <c r="HH128" s="6">
        <v>0</v>
      </c>
      <c r="HI128" s="6">
        <v>0</v>
      </c>
      <c r="HJ128" s="6">
        <v>0</v>
      </c>
      <c r="HK128" s="6">
        <v>0</v>
      </c>
      <c r="HL128" s="15"/>
      <c r="HM128" s="6" t="s">
        <v>466</v>
      </c>
      <c r="HN128" s="6"/>
      <c r="HO128" s="6" t="s">
        <v>2436</v>
      </c>
      <c r="HP128" s="6" t="s">
        <v>468</v>
      </c>
      <c r="HQ128" s="6"/>
      <c r="HR128" s="6" t="s">
        <v>1297</v>
      </c>
      <c r="HS128" s="6" t="s">
        <v>470</v>
      </c>
      <c r="HT128" s="6">
        <v>0</v>
      </c>
      <c r="HU128" s="6">
        <v>0</v>
      </c>
      <c r="HV128" s="6">
        <v>0</v>
      </c>
      <c r="HW128" s="6">
        <v>0</v>
      </c>
      <c r="HX128" s="6">
        <v>1</v>
      </c>
      <c r="HY128" s="6">
        <v>0</v>
      </c>
      <c r="HZ128" s="6"/>
      <c r="IA128" s="6" t="s">
        <v>541</v>
      </c>
      <c r="IB128" s="6">
        <v>0</v>
      </c>
      <c r="IC128" s="6">
        <v>0</v>
      </c>
      <c r="ID128" s="6">
        <v>1</v>
      </c>
      <c r="IE128" s="6">
        <v>0</v>
      </c>
      <c r="IF128" s="6">
        <v>0</v>
      </c>
      <c r="IG128" s="6">
        <v>0</v>
      </c>
      <c r="IH128" s="15" t="s">
        <v>2437</v>
      </c>
      <c r="II128" s="6" t="s">
        <v>426</v>
      </c>
      <c r="IJ128" s="6" t="s">
        <v>472</v>
      </c>
      <c r="IK128" s="6">
        <v>1</v>
      </c>
      <c r="IL128" s="6">
        <v>0</v>
      </c>
      <c r="IM128" s="6">
        <v>0</v>
      </c>
      <c r="IN128" s="6"/>
      <c r="IO128" s="6" t="s">
        <v>473</v>
      </c>
      <c r="IP128" s="6">
        <v>1</v>
      </c>
      <c r="IQ128" s="6">
        <v>0</v>
      </c>
      <c r="IR128" s="6">
        <v>0</v>
      </c>
      <c r="IS128" s="6">
        <v>0</v>
      </c>
      <c r="IT128" s="6">
        <v>0</v>
      </c>
      <c r="IU128" s="6">
        <v>0</v>
      </c>
      <c r="IV128" s="6"/>
      <c r="IW128" s="6" t="s">
        <v>453</v>
      </c>
      <c r="IX128" s="6"/>
      <c r="IY128" s="6" t="s">
        <v>510</v>
      </c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 t="s">
        <v>426</v>
      </c>
      <c r="JK128" s="6" t="s">
        <v>426</v>
      </c>
      <c r="JL128" s="6" t="s">
        <v>426</v>
      </c>
      <c r="JM128" s="6"/>
      <c r="JN128" s="6"/>
      <c r="JO128" s="6"/>
      <c r="JP128" s="6"/>
      <c r="JQ128" s="6"/>
      <c r="JR128" s="6"/>
      <c r="JS128" s="6"/>
      <c r="JT128" s="6"/>
      <c r="JU128" s="6" t="s">
        <v>477</v>
      </c>
      <c r="JV128" s="15"/>
      <c r="JW128" s="94" t="s">
        <v>2438</v>
      </c>
      <c r="JX128" s="6" t="s">
        <v>2439</v>
      </c>
      <c r="JY128" s="6">
        <v>0.5949517</v>
      </c>
      <c r="JZ128" s="6">
        <v>34.468485</v>
      </c>
      <c r="KA128" s="6">
        <v>1335.6</v>
      </c>
      <c r="KB128" s="15">
        <v>3.5</v>
      </c>
      <c r="KC128" s="15"/>
    </row>
    <row r="129" spans="1:289">
      <c r="A129" s="6" t="s">
        <v>2115</v>
      </c>
      <c r="B129" s="6" t="s">
        <v>420</v>
      </c>
      <c r="C129" s="6" t="s">
        <v>1608</v>
      </c>
      <c r="D129" s="6" t="s">
        <v>1877</v>
      </c>
      <c r="E129" s="6" t="s">
        <v>2440</v>
      </c>
      <c r="F129" s="8" t="s">
        <v>483</v>
      </c>
      <c r="G129" s="6" t="s">
        <v>424</v>
      </c>
      <c r="H129" s="6" t="s">
        <v>425</v>
      </c>
      <c r="I129" s="15"/>
      <c r="J129" s="6" t="s">
        <v>426</v>
      </c>
      <c r="K129" s="6" t="s">
        <v>426</v>
      </c>
      <c r="L129" s="6" t="s">
        <v>426</v>
      </c>
      <c r="M129" s="6" t="s">
        <v>426</v>
      </c>
      <c r="N129" s="6" t="s">
        <v>426</v>
      </c>
      <c r="O129" s="6" t="s">
        <v>426</v>
      </c>
      <c r="P129" s="6" t="s">
        <v>426</v>
      </c>
      <c r="Q129" s="6" t="s">
        <v>426</v>
      </c>
      <c r="R129" s="6" t="s">
        <v>426</v>
      </c>
      <c r="S129" s="6" t="s">
        <v>426</v>
      </c>
      <c r="T129" s="6" t="s">
        <v>426</v>
      </c>
      <c r="U129" s="6" t="s">
        <v>426</v>
      </c>
      <c r="V129" s="6" t="s">
        <v>426</v>
      </c>
      <c r="W129" s="6" t="s">
        <v>426</v>
      </c>
      <c r="X129" s="6" t="s">
        <v>426</v>
      </c>
      <c r="Y129" s="6" t="s">
        <v>426</v>
      </c>
      <c r="Z129" s="6" t="s">
        <v>426</v>
      </c>
      <c r="AA129" s="6" t="s">
        <v>426</v>
      </c>
      <c r="AB129" s="6" t="s">
        <v>426</v>
      </c>
      <c r="AC129" s="15" t="s">
        <v>426</v>
      </c>
      <c r="AD129" s="6" t="s">
        <v>427</v>
      </c>
      <c r="AE129" s="6">
        <v>0</v>
      </c>
      <c r="AF129" s="6">
        <v>0</v>
      </c>
      <c r="AG129" s="6">
        <v>0</v>
      </c>
      <c r="AH129" s="6">
        <v>1</v>
      </c>
      <c r="AI129" s="6">
        <v>0</v>
      </c>
      <c r="AJ129" s="6">
        <v>0</v>
      </c>
      <c r="AK129" s="6">
        <v>0</v>
      </c>
      <c r="AL129" s="6">
        <v>0</v>
      </c>
      <c r="AM129" s="6"/>
      <c r="AN129" s="15"/>
      <c r="AO129" s="6" t="s">
        <v>426</v>
      </c>
      <c r="AP129" s="6" t="s">
        <v>683</v>
      </c>
      <c r="AQ129" s="6" t="s">
        <v>426</v>
      </c>
      <c r="AR129" s="6" t="s">
        <v>901</v>
      </c>
      <c r="AS129" s="6" t="s">
        <v>426</v>
      </c>
      <c r="AT129" s="6">
        <v>1</v>
      </c>
      <c r="AU129" s="6" t="s">
        <v>426</v>
      </c>
      <c r="AV129" s="6">
        <v>1</v>
      </c>
      <c r="AW129" s="6" t="s">
        <v>426</v>
      </c>
      <c r="AX129" s="6">
        <v>1</v>
      </c>
      <c r="AY129" s="6" t="s">
        <v>426</v>
      </c>
      <c r="AZ129" s="6">
        <v>1</v>
      </c>
      <c r="BA129" s="6" t="s">
        <v>426</v>
      </c>
      <c r="BB129" s="6">
        <v>0.5</v>
      </c>
      <c r="BC129" s="6" t="s">
        <v>426</v>
      </c>
      <c r="BD129" s="6">
        <v>0.5</v>
      </c>
      <c r="BE129" s="6" t="s">
        <v>426</v>
      </c>
      <c r="BF129" s="6">
        <v>4</v>
      </c>
      <c r="BG129" s="6" t="s">
        <v>426</v>
      </c>
      <c r="BH129" s="6">
        <v>0.25</v>
      </c>
      <c r="BI129" s="6" t="s">
        <v>426</v>
      </c>
      <c r="BJ129" s="6">
        <v>0.5</v>
      </c>
      <c r="BK129" s="6" t="s">
        <v>426</v>
      </c>
      <c r="BL129" s="6">
        <v>0.5</v>
      </c>
      <c r="BM129" s="6" t="s">
        <v>426</v>
      </c>
      <c r="BN129" s="6">
        <v>30</v>
      </c>
      <c r="BO129" s="6" t="s">
        <v>426</v>
      </c>
      <c r="BP129" s="6">
        <v>0.25</v>
      </c>
      <c r="BQ129" s="6" t="s">
        <v>426</v>
      </c>
      <c r="BR129" s="6">
        <v>100</v>
      </c>
      <c r="BS129" s="6" t="s">
        <v>426</v>
      </c>
      <c r="BT129" s="6">
        <v>1</v>
      </c>
      <c r="BU129" s="6" t="s">
        <v>426</v>
      </c>
      <c r="BV129" s="15">
        <v>0.5</v>
      </c>
      <c r="BW129" s="15" t="s">
        <v>518</v>
      </c>
      <c r="BX129" s="15" t="s">
        <v>786</v>
      </c>
      <c r="BY129" s="6" t="s">
        <v>430</v>
      </c>
      <c r="BZ129" s="6" t="s">
        <v>430</v>
      </c>
      <c r="CA129" s="6" t="s">
        <v>430</v>
      </c>
      <c r="CB129" s="6" t="s">
        <v>430</v>
      </c>
      <c r="CC129" s="6" t="s">
        <v>430</v>
      </c>
      <c r="CD129" s="6" t="s">
        <v>430</v>
      </c>
      <c r="CE129" s="6" t="s">
        <v>430</v>
      </c>
      <c r="CF129" s="6" t="s">
        <v>430</v>
      </c>
      <c r="CG129" s="6" t="s">
        <v>430</v>
      </c>
      <c r="CH129" s="6" t="s">
        <v>430</v>
      </c>
      <c r="CI129" s="6" t="s">
        <v>430</v>
      </c>
      <c r="CJ129" s="6" t="s">
        <v>430</v>
      </c>
      <c r="CK129" s="6" t="s">
        <v>430</v>
      </c>
      <c r="CL129" s="6" t="s">
        <v>430</v>
      </c>
      <c r="CM129" s="6" t="s">
        <v>430</v>
      </c>
      <c r="CN129" s="6" t="s">
        <v>430</v>
      </c>
      <c r="CO129" s="15" t="s">
        <v>430</v>
      </c>
      <c r="CP129" s="15" t="s">
        <v>432</v>
      </c>
      <c r="CQ129" s="6" t="s">
        <v>433</v>
      </c>
      <c r="CR129" s="15"/>
      <c r="CS129" s="6" t="s">
        <v>426</v>
      </c>
      <c r="CT129" s="6" t="s">
        <v>2441</v>
      </c>
      <c r="CU129" s="6" t="s">
        <v>1087</v>
      </c>
      <c r="CV129" s="6" t="s">
        <v>809</v>
      </c>
      <c r="CW129" s="6" t="s">
        <v>829</v>
      </c>
      <c r="CX129" s="15" t="s">
        <v>426</v>
      </c>
      <c r="CY129" s="6" t="s">
        <v>426</v>
      </c>
      <c r="CZ129" s="6" t="s">
        <v>2441</v>
      </c>
      <c r="DA129" s="6" t="s">
        <v>683</v>
      </c>
      <c r="DB129" s="6" t="s">
        <v>825</v>
      </c>
      <c r="DC129" s="6" t="s">
        <v>809</v>
      </c>
      <c r="DD129" s="15" t="s">
        <v>1241</v>
      </c>
      <c r="DE129" s="15" t="s">
        <v>436</v>
      </c>
      <c r="DF129" s="6" t="s">
        <v>522</v>
      </c>
      <c r="DG129" s="6">
        <v>0</v>
      </c>
      <c r="DH129" s="6">
        <v>1</v>
      </c>
      <c r="DI129" s="6">
        <v>0</v>
      </c>
      <c r="DJ129" s="6">
        <v>0</v>
      </c>
      <c r="DK129" s="6">
        <v>0</v>
      </c>
      <c r="DL129" s="6">
        <v>0</v>
      </c>
      <c r="DM129" s="6"/>
      <c r="DN129" s="6"/>
      <c r="DO129" s="6"/>
      <c r="DP129" s="6"/>
      <c r="DQ129" s="6"/>
      <c r="DR129" s="6"/>
      <c r="DS129" s="6"/>
      <c r="DT129" s="66"/>
      <c r="DU129" s="6" t="s">
        <v>438</v>
      </c>
      <c r="DV129" s="6" t="s">
        <v>426</v>
      </c>
      <c r="DW129" s="6" t="s">
        <v>439</v>
      </c>
      <c r="DX129" s="6" t="s">
        <v>440</v>
      </c>
      <c r="DY129" s="6"/>
      <c r="DZ129" s="6" t="s">
        <v>441</v>
      </c>
      <c r="EA129" s="6">
        <v>1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/>
      <c r="EJ129" s="6" t="s">
        <v>811</v>
      </c>
      <c r="EK129" s="6">
        <v>1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/>
      <c r="EU129" s="6" t="s">
        <v>443</v>
      </c>
      <c r="EV129" s="6" t="s">
        <v>588</v>
      </c>
      <c r="EW129" s="6"/>
      <c r="EX129" s="6" t="s">
        <v>1123</v>
      </c>
      <c r="EY129" s="6">
        <v>1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/>
      <c r="FH129" s="6" t="s">
        <v>1243</v>
      </c>
      <c r="FI129" s="6">
        <v>0</v>
      </c>
      <c r="FJ129" s="6">
        <v>0</v>
      </c>
      <c r="FK129" s="6">
        <v>1</v>
      </c>
      <c r="FL129" s="6">
        <v>0</v>
      </c>
      <c r="FM129" s="6">
        <v>0</v>
      </c>
      <c r="FN129" s="6">
        <v>0</v>
      </c>
      <c r="FO129" s="6">
        <v>0</v>
      </c>
      <c r="FP129" s="6">
        <v>0</v>
      </c>
      <c r="FQ129" s="6">
        <v>0</v>
      </c>
      <c r="FR129" s="6">
        <v>0</v>
      </c>
      <c r="FS129" s="6"/>
      <c r="FT129" s="6" t="s">
        <v>447</v>
      </c>
      <c r="FU129" s="6" t="s">
        <v>499</v>
      </c>
      <c r="FV129" s="6"/>
      <c r="FW129" s="6" t="s">
        <v>449</v>
      </c>
      <c r="FX129" s="15" t="s">
        <v>450</v>
      </c>
      <c r="FY129" s="6" t="s">
        <v>1012</v>
      </c>
      <c r="FZ129" s="6"/>
      <c r="GA129" s="6" t="s">
        <v>450</v>
      </c>
      <c r="GB129" s="6" t="s">
        <v>501</v>
      </c>
      <c r="GC129" s="6" t="s">
        <v>453</v>
      </c>
      <c r="GD129" s="6"/>
      <c r="GE129" s="6" t="s">
        <v>454</v>
      </c>
      <c r="GF129" s="6" t="s">
        <v>2442</v>
      </c>
      <c r="GG129" s="6" t="s">
        <v>456</v>
      </c>
      <c r="GH129" s="15" t="s">
        <v>2442</v>
      </c>
      <c r="GI129" s="6" t="s">
        <v>458</v>
      </c>
      <c r="GJ129" s="6" t="s">
        <v>2443</v>
      </c>
      <c r="GK129" s="6" t="s">
        <v>460</v>
      </c>
      <c r="GL129" s="6" t="s">
        <v>461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1</v>
      </c>
      <c r="GS129" s="6">
        <v>0</v>
      </c>
      <c r="GT129" s="6"/>
      <c r="GU129" s="6" t="s">
        <v>534</v>
      </c>
      <c r="GV129" s="6" t="s">
        <v>595</v>
      </c>
      <c r="GW129" s="6" t="s">
        <v>464</v>
      </c>
      <c r="GX129" s="6">
        <v>1</v>
      </c>
      <c r="GY129" s="6">
        <v>0</v>
      </c>
      <c r="GZ129" s="6">
        <v>0</v>
      </c>
      <c r="HA129" s="6">
        <v>0</v>
      </c>
      <c r="HB129" s="6">
        <v>0</v>
      </c>
      <c r="HC129" s="6">
        <v>0</v>
      </c>
      <c r="HD129" s="6"/>
      <c r="HE129" s="6" t="s">
        <v>111</v>
      </c>
      <c r="HF129" s="6">
        <v>0</v>
      </c>
      <c r="HG129" s="6">
        <v>0</v>
      </c>
      <c r="HH129" s="6">
        <v>0</v>
      </c>
      <c r="HI129" s="6">
        <v>1</v>
      </c>
      <c r="HJ129" s="6">
        <v>0</v>
      </c>
      <c r="HK129" s="6">
        <v>0</v>
      </c>
      <c r="HL129" s="15"/>
      <c r="HM129" s="6" t="s">
        <v>505</v>
      </c>
      <c r="HN129" s="6"/>
      <c r="HO129" s="6" t="s">
        <v>2444</v>
      </c>
      <c r="HP129" s="6" t="s">
        <v>1668</v>
      </c>
      <c r="HQ129" s="6"/>
      <c r="HR129" s="6" t="s">
        <v>2445</v>
      </c>
      <c r="HS129" s="6" t="s">
        <v>540</v>
      </c>
      <c r="HT129" s="6">
        <v>1</v>
      </c>
      <c r="HU129" s="6">
        <v>0</v>
      </c>
      <c r="HV129" s="6">
        <v>0</v>
      </c>
      <c r="HW129" s="6">
        <v>0</v>
      </c>
      <c r="HX129" s="6">
        <v>0</v>
      </c>
      <c r="HY129" s="6">
        <v>0</v>
      </c>
      <c r="HZ129" s="6"/>
      <c r="IA129" s="6" t="s">
        <v>111</v>
      </c>
      <c r="IB129" s="6">
        <v>1</v>
      </c>
      <c r="IC129" s="6">
        <v>0</v>
      </c>
      <c r="ID129" s="6">
        <v>0</v>
      </c>
      <c r="IE129" s="6">
        <v>0</v>
      </c>
      <c r="IF129" s="6">
        <v>0</v>
      </c>
      <c r="IG129" s="6">
        <v>0</v>
      </c>
      <c r="IH129" s="15" t="s">
        <v>2446</v>
      </c>
      <c r="II129" s="6" t="s">
        <v>426</v>
      </c>
      <c r="IJ129" s="6" t="s">
        <v>472</v>
      </c>
      <c r="IK129" s="6">
        <v>1</v>
      </c>
      <c r="IL129" s="6">
        <v>0</v>
      </c>
      <c r="IM129" s="6">
        <v>0</v>
      </c>
      <c r="IN129" s="6"/>
      <c r="IO129" s="6" t="s">
        <v>473</v>
      </c>
      <c r="IP129" s="6">
        <v>1</v>
      </c>
      <c r="IQ129" s="6">
        <v>0</v>
      </c>
      <c r="IR129" s="6">
        <v>0</v>
      </c>
      <c r="IS129" s="6">
        <v>0</v>
      </c>
      <c r="IT129" s="6">
        <v>0</v>
      </c>
      <c r="IU129" s="6">
        <v>0</v>
      </c>
      <c r="IV129" s="6"/>
      <c r="IW129" s="6" t="s">
        <v>426</v>
      </c>
      <c r="IX129" s="6">
        <v>1</v>
      </c>
      <c r="IY129" s="6" t="s">
        <v>474</v>
      </c>
      <c r="IZ129" s="6" t="s">
        <v>475</v>
      </c>
      <c r="JA129" s="6" t="s">
        <v>426</v>
      </c>
      <c r="JB129" s="6" t="s">
        <v>476</v>
      </c>
      <c r="JC129" s="6"/>
      <c r="JD129" s="6"/>
      <c r="JE129" s="6"/>
      <c r="JF129" s="6"/>
      <c r="JG129" s="6"/>
      <c r="JH129" s="6"/>
      <c r="JI129" s="6"/>
      <c r="JJ129" s="6"/>
      <c r="JK129" s="6" t="s">
        <v>426</v>
      </c>
      <c r="JL129" s="6" t="s">
        <v>453</v>
      </c>
      <c r="JM129" s="6" t="s">
        <v>894</v>
      </c>
      <c r="JN129" s="6">
        <v>0</v>
      </c>
      <c r="JO129" s="6">
        <v>1</v>
      </c>
      <c r="JP129" s="6">
        <v>0</v>
      </c>
      <c r="JQ129" s="6">
        <v>0</v>
      </c>
      <c r="JR129" s="6">
        <v>0</v>
      </c>
      <c r="JS129" s="6">
        <v>0</v>
      </c>
      <c r="JT129" s="6"/>
      <c r="JU129" s="6" t="s">
        <v>544</v>
      </c>
      <c r="JV129" s="15"/>
      <c r="JW129" s="94" t="s">
        <v>2447</v>
      </c>
      <c r="JX129" s="6" t="s">
        <v>2448</v>
      </c>
      <c r="JY129" s="6">
        <v>0.5970352</v>
      </c>
      <c r="JZ129" s="6">
        <v>34.4661838</v>
      </c>
      <c r="KA129" s="6">
        <v>1324.121</v>
      </c>
      <c r="KB129" s="15">
        <v>2.46</v>
      </c>
      <c r="KC129" s="15"/>
    </row>
    <row r="130" spans="1:289">
      <c r="A130" s="6" t="s">
        <v>2115</v>
      </c>
      <c r="B130" s="6" t="s">
        <v>420</v>
      </c>
      <c r="C130" s="6" t="s">
        <v>1608</v>
      </c>
      <c r="D130" s="6" t="s">
        <v>2449</v>
      </c>
      <c r="E130" s="6" t="s">
        <v>2450</v>
      </c>
      <c r="F130" s="8" t="s">
        <v>423</v>
      </c>
      <c r="G130" s="6" t="s">
        <v>567</v>
      </c>
      <c r="H130" s="6" t="s">
        <v>425</v>
      </c>
      <c r="I130" s="15"/>
      <c r="J130" s="6" t="s">
        <v>426</v>
      </c>
      <c r="K130" s="6" t="s">
        <v>426</v>
      </c>
      <c r="L130" s="6" t="s">
        <v>426</v>
      </c>
      <c r="M130" s="6" t="s">
        <v>453</v>
      </c>
      <c r="N130" s="6" t="s">
        <v>426</v>
      </c>
      <c r="O130" s="6" t="s">
        <v>426</v>
      </c>
      <c r="P130" s="6" t="s">
        <v>426</v>
      </c>
      <c r="Q130" s="6" t="s">
        <v>426</v>
      </c>
      <c r="R130" s="6" t="s">
        <v>426</v>
      </c>
      <c r="S130" s="6" t="s">
        <v>426</v>
      </c>
      <c r="T130" s="6" t="s">
        <v>426</v>
      </c>
      <c r="U130" s="6" t="s">
        <v>426</v>
      </c>
      <c r="V130" s="6" t="s">
        <v>426</v>
      </c>
      <c r="W130" s="6" t="s">
        <v>426</v>
      </c>
      <c r="X130" s="6" t="s">
        <v>426</v>
      </c>
      <c r="Y130" s="6" t="s">
        <v>426</v>
      </c>
      <c r="Z130" s="6" t="s">
        <v>426</v>
      </c>
      <c r="AA130" s="6" t="s">
        <v>426</v>
      </c>
      <c r="AB130" s="6" t="s">
        <v>426</v>
      </c>
      <c r="AC130" s="15" t="s">
        <v>426</v>
      </c>
      <c r="AD130" s="6" t="s">
        <v>427</v>
      </c>
      <c r="AE130" s="6">
        <v>0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0</v>
      </c>
      <c r="AL130" s="6">
        <v>0</v>
      </c>
      <c r="AM130" s="6"/>
      <c r="AN130" s="15"/>
      <c r="AO130" s="6" t="s">
        <v>426</v>
      </c>
      <c r="AP130" s="6" t="s">
        <v>656</v>
      </c>
      <c r="AQ130" s="6" t="s">
        <v>426</v>
      </c>
      <c r="AR130" s="6" t="s">
        <v>658</v>
      </c>
      <c r="AS130" s="6" t="s">
        <v>426</v>
      </c>
      <c r="AT130" s="6">
        <v>0.5</v>
      </c>
      <c r="AU130" s="6" t="s">
        <v>426</v>
      </c>
      <c r="AV130" s="6">
        <v>0.5</v>
      </c>
      <c r="AW130" s="6" t="s">
        <v>426</v>
      </c>
      <c r="AX130" s="6">
        <v>2</v>
      </c>
      <c r="AY130" s="6" t="s">
        <v>426</v>
      </c>
      <c r="AZ130" s="6">
        <v>1</v>
      </c>
      <c r="BA130" s="6" t="s">
        <v>426</v>
      </c>
      <c r="BB130" s="6">
        <v>0.5</v>
      </c>
      <c r="BC130" s="6" t="s">
        <v>426</v>
      </c>
      <c r="BD130" s="6">
        <v>0.5</v>
      </c>
      <c r="BE130" s="6" t="s">
        <v>426</v>
      </c>
      <c r="BF130" s="6">
        <v>20</v>
      </c>
      <c r="BG130" s="6" t="s">
        <v>453</v>
      </c>
      <c r="BH130" s="6"/>
      <c r="BI130" s="6" t="s">
        <v>426</v>
      </c>
      <c r="BJ130" s="6">
        <v>2</v>
      </c>
      <c r="BK130" s="6" t="s">
        <v>426</v>
      </c>
      <c r="BL130" s="6">
        <v>2</v>
      </c>
      <c r="BM130" s="6" t="s">
        <v>426</v>
      </c>
      <c r="BN130" s="6">
        <v>20</v>
      </c>
      <c r="BO130" s="6" t="s">
        <v>426</v>
      </c>
      <c r="BP130" s="6">
        <v>0.5</v>
      </c>
      <c r="BQ130" s="6" t="s">
        <v>426</v>
      </c>
      <c r="BR130" s="6">
        <v>76</v>
      </c>
      <c r="BS130" s="6" t="s">
        <v>426</v>
      </c>
      <c r="BT130" s="6">
        <v>1</v>
      </c>
      <c r="BU130" s="6" t="s">
        <v>426</v>
      </c>
      <c r="BV130" s="15">
        <v>1</v>
      </c>
      <c r="BW130" s="15" t="s">
        <v>2263</v>
      </c>
      <c r="BX130" s="15" t="s">
        <v>786</v>
      </c>
      <c r="BY130" s="6" t="s">
        <v>430</v>
      </c>
      <c r="BZ130" s="6" t="s">
        <v>430</v>
      </c>
      <c r="CA130" s="6" t="s">
        <v>430</v>
      </c>
      <c r="CB130" s="6" t="s">
        <v>430</v>
      </c>
      <c r="CC130" s="6" t="s">
        <v>430</v>
      </c>
      <c r="CD130" s="6" t="s">
        <v>430</v>
      </c>
      <c r="CE130" s="6" t="s">
        <v>430</v>
      </c>
      <c r="CF130" s="6" t="s">
        <v>430</v>
      </c>
      <c r="CG130" s="6" t="s">
        <v>430</v>
      </c>
      <c r="CH130" s="6" t="s">
        <v>430</v>
      </c>
      <c r="CI130" s="6" t="s">
        <v>430</v>
      </c>
      <c r="CJ130" s="6" t="s">
        <v>430</v>
      </c>
      <c r="CK130" s="6" t="s">
        <v>430</v>
      </c>
      <c r="CL130" s="6" t="s">
        <v>430</v>
      </c>
      <c r="CM130" s="6" t="s">
        <v>430</v>
      </c>
      <c r="CN130" s="6" t="s">
        <v>430</v>
      </c>
      <c r="CO130" s="15" t="s">
        <v>430</v>
      </c>
      <c r="CP130" s="15" t="s">
        <v>432</v>
      </c>
      <c r="CQ130" s="6" t="s">
        <v>433</v>
      </c>
      <c r="CR130" s="15"/>
      <c r="CS130" s="6" t="s">
        <v>426</v>
      </c>
      <c r="CT130" s="6" t="s">
        <v>2441</v>
      </c>
      <c r="CU130" s="6" t="s">
        <v>660</v>
      </c>
      <c r="CV130" s="6" t="s">
        <v>809</v>
      </c>
      <c r="CW130" s="6" t="s">
        <v>662</v>
      </c>
      <c r="CX130" s="15" t="s">
        <v>453</v>
      </c>
      <c r="CY130" s="6"/>
      <c r="CZ130" s="6"/>
      <c r="DA130" s="6"/>
      <c r="DB130" s="6"/>
      <c r="DC130" s="6"/>
      <c r="DD130" s="15"/>
      <c r="DE130" s="15" t="s">
        <v>436</v>
      </c>
      <c r="DF130" s="6" t="s">
        <v>585</v>
      </c>
      <c r="DG130" s="6">
        <v>0</v>
      </c>
      <c r="DH130" s="6">
        <v>0</v>
      </c>
      <c r="DI130" s="6">
        <v>1</v>
      </c>
      <c r="DJ130" s="6">
        <v>0</v>
      </c>
      <c r="DK130" s="6">
        <v>0</v>
      </c>
      <c r="DL130" s="6">
        <v>0</v>
      </c>
      <c r="DM130" s="6"/>
      <c r="DN130" s="6"/>
      <c r="DO130" s="6"/>
      <c r="DP130" s="6"/>
      <c r="DQ130" s="6"/>
      <c r="DR130" s="6"/>
      <c r="DS130" s="6"/>
      <c r="DT130" s="66"/>
      <c r="DU130" s="6" t="s">
        <v>438</v>
      </c>
      <c r="DV130" s="6" t="s">
        <v>426</v>
      </c>
      <c r="DW130" s="6" t="s">
        <v>439</v>
      </c>
      <c r="DX130" s="6" t="s">
        <v>440</v>
      </c>
      <c r="DY130" s="6"/>
      <c r="DZ130" s="6" t="s">
        <v>441</v>
      </c>
      <c r="EA130" s="6">
        <v>1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/>
      <c r="EJ130" s="6" t="s">
        <v>811</v>
      </c>
      <c r="EK130" s="6">
        <v>1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/>
      <c r="EU130" s="6" t="s">
        <v>443</v>
      </c>
      <c r="EV130" s="6" t="s">
        <v>588</v>
      </c>
      <c r="EW130" s="6"/>
      <c r="EX130" s="6" t="s">
        <v>1123</v>
      </c>
      <c r="EY130" s="6">
        <v>1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/>
      <c r="FH130" s="6" t="s">
        <v>1243</v>
      </c>
      <c r="FI130" s="6">
        <v>0</v>
      </c>
      <c r="FJ130" s="6">
        <v>0</v>
      </c>
      <c r="FK130" s="6">
        <v>1</v>
      </c>
      <c r="FL130" s="6">
        <v>0</v>
      </c>
      <c r="FM130" s="6">
        <v>0</v>
      </c>
      <c r="FN130" s="6">
        <v>0</v>
      </c>
      <c r="FO130" s="6">
        <v>0</v>
      </c>
      <c r="FP130" s="6">
        <v>0</v>
      </c>
      <c r="FQ130" s="6">
        <v>0</v>
      </c>
      <c r="FR130" s="6">
        <v>0</v>
      </c>
      <c r="FS130" s="6"/>
      <c r="FT130" s="6" t="s">
        <v>447</v>
      </c>
      <c r="FU130" s="6" t="s">
        <v>499</v>
      </c>
      <c r="FV130" s="6"/>
      <c r="FW130" s="6" t="s">
        <v>449</v>
      </c>
      <c r="FX130" s="15" t="s">
        <v>450</v>
      </c>
      <c r="FY130" s="6" t="s">
        <v>619</v>
      </c>
      <c r="FZ130" s="6"/>
      <c r="GA130" s="6" t="s">
        <v>450</v>
      </c>
      <c r="GB130" s="6" t="s">
        <v>501</v>
      </c>
      <c r="GC130" s="6" t="s">
        <v>453</v>
      </c>
      <c r="GD130" s="6"/>
      <c r="GE130" s="6" t="s">
        <v>454</v>
      </c>
      <c r="GF130" s="6" t="s">
        <v>1074</v>
      </c>
      <c r="GG130" s="6" t="s">
        <v>456</v>
      </c>
      <c r="GH130" s="15" t="s">
        <v>1074</v>
      </c>
      <c r="GI130" s="6" t="s">
        <v>458</v>
      </c>
      <c r="GJ130" s="6" t="s">
        <v>2451</v>
      </c>
      <c r="GK130" s="6" t="s">
        <v>460</v>
      </c>
      <c r="GL130" s="6" t="s">
        <v>461</v>
      </c>
      <c r="GM130" s="6">
        <v>0</v>
      </c>
      <c r="GN130" s="6">
        <v>0</v>
      </c>
      <c r="GO130" s="6">
        <v>0</v>
      </c>
      <c r="GP130" s="6">
        <v>0</v>
      </c>
      <c r="GQ130" s="6">
        <v>0</v>
      </c>
      <c r="GR130" s="6">
        <v>1</v>
      </c>
      <c r="GS130" s="6">
        <v>0</v>
      </c>
      <c r="GT130" s="6"/>
      <c r="GU130" s="6" t="s">
        <v>534</v>
      </c>
      <c r="GV130" s="6" t="s">
        <v>595</v>
      </c>
      <c r="GW130" s="6" t="s">
        <v>464</v>
      </c>
      <c r="GX130" s="6">
        <v>1</v>
      </c>
      <c r="GY130" s="6">
        <v>0</v>
      </c>
      <c r="GZ130" s="6">
        <v>0</v>
      </c>
      <c r="HA130" s="6">
        <v>0</v>
      </c>
      <c r="HB130" s="6">
        <v>0</v>
      </c>
      <c r="HC130" s="6">
        <v>0</v>
      </c>
      <c r="HD130" s="6"/>
      <c r="HE130" s="6" t="s">
        <v>111</v>
      </c>
      <c r="HF130" s="6">
        <v>0</v>
      </c>
      <c r="HG130" s="6">
        <v>0</v>
      </c>
      <c r="HH130" s="6">
        <v>0</v>
      </c>
      <c r="HI130" s="6">
        <v>1</v>
      </c>
      <c r="HJ130" s="6">
        <v>0</v>
      </c>
      <c r="HK130" s="6">
        <v>0</v>
      </c>
      <c r="HL130" s="15"/>
      <c r="HM130" s="6" t="s">
        <v>505</v>
      </c>
      <c r="HN130" s="6"/>
      <c r="HO130" s="6" t="s">
        <v>2452</v>
      </c>
      <c r="HP130" s="6" t="s">
        <v>1668</v>
      </c>
      <c r="HQ130" s="6"/>
      <c r="HR130" s="6" t="s">
        <v>2453</v>
      </c>
      <c r="HS130" s="6" t="s">
        <v>540</v>
      </c>
      <c r="HT130" s="6">
        <v>1</v>
      </c>
      <c r="HU130" s="6">
        <v>0</v>
      </c>
      <c r="HV130" s="6">
        <v>0</v>
      </c>
      <c r="HW130" s="6">
        <v>0</v>
      </c>
      <c r="HX130" s="6">
        <v>0</v>
      </c>
      <c r="HY130" s="6">
        <v>0</v>
      </c>
      <c r="HZ130" s="6"/>
      <c r="IA130" s="6" t="s">
        <v>111</v>
      </c>
      <c r="IB130" s="6">
        <v>1</v>
      </c>
      <c r="IC130" s="6">
        <v>0</v>
      </c>
      <c r="ID130" s="6">
        <v>0</v>
      </c>
      <c r="IE130" s="6">
        <v>0</v>
      </c>
      <c r="IF130" s="6">
        <v>0</v>
      </c>
      <c r="IG130" s="6">
        <v>0</v>
      </c>
      <c r="IH130" s="15" t="s">
        <v>2454</v>
      </c>
      <c r="II130" s="6" t="s">
        <v>426</v>
      </c>
      <c r="IJ130" s="6" t="s">
        <v>543</v>
      </c>
      <c r="IK130" s="6">
        <v>0</v>
      </c>
      <c r="IL130" s="6">
        <v>1</v>
      </c>
      <c r="IM130" s="6">
        <v>0</v>
      </c>
      <c r="IN130" s="6"/>
      <c r="IO130" s="6" t="s">
        <v>473</v>
      </c>
      <c r="IP130" s="6">
        <v>1</v>
      </c>
      <c r="IQ130" s="6">
        <v>0</v>
      </c>
      <c r="IR130" s="6">
        <v>0</v>
      </c>
      <c r="IS130" s="6">
        <v>0</v>
      </c>
      <c r="IT130" s="6">
        <v>0</v>
      </c>
      <c r="IU130" s="6">
        <v>0</v>
      </c>
      <c r="IV130" s="6"/>
      <c r="IW130" s="6" t="s">
        <v>426</v>
      </c>
      <c r="IX130" s="6">
        <v>1</v>
      </c>
      <c r="IY130" s="6" t="s">
        <v>474</v>
      </c>
      <c r="IZ130" s="6" t="s">
        <v>475</v>
      </c>
      <c r="JA130" s="6" t="s">
        <v>426</v>
      </c>
      <c r="JB130" s="6" t="s">
        <v>476</v>
      </c>
      <c r="JC130" s="6"/>
      <c r="JD130" s="6"/>
      <c r="JE130" s="6"/>
      <c r="JF130" s="6"/>
      <c r="JG130" s="6"/>
      <c r="JH130" s="6"/>
      <c r="JI130" s="6"/>
      <c r="JJ130" s="6"/>
      <c r="JK130" s="6" t="s">
        <v>453</v>
      </c>
      <c r="JL130" s="6"/>
      <c r="JM130" s="6"/>
      <c r="JN130" s="6"/>
      <c r="JO130" s="6"/>
      <c r="JP130" s="6"/>
      <c r="JQ130" s="6"/>
      <c r="JR130" s="6"/>
      <c r="JS130" s="6"/>
      <c r="JT130" s="6"/>
      <c r="JU130" s="6" t="s">
        <v>544</v>
      </c>
      <c r="JV130" s="15"/>
      <c r="JW130" s="94" t="s">
        <v>2455</v>
      </c>
      <c r="JX130" s="6" t="s">
        <v>2456</v>
      </c>
      <c r="JY130" s="6">
        <v>0.5971565</v>
      </c>
      <c r="JZ130" s="6">
        <v>34.4662367</v>
      </c>
      <c r="KA130" s="6">
        <v>1330.287</v>
      </c>
      <c r="KB130" s="15">
        <v>1.337</v>
      </c>
      <c r="KC130" s="15"/>
    </row>
    <row r="131" spans="1:289">
      <c r="A131" s="6" t="s">
        <v>2115</v>
      </c>
      <c r="B131" s="6" t="s">
        <v>420</v>
      </c>
      <c r="C131" s="6" t="s">
        <v>1608</v>
      </c>
      <c r="D131" s="6" t="s">
        <v>1877</v>
      </c>
      <c r="E131" s="6" t="s">
        <v>2457</v>
      </c>
      <c r="F131" s="8" t="s">
        <v>423</v>
      </c>
      <c r="G131" s="6" t="s">
        <v>424</v>
      </c>
      <c r="H131" s="6" t="s">
        <v>425</v>
      </c>
      <c r="I131" s="15"/>
      <c r="J131" s="6" t="s">
        <v>426</v>
      </c>
      <c r="K131" s="6" t="s">
        <v>426</v>
      </c>
      <c r="L131" s="6" t="s">
        <v>426</v>
      </c>
      <c r="M131" s="6" t="s">
        <v>426</v>
      </c>
      <c r="N131" s="6" t="s">
        <v>426</v>
      </c>
      <c r="O131" s="6" t="s">
        <v>426</v>
      </c>
      <c r="P131" s="6" t="s">
        <v>426</v>
      </c>
      <c r="Q131" s="6" t="s">
        <v>426</v>
      </c>
      <c r="R131" s="6" t="s">
        <v>426</v>
      </c>
      <c r="S131" s="6" t="s">
        <v>426</v>
      </c>
      <c r="T131" s="6" t="s">
        <v>426</v>
      </c>
      <c r="U131" s="6" t="s">
        <v>426</v>
      </c>
      <c r="V131" s="6" t="s">
        <v>426</v>
      </c>
      <c r="W131" s="6" t="s">
        <v>426</v>
      </c>
      <c r="X131" s="6" t="s">
        <v>426</v>
      </c>
      <c r="Y131" s="6" t="s">
        <v>426</v>
      </c>
      <c r="Z131" s="6" t="s">
        <v>426</v>
      </c>
      <c r="AA131" s="6" t="s">
        <v>426</v>
      </c>
      <c r="AB131" s="6" t="s">
        <v>426</v>
      </c>
      <c r="AC131" s="15" t="s">
        <v>426</v>
      </c>
      <c r="AD131" s="6" t="s">
        <v>427</v>
      </c>
      <c r="AE131" s="6">
        <v>0</v>
      </c>
      <c r="AF131" s="6">
        <v>0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0</v>
      </c>
      <c r="AM131" s="6"/>
      <c r="AN131" s="15"/>
      <c r="AO131" s="6" t="s">
        <v>426</v>
      </c>
      <c r="AP131" s="6" t="s">
        <v>658</v>
      </c>
      <c r="AQ131" s="6" t="s">
        <v>426</v>
      </c>
      <c r="AR131" s="6" t="s">
        <v>658</v>
      </c>
      <c r="AS131" s="6" t="s">
        <v>426</v>
      </c>
      <c r="AT131" s="6">
        <v>1</v>
      </c>
      <c r="AU131" s="6" t="s">
        <v>426</v>
      </c>
      <c r="AV131" s="6">
        <v>1</v>
      </c>
      <c r="AW131" s="6" t="s">
        <v>426</v>
      </c>
      <c r="AX131" s="6">
        <v>1</v>
      </c>
      <c r="AY131" s="6" t="s">
        <v>426</v>
      </c>
      <c r="AZ131" s="6">
        <v>1</v>
      </c>
      <c r="BA131" s="6" t="s">
        <v>426</v>
      </c>
      <c r="BB131" s="6">
        <v>0.5</v>
      </c>
      <c r="BC131" s="6" t="s">
        <v>426</v>
      </c>
      <c r="BD131" s="6">
        <v>1</v>
      </c>
      <c r="BE131" s="6" t="s">
        <v>426</v>
      </c>
      <c r="BF131" s="6">
        <v>10</v>
      </c>
      <c r="BG131" s="6" t="s">
        <v>426</v>
      </c>
      <c r="BH131" s="6">
        <v>0.25</v>
      </c>
      <c r="BI131" s="6" t="s">
        <v>426</v>
      </c>
      <c r="BJ131" s="6">
        <v>1</v>
      </c>
      <c r="BK131" s="6" t="s">
        <v>426</v>
      </c>
      <c r="BL131" s="6">
        <v>1</v>
      </c>
      <c r="BM131" s="6" t="s">
        <v>426</v>
      </c>
      <c r="BN131" s="6">
        <v>25</v>
      </c>
      <c r="BO131" s="6" t="s">
        <v>426</v>
      </c>
      <c r="BP131" s="6">
        <v>0.5</v>
      </c>
      <c r="BQ131" s="6" t="s">
        <v>426</v>
      </c>
      <c r="BR131" s="6">
        <v>1000</v>
      </c>
      <c r="BS131" s="6" t="s">
        <v>426</v>
      </c>
      <c r="BT131" s="6">
        <v>1</v>
      </c>
      <c r="BU131" s="6" t="s">
        <v>426</v>
      </c>
      <c r="BV131" s="15">
        <v>0.5</v>
      </c>
      <c r="BW131" s="15" t="s">
        <v>2263</v>
      </c>
      <c r="BX131" s="15" t="s">
        <v>429</v>
      </c>
      <c r="BY131" s="6" t="s">
        <v>430</v>
      </c>
      <c r="BZ131" s="6" t="s">
        <v>430</v>
      </c>
      <c r="CA131" s="6" t="s">
        <v>430</v>
      </c>
      <c r="CB131" s="6" t="s">
        <v>430</v>
      </c>
      <c r="CC131" s="6" t="s">
        <v>430</v>
      </c>
      <c r="CD131" s="6" t="s">
        <v>430</v>
      </c>
      <c r="CE131" s="6" t="s">
        <v>430</v>
      </c>
      <c r="CF131" s="6" t="s">
        <v>430</v>
      </c>
      <c r="CG131" s="6" t="s">
        <v>430</v>
      </c>
      <c r="CH131" s="6" t="s">
        <v>430</v>
      </c>
      <c r="CI131" s="6" t="s">
        <v>430</v>
      </c>
      <c r="CJ131" s="6" t="s">
        <v>430</v>
      </c>
      <c r="CK131" s="6" t="s">
        <v>430</v>
      </c>
      <c r="CL131" s="6" t="s">
        <v>430</v>
      </c>
      <c r="CM131" s="6" t="s">
        <v>430</v>
      </c>
      <c r="CN131" s="6" t="s">
        <v>430</v>
      </c>
      <c r="CO131" s="15" t="s">
        <v>430</v>
      </c>
      <c r="CP131" s="15" t="s">
        <v>432</v>
      </c>
      <c r="CQ131" s="6" t="s">
        <v>433</v>
      </c>
      <c r="CR131" s="15"/>
      <c r="CS131" s="6" t="s">
        <v>426</v>
      </c>
      <c r="CT131" s="6" t="s">
        <v>2458</v>
      </c>
      <c r="CU131" s="6" t="s">
        <v>1678</v>
      </c>
      <c r="CV131" s="6" t="s">
        <v>987</v>
      </c>
      <c r="CW131" s="6" t="s">
        <v>972</v>
      </c>
      <c r="CX131" s="15" t="s">
        <v>426</v>
      </c>
      <c r="CY131" s="6" t="s">
        <v>426</v>
      </c>
      <c r="CZ131" s="6" t="s">
        <v>1917</v>
      </c>
      <c r="DA131" s="6" t="s">
        <v>688</v>
      </c>
      <c r="DB131" s="6" t="s">
        <v>868</v>
      </c>
      <c r="DC131" s="6" t="s">
        <v>987</v>
      </c>
      <c r="DD131" s="15" t="s">
        <v>2459</v>
      </c>
      <c r="DE131" s="15" t="s">
        <v>436</v>
      </c>
      <c r="DF131" s="6" t="s">
        <v>437</v>
      </c>
      <c r="DG131" s="6">
        <v>1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/>
      <c r="DN131" s="6"/>
      <c r="DO131" s="6"/>
      <c r="DP131" s="6"/>
      <c r="DQ131" s="6"/>
      <c r="DR131" s="6"/>
      <c r="DS131" s="6"/>
      <c r="DT131" s="66"/>
      <c r="DU131" s="6" t="s">
        <v>438</v>
      </c>
      <c r="DV131" s="6" t="s">
        <v>426</v>
      </c>
      <c r="DW131" s="6" t="s">
        <v>439</v>
      </c>
      <c r="DX131" s="6" t="s">
        <v>440</v>
      </c>
      <c r="DY131" s="6"/>
      <c r="DZ131" s="6" t="s">
        <v>441</v>
      </c>
      <c r="EA131" s="6">
        <v>1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/>
      <c r="EJ131" s="6" t="s">
        <v>811</v>
      </c>
      <c r="EK131" s="6">
        <v>1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/>
      <c r="EU131" s="6" t="s">
        <v>443</v>
      </c>
      <c r="EV131" s="6" t="s">
        <v>588</v>
      </c>
      <c r="EW131" s="6"/>
      <c r="EX131" s="6" t="s">
        <v>1123</v>
      </c>
      <c r="EY131" s="6">
        <v>1</v>
      </c>
      <c r="EZ131" s="6">
        <v>0</v>
      </c>
      <c r="FA131" s="6">
        <v>0</v>
      </c>
      <c r="FB131" s="6">
        <v>0</v>
      </c>
      <c r="FC131" s="6">
        <v>0</v>
      </c>
      <c r="FD131" s="6">
        <v>0</v>
      </c>
      <c r="FE131" s="6">
        <v>0</v>
      </c>
      <c r="FF131" s="6">
        <v>0</v>
      </c>
      <c r="FG131" s="6"/>
      <c r="FH131" s="6" t="s">
        <v>1243</v>
      </c>
      <c r="FI131" s="6">
        <v>0</v>
      </c>
      <c r="FJ131" s="6">
        <v>0</v>
      </c>
      <c r="FK131" s="6">
        <v>1</v>
      </c>
      <c r="FL131" s="6">
        <v>0</v>
      </c>
      <c r="FM131" s="6">
        <v>0</v>
      </c>
      <c r="FN131" s="6">
        <v>0</v>
      </c>
      <c r="FO131" s="6">
        <v>0</v>
      </c>
      <c r="FP131" s="6">
        <v>0</v>
      </c>
      <c r="FQ131" s="6">
        <v>0</v>
      </c>
      <c r="FR131" s="6">
        <v>0</v>
      </c>
      <c r="FS131" s="6"/>
      <c r="FT131" s="6" t="s">
        <v>447</v>
      </c>
      <c r="FU131" s="6" t="s">
        <v>499</v>
      </c>
      <c r="FV131" s="6"/>
      <c r="FW131" s="6" t="s">
        <v>449</v>
      </c>
      <c r="FX131" s="15" t="s">
        <v>450</v>
      </c>
      <c r="FY131" s="6" t="s">
        <v>529</v>
      </c>
      <c r="FZ131" s="6"/>
      <c r="GA131" s="6" t="s">
        <v>450</v>
      </c>
      <c r="GB131" s="6" t="s">
        <v>501</v>
      </c>
      <c r="GC131" s="6" t="s">
        <v>453</v>
      </c>
      <c r="GD131" s="6"/>
      <c r="GE131" s="6" t="s">
        <v>454</v>
      </c>
      <c r="GF131" s="6" t="s">
        <v>718</v>
      </c>
      <c r="GG131" s="6" t="s">
        <v>456</v>
      </c>
      <c r="GH131" s="15" t="s">
        <v>718</v>
      </c>
      <c r="GI131" s="6" t="s">
        <v>458</v>
      </c>
      <c r="GJ131" s="6" t="s">
        <v>2460</v>
      </c>
      <c r="GK131" s="6" t="s">
        <v>460</v>
      </c>
      <c r="GL131" s="6" t="s">
        <v>461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1</v>
      </c>
      <c r="GS131" s="6">
        <v>0</v>
      </c>
      <c r="GT131" s="6"/>
      <c r="GU131" s="6" t="s">
        <v>534</v>
      </c>
      <c r="GV131" s="6" t="s">
        <v>595</v>
      </c>
      <c r="GW131" s="6" t="s">
        <v>464</v>
      </c>
      <c r="GX131" s="6">
        <v>1</v>
      </c>
      <c r="GY131" s="6">
        <v>0</v>
      </c>
      <c r="GZ131" s="6">
        <v>0</v>
      </c>
      <c r="HA131" s="6">
        <v>0</v>
      </c>
      <c r="HB131" s="6">
        <v>0</v>
      </c>
      <c r="HC131" s="6">
        <v>0</v>
      </c>
      <c r="HD131" s="6"/>
      <c r="HE131" s="6" t="s">
        <v>111</v>
      </c>
      <c r="HF131" s="6">
        <v>0</v>
      </c>
      <c r="HG131" s="6">
        <v>0</v>
      </c>
      <c r="HH131" s="6">
        <v>0</v>
      </c>
      <c r="HI131" s="6">
        <v>1</v>
      </c>
      <c r="HJ131" s="6">
        <v>0</v>
      </c>
      <c r="HK131" s="6">
        <v>0</v>
      </c>
      <c r="HL131" s="15"/>
      <c r="HM131" s="6" t="s">
        <v>505</v>
      </c>
      <c r="HN131" s="6"/>
      <c r="HO131" s="6" t="s">
        <v>2461</v>
      </c>
      <c r="HP131" s="6" t="s">
        <v>1668</v>
      </c>
      <c r="HQ131" s="6"/>
      <c r="HR131" s="6" t="s">
        <v>2462</v>
      </c>
      <c r="HS131" s="6" t="s">
        <v>540</v>
      </c>
      <c r="HT131" s="6">
        <v>1</v>
      </c>
      <c r="HU131" s="6">
        <v>0</v>
      </c>
      <c r="HV131" s="6">
        <v>0</v>
      </c>
      <c r="HW131" s="6">
        <v>0</v>
      </c>
      <c r="HX131" s="6">
        <v>0</v>
      </c>
      <c r="HY131" s="6">
        <v>0</v>
      </c>
      <c r="HZ131" s="6"/>
      <c r="IA131" s="6" t="s">
        <v>111</v>
      </c>
      <c r="IB131" s="6">
        <v>1</v>
      </c>
      <c r="IC131" s="6">
        <v>0</v>
      </c>
      <c r="ID131" s="6">
        <v>0</v>
      </c>
      <c r="IE131" s="6">
        <v>0</v>
      </c>
      <c r="IF131" s="6">
        <v>0</v>
      </c>
      <c r="IG131" s="6">
        <v>0</v>
      </c>
      <c r="IH131" s="15" t="s">
        <v>2463</v>
      </c>
      <c r="II131" s="6" t="s">
        <v>426</v>
      </c>
      <c r="IJ131" s="6" t="s">
        <v>602</v>
      </c>
      <c r="IK131" s="6">
        <v>1</v>
      </c>
      <c r="IL131" s="6">
        <v>1</v>
      </c>
      <c r="IM131" s="6">
        <v>0</v>
      </c>
      <c r="IN131" s="6"/>
      <c r="IO131" s="6" t="s">
        <v>473</v>
      </c>
      <c r="IP131" s="6">
        <v>1</v>
      </c>
      <c r="IQ131" s="6">
        <v>0</v>
      </c>
      <c r="IR131" s="6">
        <v>0</v>
      </c>
      <c r="IS131" s="6">
        <v>0</v>
      </c>
      <c r="IT131" s="6">
        <v>0</v>
      </c>
      <c r="IU131" s="6">
        <v>0</v>
      </c>
      <c r="IV131" s="6"/>
      <c r="IW131" s="6" t="s">
        <v>426</v>
      </c>
      <c r="IX131" s="6">
        <v>1</v>
      </c>
      <c r="IY131" s="6" t="s">
        <v>474</v>
      </c>
      <c r="IZ131" s="6" t="s">
        <v>475</v>
      </c>
      <c r="JA131" s="6" t="s">
        <v>426</v>
      </c>
      <c r="JB131" s="6" t="s">
        <v>476</v>
      </c>
      <c r="JC131" s="6"/>
      <c r="JD131" s="6"/>
      <c r="JE131" s="6"/>
      <c r="JF131" s="6"/>
      <c r="JG131" s="6"/>
      <c r="JH131" s="6"/>
      <c r="JI131" s="6"/>
      <c r="JJ131" s="6"/>
      <c r="JK131" s="6" t="s">
        <v>426</v>
      </c>
      <c r="JL131" s="6" t="s">
        <v>453</v>
      </c>
      <c r="JM131" s="6" t="s">
        <v>913</v>
      </c>
      <c r="JN131" s="6">
        <v>1</v>
      </c>
      <c r="JO131" s="6">
        <v>0</v>
      </c>
      <c r="JP131" s="6">
        <v>0</v>
      </c>
      <c r="JQ131" s="6">
        <v>0</v>
      </c>
      <c r="JR131" s="6">
        <v>0</v>
      </c>
      <c r="JS131" s="6">
        <v>0</v>
      </c>
      <c r="JT131" s="6"/>
      <c r="JU131" s="6" t="s">
        <v>544</v>
      </c>
      <c r="JV131" s="15"/>
      <c r="JW131" s="94" t="s">
        <v>2464</v>
      </c>
      <c r="JX131" s="6" t="s">
        <v>2465</v>
      </c>
      <c r="JY131" s="6">
        <v>0.5970734</v>
      </c>
      <c r="JZ131" s="6">
        <v>34.4662648</v>
      </c>
      <c r="KA131" s="6">
        <v>1292.89</v>
      </c>
      <c r="KB131" s="15">
        <v>1.956</v>
      </c>
      <c r="KC131" s="15"/>
    </row>
    <row r="132" spans="1:289">
      <c r="A132" s="6" t="s">
        <v>2115</v>
      </c>
      <c r="B132" s="6" t="s">
        <v>420</v>
      </c>
      <c r="C132" s="6" t="s">
        <v>1608</v>
      </c>
      <c r="D132" s="6" t="s">
        <v>2449</v>
      </c>
      <c r="E132" s="6" t="s">
        <v>2466</v>
      </c>
      <c r="F132" s="8" t="s">
        <v>423</v>
      </c>
      <c r="G132" s="6" t="s">
        <v>2467</v>
      </c>
      <c r="H132" s="6" t="s">
        <v>425</v>
      </c>
      <c r="I132" s="15"/>
      <c r="J132" s="6" t="s">
        <v>426</v>
      </c>
      <c r="K132" s="6" t="s">
        <v>426</v>
      </c>
      <c r="L132" s="6" t="s">
        <v>426</v>
      </c>
      <c r="M132" s="6" t="s">
        <v>453</v>
      </c>
      <c r="N132" s="6" t="s">
        <v>426</v>
      </c>
      <c r="O132" s="6" t="s">
        <v>426</v>
      </c>
      <c r="P132" s="6" t="s">
        <v>426</v>
      </c>
      <c r="Q132" s="6" t="s">
        <v>426</v>
      </c>
      <c r="R132" s="6" t="s">
        <v>426</v>
      </c>
      <c r="S132" s="6" t="s">
        <v>426</v>
      </c>
      <c r="T132" s="6" t="s">
        <v>426</v>
      </c>
      <c r="U132" s="6" t="s">
        <v>426</v>
      </c>
      <c r="V132" s="6" t="s">
        <v>426</v>
      </c>
      <c r="W132" s="6" t="s">
        <v>426</v>
      </c>
      <c r="X132" s="6" t="s">
        <v>426</v>
      </c>
      <c r="Y132" s="6" t="s">
        <v>426</v>
      </c>
      <c r="Z132" s="6" t="s">
        <v>426</v>
      </c>
      <c r="AA132" s="6" t="s">
        <v>426</v>
      </c>
      <c r="AB132" s="6" t="s">
        <v>426</v>
      </c>
      <c r="AC132" s="15" t="s">
        <v>426</v>
      </c>
      <c r="AD132" s="6" t="s">
        <v>427</v>
      </c>
      <c r="AE132" s="6">
        <v>0</v>
      </c>
      <c r="AF132" s="6">
        <v>0</v>
      </c>
      <c r="AG132" s="6">
        <v>0</v>
      </c>
      <c r="AH132" s="6">
        <v>1</v>
      </c>
      <c r="AI132" s="6">
        <v>0</v>
      </c>
      <c r="AJ132" s="6">
        <v>0</v>
      </c>
      <c r="AK132" s="6">
        <v>0</v>
      </c>
      <c r="AL132" s="6">
        <v>0</v>
      </c>
      <c r="AM132" s="6"/>
      <c r="AN132" s="15"/>
      <c r="AO132" s="6" t="s">
        <v>426</v>
      </c>
      <c r="AP132" s="6" t="s">
        <v>1188</v>
      </c>
      <c r="AQ132" s="6" t="s">
        <v>426</v>
      </c>
      <c r="AR132" s="6" t="s">
        <v>1188</v>
      </c>
      <c r="AS132" s="6" t="s">
        <v>426</v>
      </c>
      <c r="AT132" s="6">
        <v>0.25</v>
      </c>
      <c r="AU132" s="6" t="s">
        <v>426</v>
      </c>
      <c r="AV132" s="6">
        <v>0.25</v>
      </c>
      <c r="AW132" s="6" t="s">
        <v>426</v>
      </c>
      <c r="AX132" s="6">
        <v>0.25</v>
      </c>
      <c r="AY132" s="6" t="s">
        <v>426</v>
      </c>
      <c r="AZ132" s="6">
        <v>1</v>
      </c>
      <c r="BA132" s="6" t="s">
        <v>426</v>
      </c>
      <c r="BB132" s="6">
        <v>0.5</v>
      </c>
      <c r="BC132" s="6" t="s">
        <v>426</v>
      </c>
      <c r="BD132" s="6">
        <v>0.25</v>
      </c>
      <c r="BE132" s="6" t="s">
        <v>426</v>
      </c>
      <c r="BF132" s="6">
        <v>5</v>
      </c>
      <c r="BG132" s="6" t="s">
        <v>453</v>
      </c>
      <c r="BH132" s="6"/>
      <c r="BI132" s="6" t="s">
        <v>426</v>
      </c>
      <c r="BJ132" s="6">
        <v>0.5</v>
      </c>
      <c r="BK132" s="6" t="s">
        <v>426</v>
      </c>
      <c r="BL132" s="6">
        <v>0.5</v>
      </c>
      <c r="BM132" s="6" t="s">
        <v>426</v>
      </c>
      <c r="BN132" s="6">
        <v>30</v>
      </c>
      <c r="BO132" s="6" t="s">
        <v>426</v>
      </c>
      <c r="BP132" s="6">
        <v>0.125</v>
      </c>
      <c r="BQ132" s="6" t="s">
        <v>426</v>
      </c>
      <c r="BR132" s="6">
        <v>35</v>
      </c>
      <c r="BS132" s="6" t="s">
        <v>426</v>
      </c>
      <c r="BT132" s="6">
        <v>1</v>
      </c>
      <c r="BU132" s="6" t="s">
        <v>426</v>
      </c>
      <c r="BV132" s="15">
        <v>0.25</v>
      </c>
      <c r="BW132" s="15" t="s">
        <v>2263</v>
      </c>
      <c r="BX132" s="15" t="s">
        <v>786</v>
      </c>
      <c r="BY132" s="6" t="s">
        <v>430</v>
      </c>
      <c r="BZ132" s="6" t="s">
        <v>430</v>
      </c>
      <c r="CA132" s="6" t="s">
        <v>430</v>
      </c>
      <c r="CB132" s="6" t="s">
        <v>430</v>
      </c>
      <c r="CC132" s="6" t="s">
        <v>430</v>
      </c>
      <c r="CD132" s="6" t="s">
        <v>430</v>
      </c>
      <c r="CE132" s="6" t="s">
        <v>430</v>
      </c>
      <c r="CF132" s="6" t="s">
        <v>430</v>
      </c>
      <c r="CG132" s="6" t="s">
        <v>430</v>
      </c>
      <c r="CH132" s="6" t="s">
        <v>430</v>
      </c>
      <c r="CI132" s="6" t="s">
        <v>430</v>
      </c>
      <c r="CJ132" s="6" t="s">
        <v>430</v>
      </c>
      <c r="CK132" s="6" t="s">
        <v>430</v>
      </c>
      <c r="CL132" s="6" t="s">
        <v>430</v>
      </c>
      <c r="CM132" s="6" t="s">
        <v>430</v>
      </c>
      <c r="CN132" s="6" t="s">
        <v>430</v>
      </c>
      <c r="CO132" s="15" t="s">
        <v>430</v>
      </c>
      <c r="CP132" s="15" t="s">
        <v>432</v>
      </c>
      <c r="CQ132" s="6" t="s">
        <v>433</v>
      </c>
      <c r="CR132" s="15"/>
      <c r="CS132" s="6" t="s">
        <v>426</v>
      </c>
      <c r="CT132" s="6" t="s">
        <v>2441</v>
      </c>
      <c r="CU132" s="6" t="s">
        <v>660</v>
      </c>
      <c r="CV132" s="6" t="s">
        <v>1427</v>
      </c>
      <c r="CW132" s="6" t="s">
        <v>1919</v>
      </c>
      <c r="CX132" s="15" t="s">
        <v>453</v>
      </c>
      <c r="CY132" s="6"/>
      <c r="CZ132" s="6"/>
      <c r="DA132" s="6"/>
      <c r="DB132" s="6"/>
      <c r="DC132" s="6"/>
      <c r="DD132" s="15"/>
      <c r="DE132" s="15" t="s">
        <v>436</v>
      </c>
      <c r="DF132" s="6" t="s">
        <v>437</v>
      </c>
      <c r="DG132" s="6">
        <v>1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/>
      <c r="DN132" s="6"/>
      <c r="DO132" s="6"/>
      <c r="DP132" s="6"/>
      <c r="DQ132" s="6"/>
      <c r="DR132" s="6"/>
      <c r="DS132" s="6"/>
      <c r="DT132" s="66"/>
      <c r="DU132" s="6" t="s">
        <v>438</v>
      </c>
      <c r="DV132" s="6" t="s">
        <v>426</v>
      </c>
      <c r="DW132" s="6" t="s">
        <v>439</v>
      </c>
      <c r="DX132" s="6" t="s">
        <v>440</v>
      </c>
      <c r="DY132" s="6"/>
      <c r="DZ132" s="6" t="s">
        <v>441</v>
      </c>
      <c r="EA132" s="6">
        <v>1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/>
      <c r="EJ132" s="6" t="s">
        <v>811</v>
      </c>
      <c r="EK132" s="6">
        <v>1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/>
      <c r="EU132" s="6" t="s">
        <v>443</v>
      </c>
      <c r="EV132" s="6" t="s">
        <v>588</v>
      </c>
      <c r="EW132" s="6"/>
      <c r="EX132" s="6" t="s">
        <v>1123</v>
      </c>
      <c r="EY132" s="6">
        <v>1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/>
      <c r="FH132" s="6" t="s">
        <v>2468</v>
      </c>
      <c r="FI132" s="6">
        <v>0</v>
      </c>
      <c r="FJ132" s="6">
        <v>0</v>
      </c>
      <c r="FK132" s="6">
        <v>0</v>
      </c>
      <c r="FL132" s="6">
        <v>0</v>
      </c>
      <c r="FM132" s="6">
        <v>0</v>
      </c>
      <c r="FN132" s="6">
        <v>0</v>
      </c>
      <c r="FO132" s="6">
        <v>1</v>
      </c>
      <c r="FP132" s="6">
        <v>0</v>
      </c>
      <c r="FQ132" s="6">
        <v>0</v>
      </c>
      <c r="FR132" s="6">
        <v>0</v>
      </c>
      <c r="FS132" s="6"/>
      <c r="FT132" s="6" t="s">
        <v>447</v>
      </c>
      <c r="FU132" s="6" t="s">
        <v>499</v>
      </c>
      <c r="FV132" s="6"/>
      <c r="FW132" s="6" t="s">
        <v>449</v>
      </c>
      <c r="FX132" s="15" t="s">
        <v>450</v>
      </c>
      <c r="FY132" s="6" t="s">
        <v>619</v>
      </c>
      <c r="FZ132" s="6"/>
      <c r="GA132" s="6" t="s">
        <v>450</v>
      </c>
      <c r="GB132" s="6" t="s">
        <v>501</v>
      </c>
      <c r="GC132" s="6" t="s">
        <v>453</v>
      </c>
      <c r="GD132" s="6"/>
      <c r="GE132" s="6" t="s">
        <v>454</v>
      </c>
      <c r="GF132" s="6" t="s">
        <v>1074</v>
      </c>
      <c r="GG132" s="6" t="s">
        <v>456</v>
      </c>
      <c r="GH132" s="15" t="s">
        <v>1074</v>
      </c>
      <c r="GI132" s="6" t="s">
        <v>458</v>
      </c>
      <c r="GJ132" s="6" t="s">
        <v>2469</v>
      </c>
      <c r="GK132" s="6" t="s">
        <v>460</v>
      </c>
      <c r="GL132" s="6" t="s">
        <v>461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1</v>
      </c>
      <c r="GS132" s="6">
        <v>0</v>
      </c>
      <c r="GT132" s="6"/>
      <c r="GU132" s="6" t="s">
        <v>534</v>
      </c>
      <c r="GV132" s="6" t="s">
        <v>595</v>
      </c>
      <c r="GW132" s="6" t="s">
        <v>464</v>
      </c>
      <c r="GX132" s="6">
        <v>1</v>
      </c>
      <c r="GY132" s="6">
        <v>0</v>
      </c>
      <c r="GZ132" s="6">
        <v>0</v>
      </c>
      <c r="HA132" s="6">
        <v>0</v>
      </c>
      <c r="HB132" s="6">
        <v>0</v>
      </c>
      <c r="HC132" s="6">
        <v>0</v>
      </c>
      <c r="HD132" s="6"/>
      <c r="HE132" s="6" t="s">
        <v>2470</v>
      </c>
      <c r="HF132" s="6">
        <v>0</v>
      </c>
      <c r="HG132" s="6">
        <v>0</v>
      </c>
      <c r="HH132" s="6">
        <v>0</v>
      </c>
      <c r="HI132" s="6">
        <v>0</v>
      </c>
      <c r="HJ132" s="6">
        <v>1</v>
      </c>
      <c r="HK132" s="6">
        <v>0</v>
      </c>
      <c r="HL132" s="15"/>
      <c r="HM132" s="6" t="s">
        <v>505</v>
      </c>
      <c r="HN132" s="6"/>
      <c r="HO132" s="6" t="s">
        <v>2471</v>
      </c>
      <c r="HP132" s="6" t="s">
        <v>648</v>
      </c>
      <c r="HQ132" s="6"/>
      <c r="HR132" s="6" t="s">
        <v>2472</v>
      </c>
      <c r="HS132" s="6" t="s">
        <v>2473</v>
      </c>
      <c r="HT132" s="6">
        <v>0</v>
      </c>
      <c r="HU132" s="6">
        <v>0</v>
      </c>
      <c r="HV132" s="6">
        <v>0</v>
      </c>
      <c r="HW132" s="6">
        <v>0</v>
      </c>
      <c r="HX132" s="6">
        <v>0</v>
      </c>
      <c r="HY132" s="6">
        <v>1</v>
      </c>
      <c r="HZ132" s="6"/>
      <c r="IA132" s="6" t="s">
        <v>111</v>
      </c>
      <c r="IB132" s="6">
        <v>1</v>
      </c>
      <c r="IC132" s="6">
        <v>0</v>
      </c>
      <c r="ID132" s="6">
        <v>0</v>
      </c>
      <c r="IE132" s="6">
        <v>0</v>
      </c>
      <c r="IF132" s="6">
        <v>0</v>
      </c>
      <c r="IG132" s="6">
        <v>0</v>
      </c>
      <c r="IH132" s="15" t="s">
        <v>2474</v>
      </c>
      <c r="II132" s="6" t="s">
        <v>426</v>
      </c>
      <c r="IJ132" s="6" t="s">
        <v>602</v>
      </c>
      <c r="IK132" s="6">
        <v>1</v>
      </c>
      <c r="IL132" s="6">
        <v>1</v>
      </c>
      <c r="IM132" s="6">
        <v>0</v>
      </c>
      <c r="IN132" s="6"/>
      <c r="IO132" s="6" t="s">
        <v>473</v>
      </c>
      <c r="IP132" s="6">
        <v>1</v>
      </c>
      <c r="IQ132" s="6">
        <v>0</v>
      </c>
      <c r="IR132" s="6">
        <v>0</v>
      </c>
      <c r="IS132" s="6">
        <v>0</v>
      </c>
      <c r="IT132" s="6">
        <v>0</v>
      </c>
      <c r="IU132" s="6">
        <v>0</v>
      </c>
      <c r="IV132" s="6"/>
      <c r="IW132" s="6" t="s">
        <v>453</v>
      </c>
      <c r="IX132" s="6"/>
      <c r="IY132" s="6" t="s">
        <v>510</v>
      </c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 t="s">
        <v>453</v>
      </c>
      <c r="JK132" s="6" t="s">
        <v>426</v>
      </c>
      <c r="JL132" s="6" t="s">
        <v>426</v>
      </c>
      <c r="JM132" s="6"/>
      <c r="JN132" s="6"/>
      <c r="JO132" s="6"/>
      <c r="JP132" s="6"/>
      <c r="JQ132" s="6"/>
      <c r="JR132" s="6"/>
      <c r="JS132" s="6"/>
      <c r="JT132" s="6"/>
      <c r="JU132" s="6" t="s">
        <v>544</v>
      </c>
      <c r="JV132" s="15"/>
      <c r="JW132" s="94" t="s">
        <v>2475</v>
      </c>
      <c r="JX132" s="6" t="s">
        <v>2476</v>
      </c>
      <c r="JY132" s="6">
        <v>0.5971282</v>
      </c>
      <c r="JZ132" s="6">
        <v>34.4664432</v>
      </c>
      <c r="KA132" s="6">
        <v>1350.105</v>
      </c>
      <c r="KB132" s="15">
        <v>3.106</v>
      </c>
      <c r="KC132" s="15"/>
    </row>
    <row r="133" spans="1:289">
      <c r="A133" s="6" t="s">
        <v>2115</v>
      </c>
      <c r="B133" s="6" t="s">
        <v>420</v>
      </c>
      <c r="C133" s="6" t="s">
        <v>1608</v>
      </c>
      <c r="D133" s="6" t="s">
        <v>1877</v>
      </c>
      <c r="E133" s="6" t="s">
        <v>2477</v>
      </c>
      <c r="F133" s="8" t="s">
        <v>423</v>
      </c>
      <c r="G133" s="6" t="s">
        <v>424</v>
      </c>
      <c r="H133" s="6" t="s">
        <v>425</v>
      </c>
      <c r="I133" s="15"/>
      <c r="J133" s="6" t="s">
        <v>426</v>
      </c>
      <c r="K133" s="6" t="s">
        <v>426</v>
      </c>
      <c r="L133" s="6" t="s">
        <v>426</v>
      </c>
      <c r="M133" s="6" t="s">
        <v>426</v>
      </c>
      <c r="N133" s="6" t="s">
        <v>426</v>
      </c>
      <c r="O133" s="6" t="s">
        <v>426</v>
      </c>
      <c r="P133" s="6" t="s">
        <v>426</v>
      </c>
      <c r="Q133" s="6" t="s">
        <v>426</v>
      </c>
      <c r="R133" s="6" t="s">
        <v>426</v>
      </c>
      <c r="S133" s="6" t="s">
        <v>426</v>
      </c>
      <c r="T133" s="6" t="s">
        <v>426</v>
      </c>
      <c r="U133" s="6" t="s">
        <v>426</v>
      </c>
      <c r="V133" s="6" t="s">
        <v>426</v>
      </c>
      <c r="W133" s="6" t="s">
        <v>426</v>
      </c>
      <c r="X133" s="6" t="s">
        <v>426</v>
      </c>
      <c r="Y133" s="6" t="s">
        <v>426</v>
      </c>
      <c r="Z133" s="6" t="s">
        <v>426</v>
      </c>
      <c r="AA133" s="6" t="s">
        <v>426</v>
      </c>
      <c r="AB133" s="6" t="s">
        <v>426</v>
      </c>
      <c r="AC133" s="15" t="s">
        <v>426</v>
      </c>
      <c r="AD133" s="6" t="s">
        <v>427</v>
      </c>
      <c r="AE133" s="6">
        <v>0</v>
      </c>
      <c r="AF133" s="6">
        <v>0</v>
      </c>
      <c r="AG133" s="6">
        <v>0</v>
      </c>
      <c r="AH133" s="6">
        <v>1</v>
      </c>
      <c r="AI133" s="6">
        <v>0</v>
      </c>
      <c r="AJ133" s="6">
        <v>0</v>
      </c>
      <c r="AK133" s="6">
        <v>0</v>
      </c>
      <c r="AL133" s="6">
        <v>0</v>
      </c>
      <c r="AM133" s="6"/>
      <c r="AN133" s="15"/>
      <c r="AO133" s="6" t="s">
        <v>426</v>
      </c>
      <c r="AP133" s="6" t="s">
        <v>901</v>
      </c>
      <c r="AQ133" s="6" t="s">
        <v>426</v>
      </c>
      <c r="AR133" s="6" t="s">
        <v>823</v>
      </c>
      <c r="AS133" s="6" t="s">
        <v>426</v>
      </c>
      <c r="AT133" s="6">
        <v>1</v>
      </c>
      <c r="AU133" s="6" t="s">
        <v>426</v>
      </c>
      <c r="AV133" s="6">
        <v>1</v>
      </c>
      <c r="AW133" s="6" t="s">
        <v>426</v>
      </c>
      <c r="AX133" s="6">
        <v>1</v>
      </c>
      <c r="AY133" s="6" t="s">
        <v>426</v>
      </c>
      <c r="AZ133" s="6">
        <v>1</v>
      </c>
      <c r="BA133" s="6" t="s">
        <v>426</v>
      </c>
      <c r="BB133" s="6">
        <v>0.5</v>
      </c>
      <c r="BC133" s="6" t="s">
        <v>426</v>
      </c>
      <c r="BD133" s="6">
        <v>0.5</v>
      </c>
      <c r="BE133" s="6" t="s">
        <v>426</v>
      </c>
      <c r="BF133" s="6">
        <v>4</v>
      </c>
      <c r="BG133" s="6" t="s">
        <v>426</v>
      </c>
      <c r="BH133" s="6">
        <v>0.25</v>
      </c>
      <c r="BI133" s="6" t="s">
        <v>426</v>
      </c>
      <c r="BJ133" s="6">
        <v>2</v>
      </c>
      <c r="BK133" s="6" t="s">
        <v>426</v>
      </c>
      <c r="BL133" s="6">
        <v>2</v>
      </c>
      <c r="BM133" s="6" t="s">
        <v>426</v>
      </c>
      <c r="BN133" s="6">
        <v>40</v>
      </c>
      <c r="BO133" s="6" t="s">
        <v>426</v>
      </c>
      <c r="BP133" s="6">
        <v>0.5</v>
      </c>
      <c r="BQ133" s="6" t="s">
        <v>426</v>
      </c>
      <c r="BR133" s="6">
        <v>100</v>
      </c>
      <c r="BS133" s="6" t="s">
        <v>426</v>
      </c>
      <c r="BT133" s="6">
        <v>1</v>
      </c>
      <c r="BU133" s="6" t="s">
        <v>426</v>
      </c>
      <c r="BV133" s="15">
        <v>0.5</v>
      </c>
      <c r="BW133" s="15" t="s">
        <v>2263</v>
      </c>
      <c r="BX133" s="15" t="s">
        <v>429</v>
      </c>
      <c r="BY133" s="6" t="s">
        <v>430</v>
      </c>
      <c r="BZ133" s="6" t="s">
        <v>430</v>
      </c>
      <c r="CA133" s="6" t="s">
        <v>430</v>
      </c>
      <c r="CB133" s="6" t="s">
        <v>430</v>
      </c>
      <c r="CC133" s="6" t="s">
        <v>430</v>
      </c>
      <c r="CD133" s="6" t="s">
        <v>430</v>
      </c>
      <c r="CE133" s="6" t="s">
        <v>430</v>
      </c>
      <c r="CF133" s="6" t="s">
        <v>430</v>
      </c>
      <c r="CG133" s="6" t="s">
        <v>430</v>
      </c>
      <c r="CH133" s="6" t="s">
        <v>430</v>
      </c>
      <c r="CI133" s="6" t="s">
        <v>430</v>
      </c>
      <c r="CJ133" s="6" t="s">
        <v>430</v>
      </c>
      <c r="CK133" s="6" t="s">
        <v>430</v>
      </c>
      <c r="CL133" s="6" t="s">
        <v>430</v>
      </c>
      <c r="CM133" s="6" t="s">
        <v>430</v>
      </c>
      <c r="CN133" s="6" t="s">
        <v>430</v>
      </c>
      <c r="CO133" s="15" t="s">
        <v>430</v>
      </c>
      <c r="CP133" s="15" t="s">
        <v>432</v>
      </c>
      <c r="CQ133" s="6" t="s">
        <v>433</v>
      </c>
      <c r="CR133" s="15"/>
      <c r="CS133" s="6" t="s">
        <v>426</v>
      </c>
      <c r="CT133" s="6" t="s">
        <v>1917</v>
      </c>
      <c r="CU133" s="6" t="s">
        <v>809</v>
      </c>
      <c r="CV133" s="6" t="s">
        <v>809</v>
      </c>
      <c r="CW133" s="6" t="s">
        <v>1380</v>
      </c>
      <c r="CX133" s="15" t="s">
        <v>426</v>
      </c>
      <c r="CY133" s="6" t="s">
        <v>426</v>
      </c>
      <c r="CZ133" s="6" t="s">
        <v>1917</v>
      </c>
      <c r="DA133" s="6" t="s">
        <v>766</v>
      </c>
      <c r="DB133" s="6" t="s">
        <v>1367</v>
      </c>
      <c r="DC133" s="6" t="s">
        <v>809</v>
      </c>
      <c r="DD133" s="15" t="s">
        <v>2059</v>
      </c>
      <c r="DE133" s="15" t="s">
        <v>436</v>
      </c>
      <c r="DF133" s="6" t="s">
        <v>437</v>
      </c>
      <c r="DG133" s="6">
        <v>1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/>
      <c r="DN133" s="6"/>
      <c r="DO133" s="6"/>
      <c r="DP133" s="6"/>
      <c r="DQ133" s="6"/>
      <c r="DR133" s="6"/>
      <c r="DS133" s="6"/>
      <c r="DT133" s="66"/>
      <c r="DU133" s="6" t="s">
        <v>438</v>
      </c>
      <c r="DV133" s="6" t="s">
        <v>426</v>
      </c>
      <c r="DW133" s="6" t="s">
        <v>439</v>
      </c>
      <c r="DX133" s="6" t="s">
        <v>440</v>
      </c>
      <c r="DY133" s="6"/>
      <c r="DZ133" s="6" t="s">
        <v>441</v>
      </c>
      <c r="EA133" s="6">
        <v>1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/>
      <c r="EJ133" s="6" t="s">
        <v>811</v>
      </c>
      <c r="EK133" s="6">
        <v>1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/>
      <c r="EU133" s="6" t="s">
        <v>443</v>
      </c>
      <c r="EV133" s="6" t="s">
        <v>588</v>
      </c>
      <c r="EW133" s="6"/>
      <c r="EX133" s="6" t="s">
        <v>1123</v>
      </c>
      <c r="EY133" s="6">
        <v>1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/>
      <c r="FH133" s="6" t="s">
        <v>1243</v>
      </c>
      <c r="FI133" s="6">
        <v>0</v>
      </c>
      <c r="FJ133" s="6">
        <v>0</v>
      </c>
      <c r="FK133" s="6">
        <v>1</v>
      </c>
      <c r="FL133" s="6">
        <v>0</v>
      </c>
      <c r="FM133" s="6">
        <v>0</v>
      </c>
      <c r="FN133" s="6">
        <v>0</v>
      </c>
      <c r="FO133" s="6">
        <v>0</v>
      </c>
      <c r="FP133" s="6">
        <v>0</v>
      </c>
      <c r="FQ133" s="6">
        <v>0</v>
      </c>
      <c r="FR133" s="6">
        <v>0</v>
      </c>
      <c r="FS133" s="6"/>
      <c r="FT133" s="6" t="s">
        <v>447</v>
      </c>
      <c r="FU133" s="6" t="s">
        <v>499</v>
      </c>
      <c r="FV133" s="6"/>
      <c r="FW133" s="6" t="s">
        <v>449</v>
      </c>
      <c r="FX133" s="15" t="s">
        <v>450</v>
      </c>
      <c r="FY133" s="6" t="s">
        <v>500</v>
      </c>
      <c r="FZ133" s="6"/>
      <c r="GA133" s="6" t="s">
        <v>450</v>
      </c>
      <c r="GB133" s="6" t="s">
        <v>501</v>
      </c>
      <c r="GC133" s="6" t="s">
        <v>453</v>
      </c>
      <c r="GD133" s="6"/>
      <c r="GE133" s="6" t="s">
        <v>454</v>
      </c>
      <c r="GF133" s="6" t="s">
        <v>593</v>
      </c>
      <c r="GG133" s="6" t="s">
        <v>456</v>
      </c>
      <c r="GH133" s="15" t="s">
        <v>593</v>
      </c>
      <c r="GI133" s="6" t="s">
        <v>458</v>
      </c>
      <c r="GJ133" s="6" t="s">
        <v>2144</v>
      </c>
      <c r="GK133" s="6" t="s">
        <v>460</v>
      </c>
      <c r="GL133" s="6" t="s">
        <v>461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1</v>
      </c>
      <c r="GS133" s="6">
        <v>0</v>
      </c>
      <c r="GT133" s="6"/>
      <c r="GU133" s="6" t="s">
        <v>534</v>
      </c>
      <c r="GV133" s="6" t="s">
        <v>595</v>
      </c>
      <c r="GW133" s="6" t="s">
        <v>464</v>
      </c>
      <c r="GX133" s="6">
        <v>1</v>
      </c>
      <c r="GY133" s="6">
        <v>0</v>
      </c>
      <c r="GZ133" s="6">
        <v>0</v>
      </c>
      <c r="HA133" s="6">
        <v>0</v>
      </c>
      <c r="HB133" s="6">
        <v>0</v>
      </c>
      <c r="HC133" s="6">
        <v>0</v>
      </c>
      <c r="HD133" s="6"/>
      <c r="HE133" s="6" t="s">
        <v>111</v>
      </c>
      <c r="HF133" s="6">
        <v>0</v>
      </c>
      <c r="HG133" s="6">
        <v>0</v>
      </c>
      <c r="HH133" s="6">
        <v>0</v>
      </c>
      <c r="HI133" s="6">
        <v>1</v>
      </c>
      <c r="HJ133" s="6">
        <v>0</v>
      </c>
      <c r="HK133" s="6">
        <v>0</v>
      </c>
      <c r="HL133" s="15"/>
      <c r="HM133" s="6" t="s">
        <v>505</v>
      </c>
      <c r="HN133" s="6"/>
      <c r="HO133" s="6" t="s">
        <v>2478</v>
      </c>
      <c r="HP133" s="6" t="s">
        <v>1668</v>
      </c>
      <c r="HQ133" s="6"/>
      <c r="HR133" s="6" t="s">
        <v>2479</v>
      </c>
      <c r="HS133" s="6" t="s">
        <v>540</v>
      </c>
      <c r="HT133" s="6">
        <v>1</v>
      </c>
      <c r="HU133" s="6">
        <v>0</v>
      </c>
      <c r="HV133" s="6">
        <v>0</v>
      </c>
      <c r="HW133" s="6">
        <v>0</v>
      </c>
      <c r="HX133" s="6">
        <v>0</v>
      </c>
      <c r="HY133" s="6">
        <v>0</v>
      </c>
      <c r="HZ133" s="6"/>
      <c r="IA133" s="6" t="s">
        <v>111</v>
      </c>
      <c r="IB133" s="6">
        <v>1</v>
      </c>
      <c r="IC133" s="6">
        <v>0</v>
      </c>
      <c r="ID133" s="6">
        <v>0</v>
      </c>
      <c r="IE133" s="6">
        <v>0</v>
      </c>
      <c r="IF133" s="6">
        <v>0</v>
      </c>
      <c r="IG133" s="6">
        <v>0</v>
      </c>
      <c r="IH133" s="15" t="s">
        <v>2480</v>
      </c>
      <c r="II133" s="6" t="s">
        <v>426</v>
      </c>
      <c r="IJ133" s="6" t="s">
        <v>602</v>
      </c>
      <c r="IK133" s="6">
        <v>1</v>
      </c>
      <c r="IL133" s="6">
        <v>1</v>
      </c>
      <c r="IM133" s="6">
        <v>0</v>
      </c>
      <c r="IN133" s="6"/>
      <c r="IO133" s="6" t="s">
        <v>473</v>
      </c>
      <c r="IP133" s="6">
        <v>1</v>
      </c>
      <c r="IQ133" s="6">
        <v>0</v>
      </c>
      <c r="IR133" s="6">
        <v>0</v>
      </c>
      <c r="IS133" s="6">
        <v>0</v>
      </c>
      <c r="IT133" s="6">
        <v>0</v>
      </c>
      <c r="IU133" s="6">
        <v>0</v>
      </c>
      <c r="IV133" s="6"/>
      <c r="IW133" s="6" t="s">
        <v>426</v>
      </c>
      <c r="IX133" s="6">
        <v>1</v>
      </c>
      <c r="IY133" s="6" t="s">
        <v>474</v>
      </c>
      <c r="IZ133" s="6" t="s">
        <v>475</v>
      </c>
      <c r="JA133" s="6" t="s">
        <v>426</v>
      </c>
      <c r="JB133" s="6" t="s">
        <v>476</v>
      </c>
      <c r="JC133" s="6"/>
      <c r="JD133" s="6"/>
      <c r="JE133" s="6"/>
      <c r="JF133" s="6"/>
      <c r="JG133" s="6"/>
      <c r="JH133" s="6"/>
      <c r="JI133" s="6"/>
      <c r="JJ133" s="6"/>
      <c r="JK133" s="6" t="s">
        <v>453</v>
      </c>
      <c r="JL133" s="6"/>
      <c r="JM133" s="6"/>
      <c r="JN133" s="6"/>
      <c r="JO133" s="6"/>
      <c r="JP133" s="6"/>
      <c r="JQ133" s="6"/>
      <c r="JR133" s="6"/>
      <c r="JS133" s="6"/>
      <c r="JT133" s="6"/>
      <c r="JU133" s="6" t="s">
        <v>544</v>
      </c>
      <c r="JV133" s="15"/>
      <c r="JW133" s="94" t="s">
        <v>2481</v>
      </c>
      <c r="JX133" s="6" t="s">
        <v>2482</v>
      </c>
      <c r="JY133" s="6">
        <v>0.5971882</v>
      </c>
      <c r="JZ133" s="6">
        <v>34.4663188</v>
      </c>
      <c r="KA133" s="6">
        <v>1273.266</v>
      </c>
      <c r="KB133" s="15">
        <v>1.667</v>
      </c>
      <c r="KC133" s="15"/>
    </row>
    <row r="134" spans="1:289">
      <c r="A134" s="6" t="s">
        <v>1301</v>
      </c>
      <c r="B134" s="6" t="s">
        <v>420</v>
      </c>
      <c r="C134" s="6" t="s">
        <v>1608</v>
      </c>
      <c r="D134" s="6" t="s">
        <v>1655</v>
      </c>
      <c r="E134" s="6" t="s">
        <v>2483</v>
      </c>
      <c r="F134" s="8" t="s">
        <v>483</v>
      </c>
      <c r="G134" s="6" t="s">
        <v>567</v>
      </c>
      <c r="H134" s="6" t="s">
        <v>425</v>
      </c>
      <c r="I134" s="15"/>
      <c r="J134" s="6" t="s">
        <v>426</v>
      </c>
      <c r="K134" s="6" t="s">
        <v>426</v>
      </c>
      <c r="L134" s="6" t="s">
        <v>426</v>
      </c>
      <c r="M134" s="6" t="s">
        <v>426</v>
      </c>
      <c r="N134" s="6" t="s">
        <v>426</v>
      </c>
      <c r="O134" s="6" t="s">
        <v>426</v>
      </c>
      <c r="P134" s="6" t="s">
        <v>426</v>
      </c>
      <c r="Q134" s="6" t="s">
        <v>426</v>
      </c>
      <c r="R134" s="6" t="s">
        <v>426</v>
      </c>
      <c r="S134" s="6" t="s">
        <v>426</v>
      </c>
      <c r="T134" s="6" t="s">
        <v>426</v>
      </c>
      <c r="U134" s="6" t="s">
        <v>426</v>
      </c>
      <c r="V134" s="6" t="s">
        <v>426</v>
      </c>
      <c r="W134" s="6" t="s">
        <v>426</v>
      </c>
      <c r="X134" s="6" t="s">
        <v>426</v>
      </c>
      <c r="Y134" s="6" t="s">
        <v>426</v>
      </c>
      <c r="Z134" s="6" t="s">
        <v>426</v>
      </c>
      <c r="AA134" s="6" t="s">
        <v>426</v>
      </c>
      <c r="AB134" s="6" t="s">
        <v>426</v>
      </c>
      <c r="AC134" s="15" t="s">
        <v>426</v>
      </c>
      <c r="AD134" s="6" t="s">
        <v>427</v>
      </c>
      <c r="AE134" s="6">
        <v>0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0</v>
      </c>
      <c r="AL134" s="6">
        <v>0</v>
      </c>
      <c r="AM134" s="6"/>
      <c r="AN134" s="15"/>
      <c r="AO134" s="6" t="s">
        <v>426</v>
      </c>
      <c r="AP134" s="6" t="s">
        <v>766</v>
      </c>
      <c r="AQ134" s="6" t="s">
        <v>426</v>
      </c>
      <c r="AR134" s="6" t="s">
        <v>1024</v>
      </c>
      <c r="AS134" s="6" t="s">
        <v>426</v>
      </c>
      <c r="AT134" s="6">
        <v>1</v>
      </c>
      <c r="AU134" s="6" t="s">
        <v>426</v>
      </c>
      <c r="AV134" s="6">
        <v>2</v>
      </c>
      <c r="AW134" s="6" t="s">
        <v>426</v>
      </c>
      <c r="AX134" s="6">
        <v>2</v>
      </c>
      <c r="AY134" s="6" t="s">
        <v>426</v>
      </c>
      <c r="AZ134" s="6">
        <v>1</v>
      </c>
      <c r="BA134" s="6" t="s">
        <v>426</v>
      </c>
      <c r="BB134" s="6">
        <v>0.25</v>
      </c>
      <c r="BC134" s="6" t="s">
        <v>426</v>
      </c>
      <c r="BD134" s="6">
        <v>0.25</v>
      </c>
      <c r="BE134" s="6" t="s">
        <v>453</v>
      </c>
      <c r="BF134" s="6"/>
      <c r="BG134" s="6" t="s">
        <v>426</v>
      </c>
      <c r="BH134" s="6">
        <v>0.25</v>
      </c>
      <c r="BI134" s="6" t="s">
        <v>426</v>
      </c>
      <c r="BJ134" s="6">
        <v>2</v>
      </c>
      <c r="BK134" s="6" t="s">
        <v>426</v>
      </c>
      <c r="BL134" s="6">
        <v>5</v>
      </c>
      <c r="BM134" s="6" t="s">
        <v>426</v>
      </c>
      <c r="BN134" s="6">
        <v>80</v>
      </c>
      <c r="BO134" s="6" t="s">
        <v>426</v>
      </c>
      <c r="BP134" s="6">
        <v>1</v>
      </c>
      <c r="BQ134" s="6" t="s">
        <v>426</v>
      </c>
      <c r="BR134" s="6">
        <v>22</v>
      </c>
      <c r="BS134" s="6" t="s">
        <v>426</v>
      </c>
      <c r="BT134" s="6">
        <v>400</v>
      </c>
      <c r="BU134" s="6" t="s">
        <v>426</v>
      </c>
      <c r="BV134" s="15">
        <v>2</v>
      </c>
      <c r="BW134" s="15" t="s">
        <v>2263</v>
      </c>
      <c r="BX134" s="15" t="s">
        <v>429</v>
      </c>
      <c r="BY134" s="6" t="s">
        <v>430</v>
      </c>
      <c r="BZ134" s="6" t="s">
        <v>430</v>
      </c>
      <c r="CA134" s="6" t="s">
        <v>430</v>
      </c>
      <c r="CB134" s="6" t="s">
        <v>430</v>
      </c>
      <c r="CC134" s="6" t="s">
        <v>430</v>
      </c>
      <c r="CD134" s="6" t="s">
        <v>430</v>
      </c>
      <c r="CE134" s="6" t="s">
        <v>430</v>
      </c>
      <c r="CF134" s="6" t="s">
        <v>430</v>
      </c>
      <c r="CG134" s="6" t="s">
        <v>430</v>
      </c>
      <c r="CH134" s="6" t="s">
        <v>430</v>
      </c>
      <c r="CI134" s="6" t="s">
        <v>430</v>
      </c>
      <c r="CJ134" s="6" t="s">
        <v>430</v>
      </c>
      <c r="CK134" s="6" t="s">
        <v>430</v>
      </c>
      <c r="CL134" s="6" t="s">
        <v>430</v>
      </c>
      <c r="CM134" s="6" t="s">
        <v>430</v>
      </c>
      <c r="CN134" s="6" t="s">
        <v>430</v>
      </c>
      <c r="CO134" s="15" t="s">
        <v>430</v>
      </c>
      <c r="CP134" s="15" t="s">
        <v>432</v>
      </c>
      <c r="CQ134" s="6" t="s">
        <v>433</v>
      </c>
      <c r="CR134" s="15"/>
      <c r="CS134" s="6" t="s">
        <v>426</v>
      </c>
      <c r="CT134" s="6" t="s">
        <v>2484</v>
      </c>
      <c r="CU134" s="6" t="s">
        <v>2485</v>
      </c>
      <c r="CV134" s="6" t="s">
        <v>660</v>
      </c>
      <c r="CW134" s="6" t="s">
        <v>2486</v>
      </c>
      <c r="CX134" s="15" t="s">
        <v>426</v>
      </c>
      <c r="CY134" s="6" t="s">
        <v>426</v>
      </c>
      <c r="CZ134" s="6" t="s">
        <v>2264</v>
      </c>
      <c r="DA134" s="6" t="s">
        <v>1367</v>
      </c>
      <c r="DB134" s="6" t="s">
        <v>2487</v>
      </c>
      <c r="DC134" s="6" t="s">
        <v>1091</v>
      </c>
      <c r="DD134" s="15" t="s">
        <v>2488</v>
      </c>
      <c r="DE134" s="15" t="s">
        <v>436</v>
      </c>
      <c r="DF134" s="6" t="s">
        <v>489</v>
      </c>
      <c r="DG134" s="6">
        <v>1</v>
      </c>
      <c r="DH134" s="6">
        <v>1</v>
      </c>
      <c r="DI134" s="6">
        <v>1</v>
      </c>
      <c r="DJ134" s="6">
        <v>0</v>
      </c>
      <c r="DK134" s="6">
        <v>0</v>
      </c>
      <c r="DL134" s="6">
        <v>0</v>
      </c>
      <c r="DM134" s="6"/>
      <c r="DN134" s="6"/>
      <c r="DO134" s="6"/>
      <c r="DP134" s="6"/>
      <c r="DQ134" s="6"/>
      <c r="DR134" s="6"/>
      <c r="DS134" s="6"/>
      <c r="DT134" s="66"/>
      <c r="DU134" s="6" t="s">
        <v>438</v>
      </c>
      <c r="DV134" s="6" t="s">
        <v>426</v>
      </c>
      <c r="DW134" s="6" t="s">
        <v>439</v>
      </c>
      <c r="DX134" s="6" t="s">
        <v>440</v>
      </c>
      <c r="DY134" s="6"/>
      <c r="DZ134" s="6" t="s">
        <v>768</v>
      </c>
      <c r="EA134" s="6">
        <v>1</v>
      </c>
      <c r="EB134" s="6">
        <v>1</v>
      </c>
      <c r="EC134" s="6">
        <v>1</v>
      </c>
      <c r="ED134" s="6">
        <v>1</v>
      </c>
      <c r="EE134" s="6">
        <v>1</v>
      </c>
      <c r="EF134" s="6">
        <v>0</v>
      </c>
      <c r="EG134" s="6">
        <v>0</v>
      </c>
      <c r="EH134" s="6">
        <v>0</v>
      </c>
      <c r="EI134" s="6"/>
      <c r="EJ134" s="6" t="s">
        <v>697</v>
      </c>
      <c r="EK134" s="6">
        <v>1</v>
      </c>
      <c r="EL134" s="6">
        <v>1</v>
      </c>
      <c r="EM134" s="6">
        <v>1</v>
      </c>
      <c r="EN134" s="6">
        <v>1</v>
      </c>
      <c r="EO134" s="6">
        <v>1</v>
      </c>
      <c r="EP134" s="6">
        <v>1</v>
      </c>
      <c r="EQ134" s="6">
        <v>0</v>
      </c>
      <c r="ER134" s="6">
        <v>0</v>
      </c>
      <c r="ES134" s="6">
        <v>0</v>
      </c>
      <c r="ET134" s="6"/>
      <c r="EU134" s="6" t="s">
        <v>443</v>
      </c>
      <c r="EV134" s="6" t="s">
        <v>554</v>
      </c>
      <c r="EW134" s="6"/>
      <c r="EX134" s="6" t="s">
        <v>589</v>
      </c>
      <c r="EY134" s="6">
        <v>1</v>
      </c>
      <c r="EZ134" s="6">
        <v>1</v>
      </c>
      <c r="FA134" s="6">
        <v>1</v>
      </c>
      <c r="FB134" s="6">
        <v>1</v>
      </c>
      <c r="FC134" s="6">
        <v>1</v>
      </c>
      <c r="FD134" s="6">
        <v>1</v>
      </c>
      <c r="FE134" s="6">
        <v>0</v>
      </c>
      <c r="FF134" s="6">
        <v>0</v>
      </c>
      <c r="FG134" s="6"/>
      <c r="FH134" s="6" t="s">
        <v>2489</v>
      </c>
      <c r="FI134" s="6">
        <v>1</v>
      </c>
      <c r="FJ134" s="6">
        <v>0</v>
      </c>
      <c r="FK134" s="6">
        <v>0</v>
      </c>
      <c r="FL134" s="6">
        <v>1</v>
      </c>
      <c r="FM134" s="6">
        <v>1</v>
      </c>
      <c r="FN134" s="6">
        <v>1</v>
      </c>
      <c r="FO134" s="6">
        <v>0</v>
      </c>
      <c r="FP134" s="6">
        <v>0</v>
      </c>
      <c r="FQ134" s="6">
        <v>0</v>
      </c>
      <c r="FR134" s="6">
        <v>0</v>
      </c>
      <c r="FS134" s="6"/>
      <c r="FT134" s="6" t="s">
        <v>447</v>
      </c>
      <c r="FU134" s="6" t="s">
        <v>499</v>
      </c>
      <c r="FV134" s="6"/>
      <c r="FW134" s="6" t="s">
        <v>449</v>
      </c>
      <c r="FX134" s="15" t="s">
        <v>450</v>
      </c>
      <c r="FY134" s="6" t="s">
        <v>500</v>
      </c>
      <c r="FZ134" s="6"/>
      <c r="GA134" s="6" t="s">
        <v>450</v>
      </c>
      <c r="GB134" s="6" t="s">
        <v>501</v>
      </c>
      <c r="GC134" s="6" t="s">
        <v>453</v>
      </c>
      <c r="GD134" s="6"/>
      <c r="GE134" s="6" t="s">
        <v>454</v>
      </c>
      <c r="GF134" s="6" t="s">
        <v>2490</v>
      </c>
      <c r="GG134" s="6" t="s">
        <v>456</v>
      </c>
      <c r="GH134" s="15" t="s">
        <v>2491</v>
      </c>
      <c r="GI134" s="6" t="s">
        <v>458</v>
      </c>
      <c r="GJ134" s="6" t="s">
        <v>2492</v>
      </c>
      <c r="GK134" s="6" t="s">
        <v>460</v>
      </c>
      <c r="GL134" s="6" t="s">
        <v>461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1</v>
      </c>
      <c r="GS134" s="6">
        <v>0</v>
      </c>
      <c r="GT134" s="6"/>
      <c r="GU134" s="6" t="s">
        <v>534</v>
      </c>
      <c r="GV134" s="6" t="s">
        <v>595</v>
      </c>
      <c r="GW134" s="6" t="s">
        <v>721</v>
      </c>
      <c r="GX134" s="6">
        <v>1</v>
      </c>
      <c r="GY134" s="6">
        <v>0</v>
      </c>
      <c r="GZ134" s="6">
        <v>0</v>
      </c>
      <c r="HA134" s="6">
        <v>1</v>
      </c>
      <c r="HB134" s="6">
        <v>0</v>
      </c>
      <c r="HC134" s="6">
        <v>0</v>
      </c>
      <c r="HD134" s="6"/>
      <c r="HE134" s="6" t="s">
        <v>2493</v>
      </c>
      <c r="HF134" s="6">
        <v>1</v>
      </c>
      <c r="HG134" s="6">
        <v>1</v>
      </c>
      <c r="HH134" s="6">
        <v>1</v>
      </c>
      <c r="HI134" s="6">
        <v>1</v>
      </c>
      <c r="HJ134" s="6">
        <v>1</v>
      </c>
      <c r="HK134" s="6">
        <v>0</v>
      </c>
      <c r="HL134" s="15"/>
      <c r="HM134" s="6" t="s">
        <v>1016</v>
      </c>
      <c r="HN134" s="6"/>
      <c r="HO134" s="6" t="s">
        <v>2494</v>
      </c>
      <c r="HP134" s="6" t="s">
        <v>537</v>
      </c>
      <c r="HQ134" s="6" t="s">
        <v>2495</v>
      </c>
      <c r="HR134" s="6" t="s">
        <v>2496</v>
      </c>
      <c r="HS134" s="6" t="s">
        <v>778</v>
      </c>
      <c r="HT134" s="6">
        <v>0</v>
      </c>
      <c r="HU134" s="6">
        <v>0</v>
      </c>
      <c r="HV134" s="6">
        <v>1</v>
      </c>
      <c r="HW134" s="6">
        <v>0</v>
      </c>
      <c r="HX134" s="6">
        <v>1</v>
      </c>
      <c r="HY134" s="6">
        <v>0</v>
      </c>
      <c r="HZ134" s="6"/>
      <c r="IA134" s="6" t="s">
        <v>2497</v>
      </c>
      <c r="IB134" s="6">
        <v>1</v>
      </c>
      <c r="IC134" s="6">
        <v>1</v>
      </c>
      <c r="ID134" s="6">
        <v>0</v>
      </c>
      <c r="IE134" s="6">
        <v>0</v>
      </c>
      <c r="IF134" s="6">
        <v>1</v>
      </c>
      <c r="IG134" s="6">
        <v>0</v>
      </c>
      <c r="IH134" s="15" t="s">
        <v>2498</v>
      </c>
      <c r="II134" s="6" t="s">
        <v>426</v>
      </c>
      <c r="IJ134" s="6" t="s">
        <v>602</v>
      </c>
      <c r="IK134" s="6">
        <v>1</v>
      </c>
      <c r="IL134" s="6">
        <v>1</v>
      </c>
      <c r="IM134" s="6">
        <v>0</v>
      </c>
      <c r="IN134" s="6"/>
      <c r="IO134" s="6" t="s">
        <v>473</v>
      </c>
      <c r="IP134" s="6">
        <v>1</v>
      </c>
      <c r="IQ134" s="6">
        <v>0</v>
      </c>
      <c r="IR134" s="6">
        <v>0</v>
      </c>
      <c r="IS134" s="6">
        <v>0</v>
      </c>
      <c r="IT134" s="6">
        <v>0</v>
      </c>
      <c r="IU134" s="6">
        <v>0</v>
      </c>
      <c r="IV134" s="6"/>
      <c r="IW134" s="6" t="s">
        <v>426</v>
      </c>
      <c r="IX134" s="6">
        <v>1</v>
      </c>
      <c r="IY134" s="6" t="s">
        <v>474</v>
      </c>
      <c r="IZ134" s="6" t="s">
        <v>604</v>
      </c>
      <c r="JA134" s="6" t="s">
        <v>426</v>
      </c>
      <c r="JB134" s="6" t="s">
        <v>2499</v>
      </c>
      <c r="JC134" s="6" t="s">
        <v>2500</v>
      </c>
      <c r="JD134" s="6">
        <v>1</v>
      </c>
      <c r="JE134" s="6">
        <v>0</v>
      </c>
      <c r="JF134" s="6">
        <v>0</v>
      </c>
      <c r="JG134" s="6">
        <v>0</v>
      </c>
      <c r="JH134" s="6">
        <v>0</v>
      </c>
      <c r="JI134" s="6"/>
      <c r="JJ134" s="6"/>
      <c r="JK134" s="6" t="s">
        <v>453</v>
      </c>
      <c r="JL134" s="6"/>
      <c r="JM134" s="6"/>
      <c r="JN134" s="6"/>
      <c r="JO134" s="6"/>
      <c r="JP134" s="6"/>
      <c r="JQ134" s="6"/>
      <c r="JR134" s="6"/>
      <c r="JS134" s="6"/>
      <c r="JT134" s="6"/>
      <c r="JU134" s="6" t="s">
        <v>511</v>
      </c>
      <c r="JV134" s="15"/>
      <c r="JW134" s="94" t="s">
        <v>2501</v>
      </c>
      <c r="JX134" s="6" t="s">
        <v>2502</v>
      </c>
      <c r="JY134" s="6">
        <v>0.5892533</v>
      </c>
      <c r="JZ134" s="6">
        <v>34.4693017</v>
      </c>
      <c r="KA134" s="6">
        <v>1309.5</v>
      </c>
      <c r="KB134" s="15">
        <v>4.637</v>
      </c>
      <c r="KC134" s="15"/>
    </row>
    <row r="135" spans="1:289">
      <c r="A135" s="6" t="s">
        <v>2115</v>
      </c>
      <c r="B135" s="6" t="s">
        <v>2503</v>
      </c>
      <c r="C135" s="7" t="s">
        <v>2504</v>
      </c>
      <c r="D135" s="6" t="s">
        <v>2505</v>
      </c>
      <c r="E135" s="6" t="s">
        <v>2506</v>
      </c>
      <c r="F135" s="8" t="s">
        <v>483</v>
      </c>
      <c r="G135" s="6" t="s">
        <v>731</v>
      </c>
      <c r="H135" s="6" t="s">
        <v>425</v>
      </c>
      <c r="I135" s="15"/>
      <c r="J135" s="6" t="s">
        <v>426</v>
      </c>
      <c r="K135" s="6" t="s">
        <v>426</v>
      </c>
      <c r="L135" s="6" t="s">
        <v>426</v>
      </c>
      <c r="M135" s="6" t="s">
        <v>453</v>
      </c>
      <c r="N135" s="6" t="s">
        <v>426</v>
      </c>
      <c r="O135" s="6" t="s">
        <v>426</v>
      </c>
      <c r="P135" s="6" t="s">
        <v>426</v>
      </c>
      <c r="Q135" s="6" t="s">
        <v>426</v>
      </c>
      <c r="R135" s="6" t="s">
        <v>426</v>
      </c>
      <c r="S135" s="6" t="s">
        <v>426</v>
      </c>
      <c r="T135" s="6" t="s">
        <v>426</v>
      </c>
      <c r="U135" s="6" t="s">
        <v>426</v>
      </c>
      <c r="V135" s="6" t="s">
        <v>426</v>
      </c>
      <c r="W135" s="6" t="s">
        <v>426</v>
      </c>
      <c r="X135" s="6" t="s">
        <v>426</v>
      </c>
      <c r="Y135" s="6" t="s">
        <v>426</v>
      </c>
      <c r="Z135" s="6" t="s">
        <v>426</v>
      </c>
      <c r="AA135" s="6" t="s">
        <v>426</v>
      </c>
      <c r="AB135" s="6" t="s">
        <v>426</v>
      </c>
      <c r="AC135" s="15" t="s">
        <v>426</v>
      </c>
      <c r="AD135" s="6" t="s">
        <v>427</v>
      </c>
      <c r="AE135" s="6">
        <v>0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0</v>
      </c>
      <c r="AL135" s="6">
        <v>0</v>
      </c>
      <c r="AM135" s="6"/>
      <c r="AN135" s="15"/>
      <c r="AO135" s="6" t="s">
        <v>426</v>
      </c>
      <c r="AP135" s="6" t="s">
        <v>1367</v>
      </c>
      <c r="AQ135" s="6" t="s">
        <v>426</v>
      </c>
      <c r="AR135" s="6" t="s">
        <v>758</v>
      </c>
      <c r="AS135" s="6" t="s">
        <v>426</v>
      </c>
      <c r="AT135" s="6">
        <v>3</v>
      </c>
      <c r="AU135" s="6" t="s">
        <v>426</v>
      </c>
      <c r="AV135" s="6">
        <v>3</v>
      </c>
      <c r="AW135" s="6" t="s">
        <v>426</v>
      </c>
      <c r="AX135" s="6">
        <v>3</v>
      </c>
      <c r="AY135" s="6" t="s">
        <v>426</v>
      </c>
      <c r="AZ135" s="6">
        <v>3</v>
      </c>
      <c r="BA135" s="6" t="s">
        <v>426</v>
      </c>
      <c r="BB135" s="6">
        <v>2</v>
      </c>
      <c r="BC135" s="6" t="s">
        <v>426</v>
      </c>
      <c r="BD135" s="6">
        <v>3</v>
      </c>
      <c r="BE135" s="6" t="s">
        <v>426</v>
      </c>
      <c r="BF135" s="6">
        <v>6</v>
      </c>
      <c r="BG135" s="6" t="s">
        <v>453</v>
      </c>
      <c r="BH135" s="6"/>
      <c r="BI135" s="6" t="s">
        <v>426</v>
      </c>
      <c r="BJ135" s="6">
        <v>5</v>
      </c>
      <c r="BK135" s="6" t="s">
        <v>426</v>
      </c>
      <c r="BL135" s="6">
        <v>8</v>
      </c>
      <c r="BM135" s="6" t="s">
        <v>426</v>
      </c>
      <c r="BN135" s="6">
        <v>500</v>
      </c>
      <c r="BO135" s="6" t="s">
        <v>426</v>
      </c>
      <c r="BP135" s="6">
        <v>0.3</v>
      </c>
      <c r="BQ135" s="6" t="s">
        <v>426</v>
      </c>
      <c r="BR135" s="6">
        <v>50</v>
      </c>
      <c r="BS135" s="6" t="s">
        <v>426</v>
      </c>
      <c r="BT135" s="6">
        <v>1</v>
      </c>
      <c r="BU135" s="6" t="s">
        <v>426</v>
      </c>
      <c r="BV135" s="15">
        <v>0.3</v>
      </c>
      <c r="BW135" s="15" t="s">
        <v>1689</v>
      </c>
      <c r="BX135" s="15" t="s">
        <v>786</v>
      </c>
      <c r="BY135" s="6" t="s">
        <v>430</v>
      </c>
      <c r="BZ135" s="6" t="s">
        <v>430</v>
      </c>
      <c r="CA135" s="6" t="s">
        <v>430</v>
      </c>
      <c r="CB135" s="6" t="s">
        <v>430</v>
      </c>
      <c r="CC135" s="6" t="s">
        <v>430</v>
      </c>
      <c r="CD135" s="6" t="s">
        <v>430</v>
      </c>
      <c r="CE135" s="6" t="s">
        <v>430</v>
      </c>
      <c r="CF135" s="6" t="s">
        <v>430</v>
      </c>
      <c r="CG135" s="6" t="s">
        <v>430</v>
      </c>
      <c r="CH135" s="6" t="s">
        <v>430</v>
      </c>
      <c r="CI135" s="6" t="s">
        <v>430</v>
      </c>
      <c r="CJ135" s="6" t="s">
        <v>430</v>
      </c>
      <c r="CK135" s="6" t="s">
        <v>430</v>
      </c>
      <c r="CL135" s="6" t="s">
        <v>430</v>
      </c>
      <c r="CM135" s="6" t="s">
        <v>430</v>
      </c>
      <c r="CN135" s="6" t="s">
        <v>430</v>
      </c>
      <c r="CO135" s="15" t="s">
        <v>430</v>
      </c>
      <c r="CP135" s="15" t="s">
        <v>432</v>
      </c>
      <c r="CQ135" s="6" t="s">
        <v>433</v>
      </c>
      <c r="CR135" s="15"/>
      <c r="CS135" s="6" t="s">
        <v>426</v>
      </c>
      <c r="CT135" s="6" t="s">
        <v>2507</v>
      </c>
      <c r="CU135" s="6" t="s">
        <v>733</v>
      </c>
      <c r="CV135" s="6" t="s">
        <v>1367</v>
      </c>
      <c r="CW135" s="6" t="s">
        <v>1088</v>
      </c>
      <c r="CX135" s="15" t="s">
        <v>426</v>
      </c>
      <c r="CY135" s="6" t="s">
        <v>426</v>
      </c>
      <c r="CZ135" s="6" t="s">
        <v>2419</v>
      </c>
      <c r="DA135" s="6" t="s">
        <v>809</v>
      </c>
      <c r="DB135" s="6" t="s">
        <v>1367</v>
      </c>
      <c r="DC135" s="6" t="s">
        <v>1367</v>
      </c>
      <c r="DD135" s="15" t="s">
        <v>1866</v>
      </c>
      <c r="DE135" s="15" t="s">
        <v>436</v>
      </c>
      <c r="DF135" s="6" t="s">
        <v>437</v>
      </c>
      <c r="DG135" s="6">
        <v>1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/>
      <c r="DN135" s="6"/>
      <c r="DO135" s="6"/>
      <c r="DP135" s="6"/>
      <c r="DQ135" s="6"/>
      <c r="DR135" s="6"/>
      <c r="DS135" s="6"/>
      <c r="DT135" s="66"/>
      <c r="DU135" s="6" t="s">
        <v>438</v>
      </c>
      <c r="DV135" s="6" t="s">
        <v>426</v>
      </c>
      <c r="DW135" s="6" t="s">
        <v>439</v>
      </c>
      <c r="DX135" s="6" t="s">
        <v>440</v>
      </c>
      <c r="DY135" s="6"/>
      <c r="DZ135" s="6" t="s">
        <v>441</v>
      </c>
      <c r="EA135" s="6">
        <v>1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/>
      <c r="EJ135" s="6" t="s">
        <v>811</v>
      </c>
      <c r="EK135" s="6">
        <v>1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/>
      <c r="EU135" s="6" t="s">
        <v>443</v>
      </c>
      <c r="EV135" s="6" t="s">
        <v>444</v>
      </c>
      <c r="EW135" s="6"/>
      <c r="EX135" s="6" t="s">
        <v>1123</v>
      </c>
      <c r="EY135" s="6">
        <v>1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/>
      <c r="FH135" s="6" t="s">
        <v>670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1</v>
      </c>
      <c r="FO135" s="6">
        <v>0</v>
      </c>
      <c r="FP135" s="6">
        <v>0</v>
      </c>
      <c r="FQ135" s="6">
        <v>0</v>
      </c>
      <c r="FR135" s="6">
        <v>0</v>
      </c>
      <c r="FS135" s="6"/>
      <c r="FT135" s="6" t="s">
        <v>447</v>
      </c>
      <c r="FU135" s="6" t="s">
        <v>499</v>
      </c>
      <c r="FV135" s="6"/>
      <c r="FW135" s="6" t="s">
        <v>449</v>
      </c>
      <c r="FX135" s="15" t="s">
        <v>450</v>
      </c>
      <c r="FY135" s="6" t="s">
        <v>529</v>
      </c>
      <c r="FZ135" s="6"/>
      <c r="GA135" s="6" t="s">
        <v>450</v>
      </c>
      <c r="GB135" s="6" t="s">
        <v>501</v>
      </c>
      <c r="GC135" s="6" t="s">
        <v>453</v>
      </c>
      <c r="GD135" s="6"/>
      <c r="GE135" s="6" t="s">
        <v>454</v>
      </c>
      <c r="GF135" s="6" t="s">
        <v>2508</v>
      </c>
      <c r="GG135" s="6" t="s">
        <v>456</v>
      </c>
      <c r="GH135" s="15" t="s">
        <v>2508</v>
      </c>
      <c r="GI135" s="6" t="s">
        <v>458</v>
      </c>
      <c r="GJ135" s="6" t="s">
        <v>2225</v>
      </c>
      <c r="GK135" s="6" t="s">
        <v>460</v>
      </c>
      <c r="GL135" s="6" t="s">
        <v>461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1</v>
      </c>
      <c r="GS135" s="6">
        <v>0</v>
      </c>
      <c r="GT135" s="6"/>
      <c r="GU135" s="6" t="s">
        <v>534</v>
      </c>
      <c r="GV135" s="6" t="s">
        <v>595</v>
      </c>
      <c r="GW135" s="6" t="s">
        <v>464</v>
      </c>
      <c r="GX135" s="6">
        <v>1</v>
      </c>
      <c r="GY135" s="6">
        <v>0</v>
      </c>
      <c r="GZ135" s="6">
        <v>0</v>
      </c>
      <c r="HA135" s="6">
        <v>0</v>
      </c>
      <c r="HB135" s="6">
        <v>0</v>
      </c>
      <c r="HC135" s="6">
        <v>0</v>
      </c>
      <c r="HD135" s="6"/>
      <c r="HE135" s="6" t="s">
        <v>111</v>
      </c>
      <c r="HF135" s="6">
        <v>0</v>
      </c>
      <c r="HG135" s="6">
        <v>0</v>
      </c>
      <c r="HH135" s="6">
        <v>0</v>
      </c>
      <c r="HI135" s="6">
        <v>1</v>
      </c>
      <c r="HJ135" s="6">
        <v>0</v>
      </c>
      <c r="HK135" s="6">
        <v>0</v>
      </c>
      <c r="HL135" s="15"/>
      <c r="HM135" s="6" t="s">
        <v>505</v>
      </c>
      <c r="HN135" s="6"/>
      <c r="HO135" s="6" t="s">
        <v>2509</v>
      </c>
      <c r="HP135" s="6" t="s">
        <v>561</v>
      </c>
      <c r="HQ135" s="6"/>
      <c r="HR135" s="6" t="s">
        <v>2510</v>
      </c>
      <c r="HS135" s="6" t="s">
        <v>540</v>
      </c>
      <c r="HT135" s="6">
        <v>1</v>
      </c>
      <c r="HU135" s="6">
        <v>0</v>
      </c>
      <c r="HV135" s="6">
        <v>0</v>
      </c>
      <c r="HW135" s="6">
        <v>0</v>
      </c>
      <c r="HX135" s="6">
        <v>0</v>
      </c>
      <c r="HY135" s="6">
        <v>0</v>
      </c>
      <c r="HZ135" s="6"/>
      <c r="IA135" s="6" t="s">
        <v>541</v>
      </c>
      <c r="IB135" s="6">
        <v>0</v>
      </c>
      <c r="IC135" s="6">
        <v>0</v>
      </c>
      <c r="ID135" s="6">
        <v>1</v>
      </c>
      <c r="IE135" s="6">
        <v>0</v>
      </c>
      <c r="IF135" s="6">
        <v>0</v>
      </c>
      <c r="IG135" s="6">
        <v>0</v>
      </c>
      <c r="IH135" s="15" t="s">
        <v>2511</v>
      </c>
      <c r="II135" s="6" t="s">
        <v>426</v>
      </c>
      <c r="IJ135" s="6" t="s">
        <v>543</v>
      </c>
      <c r="IK135" s="6">
        <v>0</v>
      </c>
      <c r="IL135" s="6">
        <v>1</v>
      </c>
      <c r="IM135" s="6">
        <v>0</v>
      </c>
      <c r="IN135" s="6"/>
      <c r="IO135" s="6" t="s">
        <v>473</v>
      </c>
      <c r="IP135" s="6">
        <v>1</v>
      </c>
      <c r="IQ135" s="6">
        <v>0</v>
      </c>
      <c r="IR135" s="6">
        <v>0</v>
      </c>
      <c r="IS135" s="6">
        <v>0</v>
      </c>
      <c r="IT135" s="6">
        <v>0</v>
      </c>
      <c r="IU135" s="6">
        <v>0</v>
      </c>
      <c r="IV135" s="6"/>
      <c r="IW135" s="6" t="s">
        <v>453</v>
      </c>
      <c r="IX135" s="6"/>
      <c r="IY135" s="6" t="s">
        <v>510</v>
      </c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 t="s">
        <v>453</v>
      </c>
      <c r="JK135" s="6" t="s">
        <v>426</v>
      </c>
      <c r="JL135" s="6" t="s">
        <v>426</v>
      </c>
      <c r="JM135" s="6"/>
      <c r="JN135" s="6"/>
      <c r="JO135" s="6"/>
      <c r="JP135" s="6"/>
      <c r="JQ135" s="6"/>
      <c r="JR135" s="6"/>
      <c r="JS135" s="6"/>
      <c r="JT135" s="6"/>
      <c r="JU135" s="6" t="s">
        <v>544</v>
      </c>
      <c r="JV135" s="15"/>
      <c r="JW135" s="94" t="s">
        <v>2512</v>
      </c>
      <c r="JX135" s="6" t="s">
        <v>2513</v>
      </c>
      <c r="JY135" s="6">
        <v>0.8316995</v>
      </c>
      <c r="JZ135" s="6">
        <v>34.8652758</v>
      </c>
      <c r="KA135" s="6">
        <v>1730.953</v>
      </c>
      <c r="KB135" s="15">
        <v>1.503</v>
      </c>
      <c r="KC135" s="15"/>
    </row>
    <row r="136" spans="1:289">
      <c r="A136" s="6" t="s">
        <v>581</v>
      </c>
      <c r="B136" s="6" t="s">
        <v>2503</v>
      </c>
      <c r="C136" s="7" t="s">
        <v>2504</v>
      </c>
      <c r="D136" s="6" t="s">
        <v>2514</v>
      </c>
      <c r="E136" s="6" t="s">
        <v>2515</v>
      </c>
      <c r="F136" s="8" t="s">
        <v>483</v>
      </c>
      <c r="G136" s="6" t="s">
        <v>567</v>
      </c>
      <c r="H136" s="6" t="s">
        <v>425</v>
      </c>
      <c r="I136" s="15"/>
      <c r="J136" s="6" t="s">
        <v>426</v>
      </c>
      <c r="K136" s="6" t="s">
        <v>426</v>
      </c>
      <c r="L136" s="6" t="s">
        <v>426</v>
      </c>
      <c r="M136" s="6" t="s">
        <v>426</v>
      </c>
      <c r="N136" s="6" t="s">
        <v>426</v>
      </c>
      <c r="O136" s="6" t="s">
        <v>426</v>
      </c>
      <c r="P136" s="6" t="s">
        <v>426</v>
      </c>
      <c r="Q136" s="6" t="s">
        <v>426</v>
      </c>
      <c r="R136" s="6" t="s">
        <v>426</v>
      </c>
      <c r="S136" s="6" t="s">
        <v>426</v>
      </c>
      <c r="T136" s="6" t="s">
        <v>426</v>
      </c>
      <c r="U136" s="6" t="s">
        <v>426</v>
      </c>
      <c r="V136" s="6" t="s">
        <v>426</v>
      </c>
      <c r="W136" s="6" t="s">
        <v>426</v>
      </c>
      <c r="X136" s="6" t="s">
        <v>426</v>
      </c>
      <c r="Y136" s="6" t="s">
        <v>426</v>
      </c>
      <c r="Z136" s="6" t="s">
        <v>426</v>
      </c>
      <c r="AA136" s="6" t="s">
        <v>426</v>
      </c>
      <c r="AB136" s="6" t="s">
        <v>426</v>
      </c>
      <c r="AC136" s="15" t="s">
        <v>426</v>
      </c>
      <c r="AD136" s="6" t="s">
        <v>427</v>
      </c>
      <c r="AE136" s="6">
        <v>0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0</v>
      </c>
      <c r="AL136" s="6">
        <v>0</v>
      </c>
      <c r="AM136" s="6"/>
      <c r="AN136" s="15"/>
      <c r="AO136" s="6" t="s">
        <v>426</v>
      </c>
      <c r="AP136" s="6" t="s">
        <v>683</v>
      </c>
      <c r="AQ136" s="6" t="s">
        <v>426</v>
      </c>
      <c r="AR136" s="6" t="s">
        <v>758</v>
      </c>
      <c r="AS136" s="6" t="s">
        <v>426</v>
      </c>
      <c r="AT136" s="6">
        <v>1</v>
      </c>
      <c r="AU136" s="6" t="s">
        <v>426</v>
      </c>
      <c r="AV136" s="6">
        <v>1</v>
      </c>
      <c r="AW136" s="6" t="s">
        <v>426</v>
      </c>
      <c r="AX136" s="6">
        <v>1</v>
      </c>
      <c r="AY136" s="6" t="s">
        <v>426</v>
      </c>
      <c r="AZ136" s="6">
        <v>1</v>
      </c>
      <c r="BA136" s="6" t="s">
        <v>426</v>
      </c>
      <c r="BB136" s="6">
        <v>1</v>
      </c>
      <c r="BC136" s="6" t="s">
        <v>426</v>
      </c>
      <c r="BD136" s="6">
        <v>1</v>
      </c>
      <c r="BE136" s="6" t="s">
        <v>426</v>
      </c>
      <c r="BF136" s="6">
        <v>4</v>
      </c>
      <c r="BG136" s="6" t="s">
        <v>426</v>
      </c>
      <c r="BH136" s="6">
        <v>1</v>
      </c>
      <c r="BI136" s="6" t="s">
        <v>426</v>
      </c>
      <c r="BJ136" s="6">
        <v>1</v>
      </c>
      <c r="BK136" s="6" t="s">
        <v>426</v>
      </c>
      <c r="BL136" s="6">
        <v>1</v>
      </c>
      <c r="BM136" s="6" t="s">
        <v>426</v>
      </c>
      <c r="BN136" s="6">
        <v>50</v>
      </c>
      <c r="BO136" s="6" t="s">
        <v>426</v>
      </c>
      <c r="BP136" s="6">
        <v>1</v>
      </c>
      <c r="BQ136" s="6" t="s">
        <v>426</v>
      </c>
      <c r="BR136" s="6">
        <v>150</v>
      </c>
      <c r="BS136" s="6" t="s">
        <v>426</v>
      </c>
      <c r="BT136" s="6">
        <v>25</v>
      </c>
      <c r="BU136" s="6" t="s">
        <v>426</v>
      </c>
      <c r="BV136" s="15">
        <v>1</v>
      </c>
      <c r="BW136" s="15" t="s">
        <v>518</v>
      </c>
      <c r="BX136" s="15" t="s">
        <v>429</v>
      </c>
      <c r="BY136" s="6" t="s">
        <v>430</v>
      </c>
      <c r="BZ136" s="6" t="s">
        <v>430</v>
      </c>
      <c r="CA136" s="6" t="s">
        <v>430</v>
      </c>
      <c r="CB136" s="6" t="s">
        <v>430</v>
      </c>
      <c r="CC136" s="6" t="s">
        <v>430</v>
      </c>
      <c r="CD136" s="6" t="s">
        <v>430</v>
      </c>
      <c r="CE136" s="6" t="s">
        <v>430</v>
      </c>
      <c r="CF136" s="6" t="s">
        <v>430</v>
      </c>
      <c r="CG136" s="6" t="s">
        <v>430</v>
      </c>
      <c r="CH136" s="6" t="s">
        <v>430</v>
      </c>
      <c r="CI136" s="6" t="s">
        <v>430</v>
      </c>
      <c r="CJ136" s="6" t="s">
        <v>430</v>
      </c>
      <c r="CK136" s="6" t="s">
        <v>430</v>
      </c>
      <c r="CL136" s="6" t="s">
        <v>430</v>
      </c>
      <c r="CM136" s="6" t="s">
        <v>430</v>
      </c>
      <c r="CN136" s="6" t="s">
        <v>430</v>
      </c>
      <c r="CO136" s="15" t="s">
        <v>430</v>
      </c>
      <c r="CP136" s="15" t="s">
        <v>432</v>
      </c>
      <c r="CQ136" s="6" t="s">
        <v>433</v>
      </c>
      <c r="CR136" s="15"/>
      <c r="CS136" s="6" t="s">
        <v>426</v>
      </c>
      <c r="CT136" s="6" t="s">
        <v>2516</v>
      </c>
      <c r="CU136" s="6" t="s">
        <v>660</v>
      </c>
      <c r="CV136" s="6" t="s">
        <v>733</v>
      </c>
      <c r="CW136" s="6" t="s">
        <v>2517</v>
      </c>
      <c r="CX136" s="15" t="s">
        <v>426</v>
      </c>
      <c r="CY136" s="6" t="s">
        <v>453</v>
      </c>
      <c r="CZ136" s="6"/>
      <c r="DA136" s="6"/>
      <c r="DB136" s="6"/>
      <c r="DC136" s="6"/>
      <c r="DD136" s="15"/>
      <c r="DE136" s="15" t="s">
        <v>521</v>
      </c>
      <c r="DF136" s="6" t="s">
        <v>1171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1</v>
      </c>
      <c r="DM136" s="6" t="s">
        <v>2518</v>
      </c>
      <c r="DN136" s="6"/>
      <c r="DO136" s="6"/>
      <c r="DP136" s="6"/>
      <c r="DQ136" s="6"/>
      <c r="DR136" s="6"/>
      <c r="DS136" s="6"/>
      <c r="DT136" s="66"/>
      <c r="DU136" s="6" t="s">
        <v>523</v>
      </c>
      <c r="DV136" s="6" t="s">
        <v>426</v>
      </c>
      <c r="DW136" s="6" t="s">
        <v>439</v>
      </c>
      <c r="DX136" s="6" t="s">
        <v>440</v>
      </c>
      <c r="DY136" s="6"/>
      <c r="DZ136" s="6" t="s">
        <v>586</v>
      </c>
      <c r="EA136" s="6">
        <v>1</v>
      </c>
      <c r="EB136" s="6">
        <v>1</v>
      </c>
      <c r="EC136" s="6">
        <v>1</v>
      </c>
      <c r="ED136" s="6">
        <v>1</v>
      </c>
      <c r="EE136" s="6">
        <v>1</v>
      </c>
      <c r="EF136" s="6">
        <v>1</v>
      </c>
      <c r="EG136" s="6">
        <v>0</v>
      </c>
      <c r="EH136" s="6">
        <v>0</v>
      </c>
      <c r="EI136" s="6"/>
      <c r="EJ136" s="6" t="s">
        <v>697</v>
      </c>
      <c r="EK136" s="6">
        <v>1</v>
      </c>
      <c r="EL136" s="6">
        <v>1</v>
      </c>
      <c r="EM136" s="6">
        <v>1</v>
      </c>
      <c r="EN136" s="6">
        <v>1</v>
      </c>
      <c r="EO136" s="6">
        <v>1</v>
      </c>
      <c r="EP136" s="6">
        <v>1</v>
      </c>
      <c r="EQ136" s="6">
        <v>0</v>
      </c>
      <c r="ER136" s="6">
        <v>0</v>
      </c>
      <c r="ES136" s="6">
        <v>0</v>
      </c>
      <c r="ET136" s="6"/>
      <c r="EU136" s="6" t="s">
        <v>443</v>
      </c>
      <c r="EV136" s="6" t="s">
        <v>588</v>
      </c>
      <c r="EW136" s="6"/>
      <c r="EX136" s="6" t="s">
        <v>589</v>
      </c>
      <c r="EY136" s="6">
        <v>1</v>
      </c>
      <c r="EZ136" s="6">
        <v>1</v>
      </c>
      <c r="FA136" s="6">
        <v>1</v>
      </c>
      <c r="FB136" s="6">
        <v>1</v>
      </c>
      <c r="FC136" s="6">
        <v>1</v>
      </c>
      <c r="FD136" s="6">
        <v>1</v>
      </c>
      <c r="FE136" s="6">
        <v>0</v>
      </c>
      <c r="FF136" s="6">
        <v>0</v>
      </c>
      <c r="FG136" s="6"/>
      <c r="FH136" s="6" t="s">
        <v>2519</v>
      </c>
      <c r="FI136" s="6">
        <v>1</v>
      </c>
      <c r="FJ136" s="6">
        <v>0</v>
      </c>
      <c r="FK136" s="6">
        <v>1</v>
      </c>
      <c r="FL136" s="6">
        <v>1</v>
      </c>
      <c r="FM136" s="6">
        <v>1</v>
      </c>
      <c r="FN136" s="6">
        <v>1</v>
      </c>
      <c r="FO136" s="6">
        <v>0</v>
      </c>
      <c r="FP136" s="6">
        <v>0</v>
      </c>
      <c r="FQ136" s="6">
        <v>1</v>
      </c>
      <c r="FR136" s="6">
        <v>0</v>
      </c>
      <c r="FS136" s="6"/>
      <c r="FT136" s="6" t="s">
        <v>556</v>
      </c>
      <c r="FU136" s="6" t="s">
        <v>448</v>
      </c>
      <c r="FV136" s="6"/>
      <c r="FW136" s="6" t="s">
        <v>449</v>
      </c>
      <c r="FX136" s="15" t="s">
        <v>450</v>
      </c>
      <c r="FY136" s="6" t="s">
        <v>451</v>
      </c>
      <c r="FZ136" s="6"/>
      <c r="GA136" s="6" t="s">
        <v>450</v>
      </c>
      <c r="GB136" s="6" t="s">
        <v>501</v>
      </c>
      <c r="GC136" s="6" t="s">
        <v>453</v>
      </c>
      <c r="GD136" s="6"/>
      <c r="GE136" s="6" t="s">
        <v>642</v>
      </c>
      <c r="GF136" s="6" t="s">
        <v>2520</v>
      </c>
      <c r="GG136" s="6" t="s">
        <v>456</v>
      </c>
      <c r="GH136" s="15" t="s">
        <v>1176</v>
      </c>
      <c r="GI136" s="6" t="s">
        <v>458</v>
      </c>
      <c r="GJ136" s="6" t="s">
        <v>2521</v>
      </c>
      <c r="GK136" s="6" t="s">
        <v>460</v>
      </c>
      <c r="GL136" s="6" t="s">
        <v>461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1</v>
      </c>
      <c r="GS136" s="6">
        <v>0</v>
      </c>
      <c r="GT136" s="6"/>
      <c r="GU136" s="6" t="s">
        <v>534</v>
      </c>
      <c r="GV136" s="6" t="s">
        <v>595</v>
      </c>
      <c r="GW136" s="6" t="s">
        <v>464</v>
      </c>
      <c r="GX136" s="6">
        <v>1</v>
      </c>
      <c r="GY136" s="6">
        <v>0</v>
      </c>
      <c r="GZ136" s="6">
        <v>0</v>
      </c>
      <c r="HA136" s="6">
        <v>0</v>
      </c>
      <c r="HB136" s="6">
        <v>0</v>
      </c>
      <c r="HC136" s="6">
        <v>0</v>
      </c>
      <c r="HD136" s="6"/>
      <c r="HE136" s="6" t="s">
        <v>1076</v>
      </c>
      <c r="HF136" s="6">
        <v>1</v>
      </c>
      <c r="HG136" s="6">
        <v>1</v>
      </c>
      <c r="HH136" s="6">
        <v>1</v>
      </c>
      <c r="HI136" s="6">
        <v>0</v>
      </c>
      <c r="HJ136" s="6">
        <v>0</v>
      </c>
      <c r="HK136" s="6">
        <v>0</v>
      </c>
      <c r="HL136" s="15"/>
      <c r="HM136" s="6" t="s">
        <v>505</v>
      </c>
      <c r="HN136" s="6"/>
      <c r="HO136" s="6" t="s">
        <v>1725</v>
      </c>
      <c r="HP136" s="6" t="s">
        <v>537</v>
      </c>
      <c r="HQ136" s="6" t="s">
        <v>1283</v>
      </c>
      <c r="HR136" s="6" t="s">
        <v>2522</v>
      </c>
      <c r="HS136" s="6" t="s">
        <v>540</v>
      </c>
      <c r="HT136" s="6">
        <v>1</v>
      </c>
      <c r="HU136" s="6">
        <v>0</v>
      </c>
      <c r="HV136" s="6">
        <v>0</v>
      </c>
      <c r="HW136" s="6">
        <v>0</v>
      </c>
      <c r="HX136" s="6">
        <v>0</v>
      </c>
      <c r="HY136" s="6">
        <v>0</v>
      </c>
      <c r="HZ136" s="6"/>
      <c r="IA136" s="6" t="s">
        <v>798</v>
      </c>
      <c r="IB136" s="6">
        <v>1</v>
      </c>
      <c r="IC136" s="6">
        <v>1</v>
      </c>
      <c r="ID136" s="6">
        <v>1</v>
      </c>
      <c r="IE136" s="6">
        <v>1</v>
      </c>
      <c r="IF136" s="6">
        <v>1</v>
      </c>
      <c r="IG136" s="6">
        <v>0</v>
      </c>
      <c r="IH136" s="15" t="s">
        <v>2523</v>
      </c>
      <c r="II136" s="6" t="s">
        <v>426</v>
      </c>
      <c r="IJ136" s="6" t="s">
        <v>602</v>
      </c>
      <c r="IK136" s="6">
        <v>1</v>
      </c>
      <c r="IL136" s="6">
        <v>1</v>
      </c>
      <c r="IM136" s="6">
        <v>0</v>
      </c>
      <c r="IN136" s="6"/>
      <c r="IO136" s="6" t="s">
        <v>893</v>
      </c>
      <c r="IP136" s="6">
        <v>1</v>
      </c>
      <c r="IQ136" s="6">
        <v>0</v>
      </c>
      <c r="IR136" s="6">
        <v>0</v>
      </c>
      <c r="IS136" s="6">
        <v>1</v>
      </c>
      <c r="IT136" s="6">
        <v>0</v>
      </c>
      <c r="IU136" s="6">
        <v>0</v>
      </c>
      <c r="IV136" s="6"/>
      <c r="IW136" s="6" t="s">
        <v>426</v>
      </c>
      <c r="IX136" s="6">
        <v>1</v>
      </c>
      <c r="IY136" s="6" t="s">
        <v>474</v>
      </c>
      <c r="IZ136" s="6" t="s">
        <v>475</v>
      </c>
      <c r="JA136" s="6" t="s">
        <v>426</v>
      </c>
      <c r="JB136" s="6" t="s">
        <v>476</v>
      </c>
      <c r="JC136" s="6"/>
      <c r="JD136" s="6"/>
      <c r="JE136" s="6"/>
      <c r="JF136" s="6"/>
      <c r="JG136" s="6"/>
      <c r="JH136" s="6"/>
      <c r="JI136" s="6"/>
      <c r="JJ136" s="6"/>
      <c r="JK136" s="6" t="s">
        <v>426</v>
      </c>
      <c r="JL136" s="6" t="s">
        <v>426</v>
      </c>
      <c r="JM136" s="6"/>
      <c r="JN136" s="6"/>
      <c r="JO136" s="6"/>
      <c r="JP136" s="6"/>
      <c r="JQ136" s="6"/>
      <c r="JR136" s="6"/>
      <c r="JS136" s="6"/>
      <c r="JT136" s="6"/>
      <c r="JU136" s="6" t="s">
        <v>895</v>
      </c>
      <c r="JV136" s="15" t="s">
        <v>2524</v>
      </c>
      <c r="JW136" s="94" t="s">
        <v>2525</v>
      </c>
      <c r="JX136" s="6" t="s">
        <v>2526</v>
      </c>
      <c r="JY136" s="6">
        <v>0.8317572</v>
      </c>
      <c r="JZ136" s="6">
        <v>34.865283</v>
      </c>
      <c r="KA136" s="6">
        <v>1758.40002441406</v>
      </c>
      <c r="KB136" s="15">
        <v>2.5</v>
      </c>
      <c r="KC136" s="15"/>
    </row>
    <row r="137" spans="1:289">
      <c r="A137" s="6" t="s">
        <v>480</v>
      </c>
      <c r="B137" s="6" t="s">
        <v>2503</v>
      </c>
      <c r="C137" s="7" t="s">
        <v>2504</v>
      </c>
      <c r="D137" s="6" t="s">
        <v>2527</v>
      </c>
      <c r="E137" s="6" t="s">
        <v>2528</v>
      </c>
      <c r="F137" s="8" t="s">
        <v>483</v>
      </c>
      <c r="G137" s="6" t="s">
        <v>567</v>
      </c>
      <c r="H137" s="6" t="s">
        <v>425</v>
      </c>
      <c r="I137" s="15"/>
      <c r="J137" s="6" t="s">
        <v>426</v>
      </c>
      <c r="K137" s="6" t="s">
        <v>426</v>
      </c>
      <c r="L137" s="6" t="s">
        <v>453</v>
      </c>
      <c r="M137" s="6" t="s">
        <v>453</v>
      </c>
      <c r="N137" s="6" t="s">
        <v>426</v>
      </c>
      <c r="O137" s="6" t="s">
        <v>426</v>
      </c>
      <c r="P137" s="6" t="s">
        <v>453</v>
      </c>
      <c r="Q137" s="6" t="s">
        <v>453</v>
      </c>
      <c r="R137" s="6" t="s">
        <v>426</v>
      </c>
      <c r="S137" s="6" t="s">
        <v>426</v>
      </c>
      <c r="T137" s="6" t="s">
        <v>426</v>
      </c>
      <c r="U137" s="6" t="s">
        <v>426</v>
      </c>
      <c r="V137" s="6" t="s">
        <v>426</v>
      </c>
      <c r="W137" s="6" t="s">
        <v>426</v>
      </c>
      <c r="X137" s="6" t="s">
        <v>426</v>
      </c>
      <c r="Y137" s="6" t="s">
        <v>426</v>
      </c>
      <c r="Z137" s="6" t="s">
        <v>426</v>
      </c>
      <c r="AA137" s="6" t="s">
        <v>426</v>
      </c>
      <c r="AB137" s="6" t="s">
        <v>426</v>
      </c>
      <c r="AC137" s="15" t="s">
        <v>426</v>
      </c>
      <c r="AD137" s="6" t="s">
        <v>427</v>
      </c>
      <c r="AE137" s="6">
        <v>0</v>
      </c>
      <c r="AF137" s="6">
        <v>0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/>
      <c r="AN137" s="15"/>
      <c r="AO137" s="6" t="s">
        <v>426</v>
      </c>
      <c r="AP137" s="6" t="s">
        <v>685</v>
      </c>
      <c r="AQ137" s="6" t="s">
        <v>426</v>
      </c>
      <c r="AR137" s="6" t="s">
        <v>657</v>
      </c>
      <c r="AS137" s="6" t="s">
        <v>426</v>
      </c>
      <c r="AT137" s="6">
        <v>0.2</v>
      </c>
      <c r="AU137" s="6" t="s">
        <v>453</v>
      </c>
      <c r="AV137" s="6"/>
      <c r="AW137" s="6" t="s">
        <v>426</v>
      </c>
      <c r="AX137" s="6">
        <v>0.8</v>
      </c>
      <c r="AY137" s="6" t="s">
        <v>426</v>
      </c>
      <c r="AZ137" s="6">
        <v>1</v>
      </c>
      <c r="BA137" s="6" t="s">
        <v>453</v>
      </c>
      <c r="BB137" s="6"/>
      <c r="BC137" s="6" t="s">
        <v>453</v>
      </c>
      <c r="BD137" s="6"/>
      <c r="BE137" s="6" t="s">
        <v>453</v>
      </c>
      <c r="BF137" s="6"/>
      <c r="BG137" s="6" t="s">
        <v>453</v>
      </c>
      <c r="BH137" s="6"/>
      <c r="BI137" s="6" t="s">
        <v>453</v>
      </c>
      <c r="BJ137" s="6"/>
      <c r="BK137" s="6" t="s">
        <v>426</v>
      </c>
      <c r="BL137" s="6">
        <v>0.2</v>
      </c>
      <c r="BM137" s="6" t="s">
        <v>426</v>
      </c>
      <c r="BN137" s="6">
        <v>5</v>
      </c>
      <c r="BO137" s="6" t="s">
        <v>426</v>
      </c>
      <c r="BP137" s="6">
        <v>0.4</v>
      </c>
      <c r="BQ137" s="6" t="s">
        <v>426</v>
      </c>
      <c r="BR137" s="6">
        <v>5</v>
      </c>
      <c r="BS137" s="6" t="s">
        <v>453</v>
      </c>
      <c r="BT137" s="6"/>
      <c r="BU137" s="6" t="s">
        <v>453</v>
      </c>
      <c r="BV137" s="15"/>
      <c r="BW137" s="15" t="s">
        <v>518</v>
      </c>
      <c r="BX137" s="15" t="s">
        <v>1064</v>
      </c>
      <c r="BY137" s="6" t="s">
        <v>430</v>
      </c>
      <c r="BZ137" s="6" t="s">
        <v>430</v>
      </c>
      <c r="CA137" s="6" t="s">
        <v>430</v>
      </c>
      <c r="CB137" s="6" t="s">
        <v>487</v>
      </c>
      <c r="CC137" s="6" t="s">
        <v>430</v>
      </c>
      <c r="CD137" s="6" t="s">
        <v>431</v>
      </c>
      <c r="CE137" s="6" t="s">
        <v>430</v>
      </c>
      <c r="CF137" s="6" t="s">
        <v>609</v>
      </c>
      <c r="CG137" s="6" t="s">
        <v>487</v>
      </c>
      <c r="CH137" s="6" t="s">
        <v>487</v>
      </c>
      <c r="CI137" s="6" t="s">
        <v>486</v>
      </c>
      <c r="CJ137" s="6" t="s">
        <v>430</v>
      </c>
      <c r="CK137" s="6" t="s">
        <v>430</v>
      </c>
      <c r="CL137" s="6" t="s">
        <v>430</v>
      </c>
      <c r="CM137" s="6" t="s">
        <v>431</v>
      </c>
      <c r="CN137" s="6" t="s">
        <v>487</v>
      </c>
      <c r="CO137" s="15" t="s">
        <v>487</v>
      </c>
      <c r="CP137" s="15" t="s">
        <v>432</v>
      </c>
      <c r="CQ137" s="6" t="s">
        <v>433</v>
      </c>
      <c r="CR137" s="15"/>
      <c r="CS137" s="6" t="s">
        <v>453</v>
      </c>
      <c r="CT137" s="6"/>
      <c r="CU137" s="6"/>
      <c r="CV137" s="6"/>
      <c r="CW137" s="6"/>
      <c r="CX137" s="15" t="s">
        <v>453</v>
      </c>
      <c r="CY137" s="6"/>
      <c r="CZ137" s="6"/>
      <c r="DA137" s="6"/>
      <c r="DB137" s="6"/>
      <c r="DC137" s="6"/>
      <c r="DD137" s="15"/>
      <c r="DE137" s="15" t="s">
        <v>436</v>
      </c>
      <c r="DF137" s="6" t="s">
        <v>1955</v>
      </c>
      <c r="DG137" s="6">
        <v>1</v>
      </c>
      <c r="DH137" s="6">
        <v>0</v>
      </c>
      <c r="DI137" s="6">
        <v>0</v>
      </c>
      <c r="DJ137" s="6">
        <v>0</v>
      </c>
      <c r="DK137" s="6">
        <v>1</v>
      </c>
      <c r="DL137" s="6">
        <v>0</v>
      </c>
      <c r="DM137" s="6"/>
      <c r="DN137" s="6"/>
      <c r="DO137" s="6"/>
      <c r="DP137" s="6"/>
      <c r="DQ137" s="6"/>
      <c r="DR137" s="6"/>
      <c r="DS137" s="6"/>
      <c r="DT137" s="66"/>
      <c r="DU137" s="6" t="s">
        <v>438</v>
      </c>
      <c r="DV137" s="6" t="s">
        <v>426</v>
      </c>
      <c r="DW137" s="6" t="s">
        <v>439</v>
      </c>
      <c r="DX137" s="6" t="s">
        <v>491</v>
      </c>
      <c r="DY137" s="6"/>
      <c r="DZ137" s="6" t="s">
        <v>954</v>
      </c>
      <c r="EA137" s="6">
        <v>1</v>
      </c>
      <c r="EB137" s="6">
        <v>0</v>
      </c>
      <c r="EC137" s="6">
        <v>0</v>
      </c>
      <c r="ED137" s="6">
        <v>0</v>
      </c>
      <c r="EE137" s="6">
        <v>1</v>
      </c>
      <c r="EF137" s="6">
        <v>0</v>
      </c>
      <c r="EG137" s="6">
        <v>0</v>
      </c>
      <c r="EH137" s="6">
        <v>0</v>
      </c>
      <c r="EI137" s="6"/>
      <c r="EJ137" s="6" t="s">
        <v>1660</v>
      </c>
      <c r="EK137" s="6">
        <v>1</v>
      </c>
      <c r="EL137" s="6">
        <v>1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/>
      <c r="EU137" s="6" t="s">
        <v>443</v>
      </c>
      <c r="EV137" s="6" t="s">
        <v>495</v>
      </c>
      <c r="EW137" s="6"/>
      <c r="EX137" s="6" t="s">
        <v>1095</v>
      </c>
      <c r="EY137" s="6">
        <v>1</v>
      </c>
      <c r="EZ137" s="6">
        <v>0</v>
      </c>
      <c r="FA137" s="6">
        <v>1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/>
      <c r="FH137" s="6" t="s">
        <v>1496</v>
      </c>
      <c r="FI137" s="6">
        <v>1</v>
      </c>
      <c r="FJ137" s="6">
        <v>0</v>
      </c>
      <c r="FK137" s="6">
        <v>1</v>
      </c>
      <c r="FL137" s="6">
        <v>1</v>
      </c>
      <c r="FM137" s="6">
        <v>0</v>
      </c>
      <c r="FN137" s="6">
        <v>0</v>
      </c>
      <c r="FO137" s="6">
        <v>0</v>
      </c>
      <c r="FP137" s="6">
        <v>0</v>
      </c>
      <c r="FQ137" s="6">
        <v>0</v>
      </c>
      <c r="FR137" s="6">
        <v>0</v>
      </c>
      <c r="FS137" s="6"/>
      <c r="FT137" s="6" t="s">
        <v>556</v>
      </c>
      <c r="FU137" s="6" t="s">
        <v>499</v>
      </c>
      <c r="FV137" s="6"/>
      <c r="FW137" s="6" t="s">
        <v>449</v>
      </c>
      <c r="FX137" s="15" t="s">
        <v>450</v>
      </c>
      <c r="FY137" s="6" t="s">
        <v>500</v>
      </c>
      <c r="FZ137" s="6"/>
      <c r="GA137" s="6" t="s">
        <v>528</v>
      </c>
      <c r="GB137" s="6" t="s">
        <v>501</v>
      </c>
      <c r="GC137" s="6" t="s">
        <v>453</v>
      </c>
      <c r="GD137" s="6"/>
      <c r="GE137" s="6" t="s">
        <v>454</v>
      </c>
      <c r="GF137" s="6" t="s">
        <v>1917</v>
      </c>
      <c r="GG137" s="6" t="s">
        <v>456</v>
      </c>
      <c r="GH137" s="15" t="s">
        <v>2529</v>
      </c>
      <c r="GI137" s="6" t="s">
        <v>458</v>
      </c>
      <c r="GJ137" s="6" t="s">
        <v>2530</v>
      </c>
      <c r="GK137" s="6" t="s">
        <v>460</v>
      </c>
      <c r="GL137" s="6" t="s">
        <v>461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1</v>
      </c>
      <c r="GS137" s="6">
        <v>0</v>
      </c>
      <c r="GT137" s="6"/>
      <c r="GU137" s="6" t="s">
        <v>534</v>
      </c>
      <c r="GV137" s="6" t="s">
        <v>595</v>
      </c>
      <c r="GW137" s="6" t="s">
        <v>721</v>
      </c>
      <c r="GX137" s="6">
        <v>1</v>
      </c>
      <c r="GY137" s="6">
        <v>0</v>
      </c>
      <c r="GZ137" s="6">
        <v>0</v>
      </c>
      <c r="HA137" s="6">
        <v>1</v>
      </c>
      <c r="HB137" s="6">
        <v>0</v>
      </c>
      <c r="HC137" s="6">
        <v>0</v>
      </c>
      <c r="HD137" s="6"/>
      <c r="HE137" s="6" t="s">
        <v>1055</v>
      </c>
      <c r="HF137" s="6">
        <v>1</v>
      </c>
      <c r="HG137" s="6">
        <v>0</v>
      </c>
      <c r="HH137" s="6">
        <v>1</v>
      </c>
      <c r="HI137" s="6">
        <v>0</v>
      </c>
      <c r="HJ137" s="6">
        <v>0</v>
      </c>
      <c r="HK137" s="6">
        <v>0</v>
      </c>
      <c r="HL137" s="15"/>
      <c r="HM137" s="6" t="s">
        <v>873</v>
      </c>
      <c r="HN137" s="6"/>
      <c r="HO137" s="6" t="s">
        <v>2531</v>
      </c>
      <c r="HP137" s="6" t="s">
        <v>561</v>
      </c>
      <c r="HQ137" s="6"/>
      <c r="HR137" s="6" t="s">
        <v>2532</v>
      </c>
      <c r="HS137" s="6" t="s">
        <v>1163</v>
      </c>
      <c r="HT137" s="6">
        <v>0</v>
      </c>
      <c r="HU137" s="6">
        <v>0</v>
      </c>
      <c r="HV137" s="6">
        <v>1</v>
      </c>
      <c r="HW137" s="6">
        <v>0</v>
      </c>
      <c r="HX137" s="6">
        <v>0</v>
      </c>
      <c r="HY137" s="6">
        <v>1</v>
      </c>
      <c r="HZ137" s="6"/>
      <c r="IA137" s="6" t="s">
        <v>2533</v>
      </c>
      <c r="IB137" s="6">
        <v>1</v>
      </c>
      <c r="IC137" s="6">
        <v>1</v>
      </c>
      <c r="ID137" s="6">
        <v>0</v>
      </c>
      <c r="IE137" s="6">
        <v>1</v>
      </c>
      <c r="IF137" s="6">
        <v>1</v>
      </c>
      <c r="IG137" s="6">
        <v>1</v>
      </c>
      <c r="IH137" s="15" t="s">
        <v>2534</v>
      </c>
      <c r="II137" s="6" t="s">
        <v>426</v>
      </c>
      <c r="IJ137" s="6" t="s">
        <v>602</v>
      </c>
      <c r="IK137" s="6">
        <v>1</v>
      </c>
      <c r="IL137" s="6">
        <v>1</v>
      </c>
      <c r="IM137" s="6">
        <v>0</v>
      </c>
      <c r="IN137" s="6"/>
      <c r="IO137" s="6" t="s">
        <v>473</v>
      </c>
      <c r="IP137" s="6">
        <v>1</v>
      </c>
      <c r="IQ137" s="6">
        <v>0</v>
      </c>
      <c r="IR137" s="6">
        <v>0</v>
      </c>
      <c r="IS137" s="6">
        <v>0</v>
      </c>
      <c r="IT137" s="6">
        <v>0</v>
      </c>
      <c r="IU137" s="6">
        <v>0</v>
      </c>
      <c r="IV137" s="6"/>
      <c r="IW137" s="6" t="s">
        <v>426</v>
      </c>
      <c r="IX137" s="6">
        <v>1</v>
      </c>
      <c r="IY137" s="6" t="s">
        <v>474</v>
      </c>
      <c r="IZ137" s="6" t="s">
        <v>475</v>
      </c>
      <c r="JA137" s="6" t="s">
        <v>426</v>
      </c>
      <c r="JB137" s="6" t="s">
        <v>476</v>
      </c>
      <c r="JC137" s="6"/>
      <c r="JD137" s="6"/>
      <c r="JE137" s="6"/>
      <c r="JF137" s="6"/>
      <c r="JG137" s="6"/>
      <c r="JH137" s="6"/>
      <c r="JI137" s="6"/>
      <c r="JJ137" s="6"/>
      <c r="JK137" s="6" t="s">
        <v>453</v>
      </c>
      <c r="JL137" s="6"/>
      <c r="JM137" s="6"/>
      <c r="JN137" s="6"/>
      <c r="JO137" s="6"/>
      <c r="JP137" s="6"/>
      <c r="JQ137" s="6"/>
      <c r="JR137" s="6"/>
      <c r="JS137" s="6"/>
      <c r="JT137" s="6"/>
      <c r="JU137" s="6" t="s">
        <v>511</v>
      </c>
      <c r="JV137" s="15"/>
      <c r="JW137" s="94" t="s">
        <v>2535</v>
      </c>
      <c r="JX137" s="6" t="s">
        <v>2536</v>
      </c>
      <c r="JY137" s="6">
        <v>0.82605</v>
      </c>
      <c r="JZ137" s="6">
        <v>34.8660736</v>
      </c>
      <c r="KA137" s="6">
        <v>1734.77270507812</v>
      </c>
      <c r="KB137" s="15">
        <v>4.878</v>
      </c>
      <c r="KC137" s="15"/>
    </row>
    <row r="138" spans="1:289">
      <c r="A138" s="6" t="s">
        <v>419</v>
      </c>
      <c r="B138" s="6" t="s">
        <v>2503</v>
      </c>
      <c r="C138" s="7" t="s">
        <v>2504</v>
      </c>
      <c r="D138" s="6" t="s">
        <v>2537</v>
      </c>
      <c r="E138" s="6" t="s">
        <v>2538</v>
      </c>
      <c r="F138" s="8" t="s">
        <v>423</v>
      </c>
      <c r="G138" s="6" t="s">
        <v>567</v>
      </c>
      <c r="H138" s="6" t="s">
        <v>425</v>
      </c>
      <c r="I138" s="15"/>
      <c r="J138" s="6" t="s">
        <v>426</v>
      </c>
      <c r="K138" s="6" t="s">
        <v>426</v>
      </c>
      <c r="L138" s="6" t="s">
        <v>426</v>
      </c>
      <c r="M138" s="6" t="s">
        <v>426</v>
      </c>
      <c r="N138" s="6" t="s">
        <v>426</v>
      </c>
      <c r="O138" s="6" t="s">
        <v>426</v>
      </c>
      <c r="P138" s="6" t="s">
        <v>426</v>
      </c>
      <c r="Q138" s="6" t="s">
        <v>426</v>
      </c>
      <c r="R138" s="6" t="s">
        <v>426</v>
      </c>
      <c r="S138" s="6" t="s">
        <v>426</v>
      </c>
      <c r="T138" s="6" t="s">
        <v>426</v>
      </c>
      <c r="U138" s="6" t="s">
        <v>426</v>
      </c>
      <c r="V138" s="6" t="s">
        <v>426</v>
      </c>
      <c r="W138" s="6" t="s">
        <v>426</v>
      </c>
      <c r="X138" s="6" t="s">
        <v>426</v>
      </c>
      <c r="Y138" s="6" t="s">
        <v>426</v>
      </c>
      <c r="Z138" s="6" t="s">
        <v>426</v>
      </c>
      <c r="AA138" s="6" t="s">
        <v>426</v>
      </c>
      <c r="AB138" s="6" t="s">
        <v>426</v>
      </c>
      <c r="AC138" s="15" t="s">
        <v>426</v>
      </c>
      <c r="AD138" s="6" t="s">
        <v>427</v>
      </c>
      <c r="AE138" s="6">
        <v>0</v>
      </c>
      <c r="AF138" s="6">
        <v>0</v>
      </c>
      <c r="AG138" s="6">
        <v>0</v>
      </c>
      <c r="AH138" s="6">
        <v>1</v>
      </c>
      <c r="AI138" s="6">
        <v>0</v>
      </c>
      <c r="AJ138" s="6">
        <v>0</v>
      </c>
      <c r="AK138" s="6">
        <v>0</v>
      </c>
      <c r="AL138" s="6">
        <v>0</v>
      </c>
      <c r="AM138" s="6"/>
      <c r="AN138" s="15"/>
      <c r="AO138" s="6" t="s">
        <v>426</v>
      </c>
      <c r="AP138" s="6" t="s">
        <v>823</v>
      </c>
      <c r="AQ138" s="6" t="s">
        <v>426</v>
      </c>
      <c r="AR138" s="6" t="s">
        <v>823</v>
      </c>
      <c r="AS138" s="6" t="s">
        <v>426</v>
      </c>
      <c r="AT138" s="6">
        <v>0.75</v>
      </c>
      <c r="AU138" s="6" t="s">
        <v>426</v>
      </c>
      <c r="AV138" s="6">
        <v>0.75</v>
      </c>
      <c r="AW138" s="6" t="s">
        <v>426</v>
      </c>
      <c r="AX138" s="6">
        <v>0.75</v>
      </c>
      <c r="AY138" s="6" t="s">
        <v>426</v>
      </c>
      <c r="AZ138" s="6">
        <v>1</v>
      </c>
      <c r="BA138" s="6" t="s">
        <v>426</v>
      </c>
      <c r="BB138" s="6">
        <v>0.75</v>
      </c>
      <c r="BC138" s="6" t="s">
        <v>426</v>
      </c>
      <c r="BD138" s="6">
        <v>0.75</v>
      </c>
      <c r="BE138" s="6" t="s">
        <v>426</v>
      </c>
      <c r="BF138" s="6">
        <v>5</v>
      </c>
      <c r="BG138" s="6" t="s">
        <v>426</v>
      </c>
      <c r="BH138" s="6">
        <v>0.75</v>
      </c>
      <c r="BI138" s="6" t="s">
        <v>426</v>
      </c>
      <c r="BJ138" s="6">
        <v>0.75</v>
      </c>
      <c r="BK138" s="6" t="s">
        <v>426</v>
      </c>
      <c r="BL138" s="6">
        <v>0.75</v>
      </c>
      <c r="BM138" s="6" t="s">
        <v>426</v>
      </c>
      <c r="BN138" s="6">
        <v>10</v>
      </c>
      <c r="BO138" s="6" t="s">
        <v>426</v>
      </c>
      <c r="BP138" s="6">
        <v>0.75</v>
      </c>
      <c r="BQ138" s="6" t="s">
        <v>426</v>
      </c>
      <c r="BR138" s="6">
        <v>10</v>
      </c>
      <c r="BS138" s="6" t="s">
        <v>426</v>
      </c>
      <c r="BT138" s="6">
        <v>7</v>
      </c>
      <c r="BU138" s="6" t="s">
        <v>426</v>
      </c>
      <c r="BV138" s="15">
        <v>0.75</v>
      </c>
      <c r="BW138" s="15" t="s">
        <v>428</v>
      </c>
      <c r="BX138" s="15" t="s">
        <v>429</v>
      </c>
      <c r="BY138" s="6" t="s">
        <v>430</v>
      </c>
      <c r="BZ138" s="6" t="s">
        <v>430</v>
      </c>
      <c r="CA138" s="6" t="s">
        <v>430</v>
      </c>
      <c r="CB138" s="6" t="s">
        <v>431</v>
      </c>
      <c r="CC138" s="6" t="s">
        <v>430</v>
      </c>
      <c r="CD138" s="6" t="s">
        <v>431</v>
      </c>
      <c r="CE138" s="6" t="s">
        <v>431</v>
      </c>
      <c r="CF138" s="6" t="s">
        <v>430</v>
      </c>
      <c r="CG138" s="6" t="s">
        <v>431</v>
      </c>
      <c r="CH138" s="6" t="s">
        <v>431</v>
      </c>
      <c r="CI138" s="6" t="s">
        <v>430</v>
      </c>
      <c r="CJ138" s="6" t="s">
        <v>430</v>
      </c>
      <c r="CK138" s="6" t="s">
        <v>430</v>
      </c>
      <c r="CL138" s="6" t="s">
        <v>430</v>
      </c>
      <c r="CM138" s="6" t="s">
        <v>430</v>
      </c>
      <c r="CN138" s="6" t="s">
        <v>431</v>
      </c>
      <c r="CO138" s="15" t="s">
        <v>431</v>
      </c>
      <c r="CP138" s="15" t="s">
        <v>432</v>
      </c>
      <c r="CQ138" s="6" t="s">
        <v>686</v>
      </c>
      <c r="CR138" s="15"/>
      <c r="CS138" s="6" t="s">
        <v>426</v>
      </c>
      <c r="CT138" s="6" t="s">
        <v>2539</v>
      </c>
      <c r="CU138" s="6" t="s">
        <v>1367</v>
      </c>
      <c r="CV138" s="6" t="s">
        <v>733</v>
      </c>
      <c r="CW138" s="6" t="s">
        <v>1088</v>
      </c>
      <c r="CX138" s="15" t="s">
        <v>426</v>
      </c>
      <c r="CY138" s="6" t="s">
        <v>426</v>
      </c>
      <c r="CZ138" s="6" t="s">
        <v>2540</v>
      </c>
      <c r="DA138" s="6" t="s">
        <v>1090</v>
      </c>
      <c r="DB138" s="6" t="s">
        <v>1135</v>
      </c>
      <c r="DC138" s="6" t="s">
        <v>733</v>
      </c>
      <c r="DD138" s="15" t="s">
        <v>988</v>
      </c>
      <c r="DE138" s="15" t="s">
        <v>521</v>
      </c>
      <c r="DF138" s="6" t="s">
        <v>437</v>
      </c>
      <c r="DG138" s="6">
        <v>1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/>
      <c r="DN138" s="6"/>
      <c r="DO138" s="6"/>
      <c r="DP138" s="6"/>
      <c r="DQ138" s="6"/>
      <c r="DR138" s="6"/>
      <c r="DS138" s="6"/>
      <c r="DT138" s="66"/>
      <c r="DU138" s="6" t="s">
        <v>438</v>
      </c>
      <c r="DV138" s="6" t="s">
        <v>426</v>
      </c>
      <c r="DW138" s="6" t="s">
        <v>439</v>
      </c>
      <c r="DX138" s="6" t="s">
        <v>491</v>
      </c>
      <c r="DY138" s="6"/>
      <c r="DZ138" s="6" t="s">
        <v>940</v>
      </c>
      <c r="EA138" s="6">
        <v>1</v>
      </c>
      <c r="EB138" s="6">
        <v>1</v>
      </c>
      <c r="EC138" s="6">
        <v>1</v>
      </c>
      <c r="ED138" s="6">
        <v>1</v>
      </c>
      <c r="EE138" s="6">
        <v>0</v>
      </c>
      <c r="EF138" s="6">
        <v>0</v>
      </c>
      <c r="EG138" s="6">
        <v>0</v>
      </c>
      <c r="EH138" s="6">
        <v>0</v>
      </c>
      <c r="EI138" s="6"/>
      <c r="EJ138" s="6" t="s">
        <v>697</v>
      </c>
      <c r="EK138" s="6">
        <v>1</v>
      </c>
      <c r="EL138" s="6">
        <v>1</v>
      </c>
      <c r="EM138" s="6">
        <v>1</v>
      </c>
      <c r="EN138" s="6">
        <v>1</v>
      </c>
      <c r="EO138" s="6">
        <v>1</v>
      </c>
      <c r="EP138" s="6">
        <v>1</v>
      </c>
      <c r="EQ138" s="6">
        <v>0</v>
      </c>
      <c r="ER138" s="6">
        <v>0</v>
      </c>
      <c r="ES138" s="6">
        <v>0</v>
      </c>
      <c r="ET138" s="6"/>
      <c r="EU138" s="6" t="s">
        <v>494</v>
      </c>
      <c r="EV138" s="6" t="s">
        <v>495</v>
      </c>
      <c r="EW138" s="6"/>
      <c r="EX138" s="6" t="s">
        <v>445</v>
      </c>
      <c r="EY138" s="6">
        <v>0</v>
      </c>
      <c r="EZ138" s="6">
        <v>0</v>
      </c>
      <c r="FA138" s="6">
        <v>1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/>
      <c r="FH138" s="6" t="s">
        <v>446</v>
      </c>
      <c r="FI138" s="6">
        <v>1</v>
      </c>
      <c r="FJ138" s="6">
        <v>0</v>
      </c>
      <c r="FK138" s="6">
        <v>0</v>
      </c>
      <c r="FL138" s="6">
        <v>0</v>
      </c>
      <c r="FM138" s="6">
        <v>1</v>
      </c>
      <c r="FN138" s="6">
        <v>0</v>
      </c>
      <c r="FO138" s="6">
        <v>0</v>
      </c>
      <c r="FP138" s="6">
        <v>0</v>
      </c>
      <c r="FQ138" s="6">
        <v>0</v>
      </c>
      <c r="FR138" s="6">
        <v>0</v>
      </c>
      <c r="FS138" s="6"/>
      <c r="FT138" s="6" t="s">
        <v>447</v>
      </c>
      <c r="FU138" s="6" t="s">
        <v>448</v>
      </c>
      <c r="FV138" s="6"/>
      <c r="FW138" s="6" t="s">
        <v>449</v>
      </c>
      <c r="FX138" s="15" t="s">
        <v>528</v>
      </c>
      <c r="FY138" s="6" t="s">
        <v>451</v>
      </c>
      <c r="FZ138" s="6"/>
      <c r="GA138" s="6" t="s">
        <v>528</v>
      </c>
      <c r="GB138" s="6" t="s">
        <v>452</v>
      </c>
      <c r="GC138" s="6" t="s">
        <v>453</v>
      </c>
      <c r="GD138" s="6"/>
      <c r="GE138" s="6" t="s">
        <v>454</v>
      </c>
      <c r="GF138" s="6" t="s">
        <v>2541</v>
      </c>
      <c r="GG138" s="6" t="s">
        <v>456</v>
      </c>
      <c r="GH138" s="15" t="s">
        <v>2542</v>
      </c>
      <c r="GI138" s="6" t="s">
        <v>701</v>
      </c>
      <c r="GJ138" s="6" t="s">
        <v>1144</v>
      </c>
      <c r="GK138" s="6" t="s">
        <v>703</v>
      </c>
      <c r="GL138" s="6" t="s">
        <v>461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1</v>
      </c>
      <c r="GS138" s="6">
        <v>0</v>
      </c>
      <c r="GT138" s="6"/>
      <c r="GU138" s="6" t="s">
        <v>462</v>
      </c>
      <c r="GV138" s="6" t="s">
        <v>463</v>
      </c>
      <c r="GW138" s="6" t="s">
        <v>464</v>
      </c>
      <c r="GX138" s="6">
        <v>1</v>
      </c>
      <c r="GY138" s="6">
        <v>0</v>
      </c>
      <c r="GZ138" s="6">
        <v>0</v>
      </c>
      <c r="HA138" s="6">
        <v>0</v>
      </c>
      <c r="HB138" s="6">
        <v>0</v>
      </c>
      <c r="HC138" s="6">
        <v>0</v>
      </c>
      <c r="HD138" s="6"/>
      <c r="HE138" s="6" t="s">
        <v>535</v>
      </c>
      <c r="HF138" s="6">
        <v>1</v>
      </c>
      <c r="HG138" s="6">
        <v>0</v>
      </c>
      <c r="HH138" s="6">
        <v>0</v>
      </c>
      <c r="HI138" s="6">
        <v>0</v>
      </c>
      <c r="HJ138" s="6">
        <v>0</v>
      </c>
      <c r="HK138" s="6">
        <v>0</v>
      </c>
      <c r="HL138" s="15"/>
      <c r="HM138" s="6" t="s">
        <v>466</v>
      </c>
      <c r="HN138" s="6"/>
      <c r="HO138" s="6" t="s">
        <v>2543</v>
      </c>
      <c r="HP138" s="6" t="s">
        <v>468</v>
      </c>
      <c r="HQ138" s="6"/>
      <c r="HR138" s="6" t="s">
        <v>1297</v>
      </c>
      <c r="HS138" s="6" t="s">
        <v>470</v>
      </c>
      <c r="HT138" s="6">
        <v>0</v>
      </c>
      <c r="HU138" s="6">
        <v>0</v>
      </c>
      <c r="HV138" s="6">
        <v>0</v>
      </c>
      <c r="HW138" s="6">
        <v>0</v>
      </c>
      <c r="HX138" s="6">
        <v>1</v>
      </c>
      <c r="HY138" s="6">
        <v>0</v>
      </c>
      <c r="HZ138" s="6"/>
      <c r="IA138" s="6" t="s">
        <v>111</v>
      </c>
      <c r="IB138" s="6">
        <v>1</v>
      </c>
      <c r="IC138" s="6">
        <v>0</v>
      </c>
      <c r="ID138" s="6">
        <v>0</v>
      </c>
      <c r="IE138" s="6">
        <v>0</v>
      </c>
      <c r="IF138" s="6">
        <v>0</v>
      </c>
      <c r="IG138" s="6">
        <v>0</v>
      </c>
      <c r="IH138" s="15" t="s">
        <v>2544</v>
      </c>
      <c r="II138" s="6" t="s">
        <v>426</v>
      </c>
      <c r="IJ138" s="6" t="s">
        <v>472</v>
      </c>
      <c r="IK138" s="6">
        <v>1</v>
      </c>
      <c r="IL138" s="6">
        <v>0</v>
      </c>
      <c r="IM138" s="6">
        <v>0</v>
      </c>
      <c r="IN138" s="6"/>
      <c r="IO138" s="6" t="s">
        <v>473</v>
      </c>
      <c r="IP138" s="6">
        <v>1</v>
      </c>
      <c r="IQ138" s="6">
        <v>0</v>
      </c>
      <c r="IR138" s="6">
        <v>0</v>
      </c>
      <c r="IS138" s="6">
        <v>0</v>
      </c>
      <c r="IT138" s="6">
        <v>0</v>
      </c>
      <c r="IU138" s="6">
        <v>0</v>
      </c>
      <c r="IV138" s="6"/>
      <c r="IW138" s="6" t="s">
        <v>426</v>
      </c>
      <c r="IX138" s="6">
        <v>1</v>
      </c>
      <c r="IY138" s="6" t="s">
        <v>474</v>
      </c>
      <c r="IZ138" s="6" t="s">
        <v>475</v>
      </c>
      <c r="JA138" s="6" t="s">
        <v>426</v>
      </c>
      <c r="JB138" s="6" t="s">
        <v>476</v>
      </c>
      <c r="JC138" s="6"/>
      <c r="JD138" s="6"/>
      <c r="JE138" s="6"/>
      <c r="JF138" s="6"/>
      <c r="JG138" s="6"/>
      <c r="JH138" s="6"/>
      <c r="JI138" s="6"/>
      <c r="JJ138" s="6"/>
      <c r="JK138" s="6" t="s">
        <v>426</v>
      </c>
      <c r="JL138" s="6" t="s">
        <v>426</v>
      </c>
      <c r="JM138" s="6"/>
      <c r="JN138" s="6"/>
      <c r="JO138" s="6"/>
      <c r="JP138" s="6"/>
      <c r="JQ138" s="6"/>
      <c r="JR138" s="6"/>
      <c r="JS138" s="6"/>
      <c r="JT138" s="6"/>
      <c r="JU138" s="6" t="s">
        <v>477</v>
      </c>
      <c r="JV138" s="15"/>
      <c r="JW138" s="94" t="s">
        <v>2545</v>
      </c>
      <c r="JX138" s="6" t="s">
        <v>2546</v>
      </c>
      <c r="JY138" s="6">
        <v>0.826035</v>
      </c>
      <c r="JZ138" s="6">
        <v>34.86609</v>
      </c>
      <c r="KA138" s="6">
        <v>1760.1</v>
      </c>
      <c r="KB138" s="15">
        <v>3.6</v>
      </c>
      <c r="KC138" s="15"/>
    </row>
    <row r="139" spans="1:289">
      <c r="A139" s="6" t="s">
        <v>2115</v>
      </c>
      <c r="B139" s="6" t="s">
        <v>2503</v>
      </c>
      <c r="C139" s="7" t="s">
        <v>2504</v>
      </c>
      <c r="D139" s="6" t="s">
        <v>2505</v>
      </c>
      <c r="E139" s="6" t="s">
        <v>2547</v>
      </c>
      <c r="F139" s="8" t="s">
        <v>483</v>
      </c>
      <c r="G139" s="6" t="s">
        <v>567</v>
      </c>
      <c r="H139" s="6" t="s">
        <v>425</v>
      </c>
      <c r="I139" s="15"/>
      <c r="J139" s="6" t="s">
        <v>426</v>
      </c>
      <c r="K139" s="6" t="s">
        <v>426</v>
      </c>
      <c r="L139" s="6" t="s">
        <v>426</v>
      </c>
      <c r="M139" s="6" t="s">
        <v>453</v>
      </c>
      <c r="N139" s="6" t="s">
        <v>426</v>
      </c>
      <c r="O139" s="6" t="s">
        <v>426</v>
      </c>
      <c r="P139" s="6" t="s">
        <v>426</v>
      </c>
      <c r="Q139" s="6" t="s">
        <v>426</v>
      </c>
      <c r="R139" s="6" t="s">
        <v>426</v>
      </c>
      <c r="S139" s="6" t="s">
        <v>426</v>
      </c>
      <c r="T139" s="6" t="s">
        <v>426</v>
      </c>
      <c r="U139" s="6" t="s">
        <v>426</v>
      </c>
      <c r="V139" s="6" t="s">
        <v>426</v>
      </c>
      <c r="W139" s="6" t="s">
        <v>426</v>
      </c>
      <c r="X139" s="6" t="s">
        <v>426</v>
      </c>
      <c r="Y139" s="6" t="s">
        <v>426</v>
      </c>
      <c r="Z139" s="6" t="s">
        <v>426</v>
      </c>
      <c r="AA139" s="6" t="s">
        <v>426</v>
      </c>
      <c r="AB139" s="6" t="s">
        <v>426</v>
      </c>
      <c r="AC139" s="15" t="s">
        <v>426</v>
      </c>
      <c r="AD139" s="6" t="s">
        <v>427</v>
      </c>
      <c r="AE139" s="6">
        <v>0</v>
      </c>
      <c r="AF139" s="6">
        <v>0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/>
      <c r="AN139" s="15"/>
      <c r="AO139" s="6" t="s">
        <v>426</v>
      </c>
      <c r="AP139" s="6" t="s">
        <v>656</v>
      </c>
      <c r="AQ139" s="6" t="s">
        <v>426</v>
      </c>
      <c r="AR139" s="6" t="s">
        <v>658</v>
      </c>
      <c r="AS139" s="6" t="s">
        <v>426</v>
      </c>
      <c r="AT139" s="6">
        <v>0.125</v>
      </c>
      <c r="AU139" s="6" t="s">
        <v>426</v>
      </c>
      <c r="AV139" s="6">
        <v>0.125</v>
      </c>
      <c r="AW139" s="6" t="s">
        <v>426</v>
      </c>
      <c r="AX139" s="6">
        <v>0.125</v>
      </c>
      <c r="AY139" s="6" t="s">
        <v>426</v>
      </c>
      <c r="AZ139" s="6">
        <v>1</v>
      </c>
      <c r="BA139" s="6" t="s">
        <v>426</v>
      </c>
      <c r="BB139" s="6">
        <v>0.125</v>
      </c>
      <c r="BC139" s="6" t="s">
        <v>426</v>
      </c>
      <c r="BD139" s="6">
        <v>0.125</v>
      </c>
      <c r="BE139" s="6" t="s">
        <v>426</v>
      </c>
      <c r="BF139" s="6">
        <v>6</v>
      </c>
      <c r="BG139" s="6" t="s">
        <v>453</v>
      </c>
      <c r="BH139" s="6"/>
      <c r="BI139" s="6" t="s">
        <v>426</v>
      </c>
      <c r="BJ139" s="6">
        <v>0.125</v>
      </c>
      <c r="BK139" s="6" t="s">
        <v>426</v>
      </c>
      <c r="BL139" s="6">
        <v>0.125</v>
      </c>
      <c r="BM139" s="6" t="s">
        <v>426</v>
      </c>
      <c r="BN139" s="6">
        <v>20</v>
      </c>
      <c r="BO139" s="6" t="s">
        <v>426</v>
      </c>
      <c r="BP139" s="6">
        <v>0.125</v>
      </c>
      <c r="BQ139" s="6" t="s">
        <v>426</v>
      </c>
      <c r="BR139" s="6">
        <v>3</v>
      </c>
      <c r="BS139" s="6" t="s">
        <v>426</v>
      </c>
      <c r="BT139" s="6">
        <v>1</v>
      </c>
      <c r="BU139" s="6" t="s">
        <v>426</v>
      </c>
      <c r="BV139" s="15">
        <v>0.125</v>
      </c>
      <c r="BW139" s="15" t="s">
        <v>2548</v>
      </c>
      <c r="BX139" s="15" t="s">
        <v>429</v>
      </c>
      <c r="BY139" s="6" t="s">
        <v>430</v>
      </c>
      <c r="BZ139" s="6" t="s">
        <v>430</v>
      </c>
      <c r="CA139" s="6" t="s">
        <v>430</v>
      </c>
      <c r="CB139" s="6" t="s">
        <v>430</v>
      </c>
      <c r="CC139" s="6" t="s">
        <v>430</v>
      </c>
      <c r="CD139" s="6" t="s">
        <v>430</v>
      </c>
      <c r="CE139" s="6" t="s">
        <v>430</v>
      </c>
      <c r="CF139" s="6" t="s">
        <v>430</v>
      </c>
      <c r="CG139" s="6" t="s">
        <v>430</v>
      </c>
      <c r="CH139" s="6" t="s">
        <v>430</v>
      </c>
      <c r="CI139" s="6" t="s">
        <v>430</v>
      </c>
      <c r="CJ139" s="6" t="s">
        <v>430</v>
      </c>
      <c r="CK139" s="6" t="s">
        <v>430</v>
      </c>
      <c r="CL139" s="6" t="s">
        <v>430</v>
      </c>
      <c r="CM139" s="6" t="s">
        <v>430</v>
      </c>
      <c r="CN139" s="6" t="s">
        <v>430</v>
      </c>
      <c r="CO139" s="15" t="s">
        <v>430</v>
      </c>
      <c r="CP139" s="15" t="s">
        <v>432</v>
      </c>
      <c r="CQ139" s="6" t="s">
        <v>433</v>
      </c>
      <c r="CR139" s="15"/>
      <c r="CS139" s="6" t="s">
        <v>426</v>
      </c>
      <c r="CT139" s="6" t="s">
        <v>2549</v>
      </c>
      <c r="CU139" s="6" t="s">
        <v>766</v>
      </c>
      <c r="CV139" s="6" t="s">
        <v>660</v>
      </c>
      <c r="CW139" s="6" t="s">
        <v>935</v>
      </c>
      <c r="CX139" s="15" t="s">
        <v>426</v>
      </c>
      <c r="CY139" s="6" t="s">
        <v>426</v>
      </c>
      <c r="CZ139" s="6" t="s">
        <v>2550</v>
      </c>
      <c r="DA139" s="6" t="s">
        <v>1188</v>
      </c>
      <c r="DB139" s="6" t="s">
        <v>1450</v>
      </c>
      <c r="DC139" s="6" t="s">
        <v>660</v>
      </c>
      <c r="DD139" s="15" t="s">
        <v>1919</v>
      </c>
      <c r="DE139" s="15" t="s">
        <v>436</v>
      </c>
      <c r="DF139" s="6" t="s">
        <v>437</v>
      </c>
      <c r="DG139" s="6">
        <v>1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/>
      <c r="DN139" s="6"/>
      <c r="DO139" s="6"/>
      <c r="DP139" s="6"/>
      <c r="DQ139" s="6"/>
      <c r="DR139" s="6"/>
      <c r="DS139" s="6"/>
      <c r="DT139" s="66"/>
      <c r="DU139" s="6" t="s">
        <v>438</v>
      </c>
      <c r="DV139" s="6" t="s">
        <v>426</v>
      </c>
      <c r="DW139" s="6" t="s">
        <v>439</v>
      </c>
      <c r="DX139" s="6" t="s">
        <v>440</v>
      </c>
      <c r="DY139" s="6"/>
      <c r="DZ139" s="6" t="s">
        <v>441</v>
      </c>
      <c r="EA139" s="6">
        <v>1</v>
      </c>
      <c r="EB139" s="6">
        <v>0</v>
      </c>
      <c r="EC139" s="6">
        <v>0</v>
      </c>
      <c r="ED139" s="6">
        <v>0</v>
      </c>
      <c r="EE139" s="6">
        <v>0</v>
      </c>
      <c r="EF139" s="6">
        <v>0</v>
      </c>
      <c r="EG139" s="6">
        <v>0</v>
      </c>
      <c r="EH139" s="6">
        <v>0</v>
      </c>
      <c r="EI139" s="6"/>
      <c r="EJ139" s="6" t="s">
        <v>553</v>
      </c>
      <c r="EK139" s="6">
        <v>0</v>
      </c>
      <c r="EL139" s="6">
        <v>0</v>
      </c>
      <c r="EM139" s="6">
        <v>0</v>
      </c>
      <c r="EN139" s="6">
        <v>0</v>
      </c>
      <c r="EO139" s="6">
        <v>1</v>
      </c>
      <c r="EP139" s="6">
        <v>0</v>
      </c>
      <c r="EQ139" s="6">
        <v>0</v>
      </c>
      <c r="ER139" s="6">
        <v>0</v>
      </c>
      <c r="ES139" s="6">
        <v>0</v>
      </c>
      <c r="ET139" s="6"/>
      <c r="EU139" s="6" t="s">
        <v>443</v>
      </c>
      <c r="EV139" s="6" t="s">
        <v>444</v>
      </c>
      <c r="EW139" s="6"/>
      <c r="EX139" s="6" t="s">
        <v>1123</v>
      </c>
      <c r="EY139" s="6">
        <v>1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/>
      <c r="FH139" s="6" t="s">
        <v>909</v>
      </c>
      <c r="FI139" s="6">
        <v>0</v>
      </c>
      <c r="FJ139" s="6">
        <v>0</v>
      </c>
      <c r="FK139" s="6">
        <v>0</v>
      </c>
      <c r="FL139" s="6">
        <v>0</v>
      </c>
      <c r="FM139" s="6">
        <v>1</v>
      </c>
      <c r="FN139" s="6">
        <v>0</v>
      </c>
      <c r="FO139" s="6">
        <v>0</v>
      </c>
      <c r="FP139" s="6">
        <v>0</v>
      </c>
      <c r="FQ139" s="6">
        <v>0</v>
      </c>
      <c r="FR139" s="6">
        <v>0</v>
      </c>
      <c r="FS139" s="6"/>
      <c r="FT139" s="6" t="s">
        <v>447</v>
      </c>
      <c r="FU139" s="6" t="s">
        <v>499</v>
      </c>
      <c r="FV139" s="6"/>
      <c r="FW139" s="6" t="s">
        <v>449</v>
      </c>
      <c r="FX139" s="15" t="s">
        <v>450</v>
      </c>
      <c r="FY139" s="6" t="s">
        <v>529</v>
      </c>
      <c r="FZ139" s="6"/>
      <c r="GA139" s="6" t="s">
        <v>450</v>
      </c>
      <c r="GB139" s="6" t="s">
        <v>501</v>
      </c>
      <c r="GC139" s="6" t="s">
        <v>453</v>
      </c>
      <c r="GD139" s="6"/>
      <c r="GE139" s="6" t="s">
        <v>454</v>
      </c>
      <c r="GF139" s="6" t="s">
        <v>2551</v>
      </c>
      <c r="GG139" s="6" t="s">
        <v>456</v>
      </c>
      <c r="GH139" s="15" t="s">
        <v>2508</v>
      </c>
      <c r="GI139" s="6" t="s">
        <v>458</v>
      </c>
      <c r="GJ139" s="6" t="s">
        <v>2226</v>
      </c>
      <c r="GK139" s="6" t="s">
        <v>460</v>
      </c>
      <c r="GL139" s="6" t="s">
        <v>461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1</v>
      </c>
      <c r="GS139" s="6">
        <v>0</v>
      </c>
      <c r="GT139" s="6"/>
      <c r="GU139" s="6" t="s">
        <v>534</v>
      </c>
      <c r="GV139" s="6" t="s">
        <v>595</v>
      </c>
      <c r="GW139" s="6" t="s">
        <v>464</v>
      </c>
      <c r="GX139" s="6">
        <v>1</v>
      </c>
      <c r="GY139" s="6">
        <v>0</v>
      </c>
      <c r="GZ139" s="6">
        <v>0</v>
      </c>
      <c r="HA139" s="6">
        <v>0</v>
      </c>
      <c r="HB139" s="6">
        <v>0</v>
      </c>
      <c r="HC139" s="6">
        <v>0</v>
      </c>
      <c r="HD139" s="6"/>
      <c r="HE139" s="6" t="s">
        <v>646</v>
      </c>
      <c r="HF139" s="6">
        <v>0</v>
      </c>
      <c r="HG139" s="6">
        <v>0</v>
      </c>
      <c r="HH139" s="6">
        <v>1</v>
      </c>
      <c r="HI139" s="6">
        <v>0</v>
      </c>
      <c r="HJ139" s="6">
        <v>0</v>
      </c>
      <c r="HK139" s="6">
        <v>0</v>
      </c>
      <c r="HL139" s="15"/>
      <c r="HM139" s="6" t="s">
        <v>505</v>
      </c>
      <c r="HN139" s="6"/>
      <c r="HO139" s="6" t="s">
        <v>2123</v>
      </c>
      <c r="HP139" s="6" t="s">
        <v>561</v>
      </c>
      <c r="HQ139" s="6"/>
      <c r="HR139" s="6" t="s">
        <v>2552</v>
      </c>
      <c r="HS139" s="6" t="s">
        <v>540</v>
      </c>
      <c r="HT139" s="6">
        <v>1</v>
      </c>
      <c r="HU139" s="6">
        <v>0</v>
      </c>
      <c r="HV139" s="6">
        <v>0</v>
      </c>
      <c r="HW139" s="6">
        <v>0</v>
      </c>
      <c r="HX139" s="6">
        <v>0</v>
      </c>
      <c r="HY139" s="6">
        <v>0</v>
      </c>
      <c r="HZ139" s="6"/>
      <c r="IA139" s="6" t="s">
        <v>111</v>
      </c>
      <c r="IB139" s="6">
        <v>1</v>
      </c>
      <c r="IC139" s="6">
        <v>0</v>
      </c>
      <c r="ID139" s="6">
        <v>0</v>
      </c>
      <c r="IE139" s="6">
        <v>0</v>
      </c>
      <c r="IF139" s="6">
        <v>0</v>
      </c>
      <c r="IG139" s="6">
        <v>0</v>
      </c>
      <c r="IH139" s="15" t="s">
        <v>2553</v>
      </c>
      <c r="II139" s="6" t="s">
        <v>426</v>
      </c>
      <c r="IJ139" s="6" t="s">
        <v>543</v>
      </c>
      <c r="IK139" s="6">
        <v>0</v>
      </c>
      <c r="IL139" s="6">
        <v>1</v>
      </c>
      <c r="IM139" s="6">
        <v>0</v>
      </c>
      <c r="IN139" s="6"/>
      <c r="IO139" s="6" t="s">
        <v>473</v>
      </c>
      <c r="IP139" s="6">
        <v>1</v>
      </c>
      <c r="IQ139" s="6">
        <v>0</v>
      </c>
      <c r="IR139" s="6">
        <v>0</v>
      </c>
      <c r="IS139" s="6">
        <v>0</v>
      </c>
      <c r="IT139" s="6">
        <v>0</v>
      </c>
      <c r="IU139" s="6">
        <v>0</v>
      </c>
      <c r="IV139" s="6"/>
      <c r="IW139" s="6" t="s">
        <v>426</v>
      </c>
      <c r="IX139" s="6">
        <v>1</v>
      </c>
      <c r="IY139" s="6" t="s">
        <v>474</v>
      </c>
      <c r="IZ139" s="6" t="s">
        <v>475</v>
      </c>
      <c r="JA139" s="6" t="s">
        <v>426</v>
      </c>
      <c r="JB139" s="6" t="s">
        <v>476</v>
      </c>
      <c r="JC139" s="6"/>
      <c r="JD139" s="6"/>
      <c r="JE139" s="6"/>
      <c r="JF139" s="6"/>
      <c r="JG139" s="6"/>
      <c r="JH139" s="6"/>
      <c r="JI139" s="6"/>
      <c r="JJ139" s="6"/>
      <c r="JK139" s="6" t="s">
        <v>426</v>
      </c>
      <c r="JL139" s="6" t="s">
        <v>426</v>
      </c>
      <c r="JM139" s="6"/>
      <c r="JN139" s="6"/>
      <c r="JO139" s="6"/>
      <c r="JP139" s="6"/>
      <c r="JQ139" s="6"/>
      <c r="JR139" s="6"/>
      <c r="JS139" s="6"/>
      <c r="JT139" s="6"/>
      <c r="JU139" s="6" t="s">
        <v>544</v>
      </c>
      <c r="JV139" s="15"/>
      <c r="JW139" s="94" t="s">
        <v>2554</v>
      </c>
      <c r="JX139" s="6" t="s">
        <v>2555</v>
      </c>
      <c r="JY139" s="6">
        <v>0.8318471</v>
      </c>
      <c r="JZ139" s="6">
        <v>34.8652185</v>
      </c>
      <c r="KA139" s="6">
        <v>1757.30004882812</v>
      </c>
      <c r="KB139" s="15">
        <v>1.774</v>
      </c>
      <c r="KC139" s="15"/>
    </row>
    <row r="140" spans="1:289">
      <c r="A140" s="6" t="s">
        <v>581</v>
      </c>
      <c r="B140" s="6" t="s">
        <v>2503</v>
      </c>
      <c r="C140" s="7" t="s">
        <v>2504</v>
      </c>
      <c r="D140" s="6" t="s">
        <v>2505</v>
      </c>
      <c r="E140" s="6" t="s">
        <v>2556</v>
      </c>
      <c r="F140" s="8" t="s">
        <v>483</v>
      </c>
      <c r="G140" s="6" t="s">
        <v>424</v>
      </c>
      <c r="H140" s="6" t="s">
        <v>425</v>
      </c>
      <c r="I140" s="15"/>
      <c r="J140" s="6" t="s">
        <v>426</v>
      </c>
      <c r="K140" s="6" t="s">
        <v>426</v>
      </c>
      <c r="L140" s="6" t="s">
        <v>426</v>
      </c>
      <c r="M140" s="6" t="s">
        <v>426</v>
      </c>
      <c r="N140" s="6" t="s">
        <v>426</v>
      </c>
      <c r="O140" s="6" t="s">
        <v>426</v>
      </c>
      <c r="P140" s="6" t="s">
        <v>426</v>
      </c>
      <c r="Q140" s="6" t="s">
        <v>426</v>
      </c>
      <c r="R140" s="6" t="s">
        <v>426</v>
      </c>
      <c r="S140" s="6" t="s">
        <v>426</v>
      </c>
      <c r="T140" s="6" t="s">
        <v>426</v>
      </c>
      <c r="U140" s="6" t="s">
        <v>426</v>
      </c>
      <c r="V140" s="6" t="s">
        <v>426</v>
      </c>
      <c r="W140" s="6" t="s">
        <v>426</v>
      </c>
      <c r="X140" s="6" t="s">
        <v>426</v>
      </c>
      <c r="Y140" s="6" t="s">
        <v>426</v>
      </c>
      <c r="Z140" s="6" t="s">
        <v>426</v>
      </c>
      <c r="AA140" s="6" t="s">
        <v>426</v>
      </c>
      <c r="AB140" s="6" t="s">
        <v>426</v>
      </c>
      <c r="AC140" s="15" t="s">
        <v>426</v>
      </c>
      <c r="AD140" s="6" t="s">
        <v>2557</v>
      </c>
      <c r="AE140" s="6">
        <v>0</v>
      </c>
      <c r="AF140" s="6">
        <v>1</v>
      </c>
      <c r="AG140" s="6">
        <v>0</v>
      </c>
      <c r="AH140" s="6">
        <v>1</v>
      </c>
      <c r="AI140" s="6">
        <v>0</v>
      </c>
      <c r="AJ140" s="6">
        <v>0</v>
      </c>
      <c r="AK140" s="6">
        <v>1</v>
      </c>
      <c r="AL140" s="6">
        <v>0</v>
      </c>
      <c r="AM140" s="6"/>
      <c r="AN140" s="15"/>
      <c r="AO140" s="6" t="s">
        <v>426</v>
      </c>
      <c r="AP140" s="6" t="s">
        <v>766</v>
      </c>
      <c r="AQ140" s="6" t="s">
        <v>426</v>
      </c>
      <c r="AR140" s="6" t="s">
        <v>758</v>
      </c>
      <c r="AS140" s="6" t="s">
        <v>426</v>
      </c>
      <c r="AT140" s="6">
        <v>1</v>
      </c>
      <c r="AU140" s="6" t="s">
        <v>426</v>
      </c>
      <c r="AV140" s="6">
        <v>1</v>
      </c>
      <c r="AW140" s="6" t="s">
        <v>426</v>
      </c>
      <c r="AX140" s="6">
        <v>1</v>
      </c>
      <c r="AY140" s="6" t="s">
        <v>426</v>
      </c>
      <c r="AZ140" s="6">
        <v>1</v>
      </c>
      <c r="BA140" s="6" t="s">
        <v>426</v>
      </c>
      <c r="BB140" s="6">
        <v>1</v>
      </c>
      <c r="BC140" s="6" t="s">
        <v>426</v>
      </c>
      <c r="BD140" s="6">
        <v>1</v>
      </c>
      <c r="BE140" s="6" t="s">
        <v>426</v>
      </c>
      <c r="BF140" s="6">
        <v>30</v>
      </c>
      <c r="BG140" s="6" t="s">
        <v>426</v>
      </c>
      <c r="BH140" s="6">
        <v>1</v>
      </c>
      <c r="BI140" s="6" t="s">
        <v>426</v>
      </c>
      <c r="BJ140" s="6">
        <v>1</v>
      </c>
      <c r="BK140" s="6" t="s">
        <v>426</v>
      </c>
      <c r="BL140" s="6">
        <v>1</v>
      </c>
      <c r="BM140" s="6" t="s">
        <v>426</v>
      </c>
      <c r="BN140" s="6">
        <v>30</v>
      </c>
      <c r="BO140" s="6" t="s">
        <v>426</v>
      </c>
      <c r="BP140" s="6">
        <v>0.2</v>
      </c>
      <c r="BQ140" s="6" t="s">
        <v>426</v>
      </c>
      <c r="BR140" s="6">
        <v>120</v>
      </c>
      <c r="BS140" s="6" t="s">
        <v>426</v>
      </c>
      <c r="BT140" s="6">
        <v>45</v>
      </c>
      <c r="BU140" s="6" t="s">
        <v>426</v>
      </c>
      <c r="BV140" s="15">
        <v>1</v>
      </c>
      <c r="BW140" s="15" t="s">
        <v>518</v>
      </c>
      <c r="BX140" s="15" t="s">
        <v>429</v>
      </c>
      <c r="BY140" s="6" t="s">
        <v>430</v>
      </c>
      <c r="BZ140" s="6" t="s">
        <v>430</v>
      </c>
      <c r="CA140" s="6" t="s">
        <v>430</v>
      </c>
      <c r="CB140" s="6" t="s">
        <v>430</v>
      </c>
      <c r="CC140" s="6" t="s">
        <v>430</v>
      </c>
      <c r="CD140" s="6" t="s">
        <v>430</v>
      </c>
      <c r="CE140" s="6" t="s">
        <v>430</v>
      </c>
      <c r="CF140" s="6" t="s">
        <v>430</v>
      </c>
      <c r="CG140" s="6" t="s">
        <v>430</v>
      </c>
      <c r="CH140" s="6" t="s">
        <v>430</v>
      </c>
      <c r="CI140" s="6" t="s">
        <v>430</v>
      </c>
      <c r="CJ140" s="6" t="s">
        <v>430</v>
      </c>
      <c r="CK140" s="6" t="s">
        <v>430</v>
      </c>
      <c r="CL140" s="6" t="s">
        <v>430</v>
      </c>
      <c r="CM140" s="6" t="s">
        <v>430</v>
      </c>
      <c r="CN140" s="6" t="s">
        <v>430</v>
      </c>
      <c r="CO140" s="15" t="s">
        <v>430</v>
      </c>
      <c r="CP140" s="15" t="s">
        <v>432</v>
      </c>
      <c r="CQ140" s="6" t="s">
        <v>433</v>
      </c>
      <c r="CR140" s="15"/>
      <c r="CS140" s="6" t="s">
        <v>426</v>
      </c>
      <c r="CT140" s="6" t="s">
        <v>2558</v>
      </c>
      <c r="CU140" s="6" t="s">
        <v>1678</v>
      </c>
      <c r="CV140" s="6" t="s">
        <v>1641</v>
      </c>
      <c r="CW140" s="6" t="s">
        <v>2559</v>
      </c>
      <c r="CX140" s="15" t="s">
        <v>426</v>
      </c>
      <c r="CY140" s="6" t="s">
        <v>426</v>
      </c>
      <c r="CZ140" s="6" t="s">
        <v>2560</v>
      </c>
      <c r="DA140" s="6" t="s">
        <v>906</v>
      </c>
      <c r="DB140" s="6" t="s">
        <v>1307</v>
      </c>
      <c r="DC140" s="6" t="s">
        <v>1272</v>
      </c>
      <c r="DD140" s="15" t="s">
        <v>906</v>
      </c>
      <c r="DE140" s="15" t="s">
        <v>436</v>
      </c>
      <c r="DF140" s="6" t="s">
        <v>1308</v>
      </c>
      <c r="DG140" s="6">
        <v>1</v>
      </c>
      <c r="DH140" s="6">
        <v>0</v>
      </c>
      <c r="DI140" s="6">
        <v>1</v>
      </c>
      <c r="DJ140" s="6">
        <v>0</v>
      </c>
      <c r="DK140" s="6">
        <v>0</v>
      </c>
      <c r="DL140" s="6">
        <v>0</v>
      </c>
      <c r="DM140" s="6"/>
      <c r="DN140" s="6"/>
      <c r="DO140" s="6"/>
      <c r="DP140" s="6"/>
      <c r="DQ140" s="6"/>
      <c r="DR140" s="6"/>
      <c r="DS140" s="6"/>
      <c r="DT140" s="66"/>
      <c r="DU140" s="6" t="s">
        <v>438</v>
      </c>
      <c r="DV140" s="6" t="s">
        <v>426</v>
      </c>
      <c r="DW140" s="6" t="s">
        <v>439</v>
      </c>
      <c r="DX140" s="6" t="s">
        <v>440</v>
      </c>
      <c r="DY140" s="6"/>
      <c r="DZ140" s="6" t="s">
        <v>2561</v>
      </c>
      <c r="EA140" s="6">
        <v>1</v>
      </c>
      <c r="EB140" s="6">
        <v>1</v>
      </c>
      <c r="EC140" s="6">
        <v>1</v>
      </c>
      <c r="ED140" s="6">
        <v>1</v>
      </c>
      <c r="EE140" s="6">
        <v>1</v>
      </c>
      <c r="EF140" s="6">
        <v>1</v>
      </c>
      <c r="EG140" s="6">
        <v>0</v>
      </c>
      <c r="EH140" s="6">
        <v>0</v>
      </c>
      <c r="EI140" s="6"/>
      <c r="EJ140" s="6" t="s">
        <v>1276</v>
      </c>
      <c r="EK140" s="6">
        <v>1</v>
      </c>
      <c r="EL140" s="6">
        <v>1</v>
      </c>
      <c r="EM140" s="6">
        <v>1</v>
      </c>
      <c r="EN140" s="6">
        <v>1</v>
      </c>
      <c r="EO140" s="6">
        <v>1</v>
      </c>
      <c r="EP140" s="6">
        <v>1</v>
      </c>
      <c r="EQ140" s="6">
        <v>1</v>
      </c>
      <c r="ER140" s="6">
        <v>0</v>
      </c>
      <c r="ES140" s="6">
        <v>0</v>
      </c>
      <c r="ET140" s="6"/>
      <c r="EU140" s="6" t="s">
        <v>443</v>
      </c>
      <c r="EV140" s="6" t="s">
        <v>588</v>
      </c>
      <c r="EW140" s="6"/>
      <c r="EX140" s="6" t="s">
        <v>2562</v>
      </c>
      <c r="EY140" s="6">
        <v>1</v>
      </c>
      <c r="EZ140" s="6">
        <v>1</v>
      </c>
      <c r="FA140" s="6">
        <v>1</v>
      </c>
      <c r="FB140" s="6">
        <v>1</v>
      </c>
      <c r="FC140" s="6">
        <v>1</v>
      </c>
      <c r="FD140" s="6">
        <v>1</v>
      </c>
      <c r="FE140" s="6">
        <v>0</v>
      </c>
      <c r="FF140" s="6">
        <v>0</v>
      </c>
      <c r="FG140" s="6"/>
      <c r="FH140" s="6" t="s">
        <v>2563</v>
      </c>
      <c r="FI140" s="6">
        <v>1</v>
      </c>
      <c r="FJ140" s="6">
        <v>0</v>
      </c>
      <c r="FK140" s="6">
        <v>0</v>
      </c>
      <c r="FL140" s="6">
        <v>1</v>
      </c>
      <c r="FM140" s="6">
        <v>0</v>
      </c>
      <c r="FN140" s="6">
        <v>1</v>
      </c>
      <c r="FO140" s="6">
        <v>0</v>
      </c>
      <c r="FP140" s="6">
        <v>0</v>
      </c>
      <c r="FQ140" s="6">
        <v>1</v>
      </c>
      <c r="FR140" s="6">
        <v>0</v>
      </c>
      <c r="FS140" s="6"/>
      <c r="FT140" s="6" t="s">
        <v>556</v>
      </c>
      <c r="FU140" s="6" t="s">
        <v>448</v>
      </c>
      <c r="FV140" s="6"/>
      <c r="FW140" s="6" t="s">
        <v>449</v>
      </c>
      <c r="FX140" s="15" t="s">
        <v>450</v>
      </c>
      <c r="FY140" s="6" t="s">
        <v>500</v>
      </c>
      <c r="FZ140" s="6"/>
      <c r="GA140" s="6" t="s">
        <v>450</v>
      </c>
      <c r="GB140" s="6" t="s">
        <v>501</v>
      </c>
      <c r="GC140" s="6" t="s">
        <v>453</v>
      </c>
      <c r="GD140" s="6"/>
      <c r="GE140" s="6" t="s">
        <v>454</v>
      </c>
      <c r="GF140" s="6" t="s">
        <v>2564</v>
      </c>
      <c r="GG140" s="6" t="s">
        <v>456</v>
      </c>
      <c r="GH140" s="15" t="s">
        <v>2565</v>
      </c>
      <c r="GI140" s="6" t="s">
        <v>458</v>
      </c>
      <c r="GJ140" s="6" t="s">
        <v>2566</v>
      </c>
      <c r="GK140" s="6" t="s">
        <v>460</v>
      </c>
      <c r="GL140" s="6" t="s">
        <v>461</v>
      </c>
      <c r="GM140" s="6">
        <v>0</v>
      </c>
      <c r="GN140" s="6">
        <v>0</v>
      </c>
      <c r="GO140" s="6">
        <v>0</v>
      </c>
      <c r="GP140" s="6">
        <v>0</v>
      </c>
      <c r="GQ140" s="6">
        <v>0</v>
      </c>
      <c r="GR140" s="6">
        <v>1</v>
      </c>
      <c r="GS140" s="6">
        <v>0</v>
      </c>
      <c r="GT140" s="6"/>
      <c r="GU140" s="6" t="s">
        <v>534</v>
      </c>
      <c r="GV140" s="6" t="s">
        <v>595</v>
      </c>
      <c r="GW140" s="6" t="s">
        <v>464</v>
      </c>
      <c r="GX140" s="6">
        <v>1</v>
      </c>
      <c r="GY140" s="6">
        <v>0</v>
      </c>
      <c r="GZ140" s="6">
        <v>0</v>
      </c>
      <c r="HA140" s="6">
        <v>0</v>
      </c>
      <c r="HB140" s="6">
        <v>0</v>
      </c>
      <c r="HC140" s="6">
        <v>0</v>
      </c>
      <c r="HD140" s="6"/>
      <c r="HE140" s="6" t="s">
        <v>2567</v>
      </c>
      <c r="HF140" s="6">
        <v>1</v>
      </c>
      <c r="HG140" s="6">
        <v>1</v>
      </c>
      <c r="HH140" s="6">
        <v>1</v>
      </c>
      <c r="HI140" s="6">
        <v>1</v>
      </c>
      <c r="HJ140" s="6">
        <v>0</v>
      </c>
      <c r="HK140" s="6">
        <v>0</v>
      </c>
      <c r="HL140" s="15"/>
      <c r="HM140" s="6" t="s">
        <v>505</v>
      </c>
      <c r="HN140" s="6"/>
      <c r="HO140" s="6" t="s">
        <v>2568</v>
      </c>
      <c r="HP140" s="6" t="s">
        <v>537</v>
      </c>
      <c r="HQ140" s="6" t="s">
        <v>2569</v>
      </c>
      <c r="HR140" s="6" t="s">
        <v>799</v>
      </c>
      <c r="HS140" s="6" t="s">
        <v>778</v>
      </c>
      <c r="HT140" s="6">
        <v>0</v>
      </c>
      <c r="HU140" s="6">
        <v>0</v>
      </c>
      <c r="HV140" s="6">
        <v>1</v>
      </c>
      <c r="HW140" s="6">
        <v>0</v>
      </c>
      <c r="HX140" s="6">
        <v>1</v>
      </c>
      <c r="HY140" s="6">
        <v>0</v>
      </c>
      <c r="HZ140" s="6"/>
      <c r="IA140" s="6" t="s">
        <v>1284</v>
      </c>
      <c r="IB140" s="6">
        <v>1</v>
      </c>
      <c r="IC140" s="6">
        <v>1</v>
      </c>
      <c r="ID140" s="6">
        <v>1</v>
      </c>
      <c r="IE140" s="6">
        <v>1</v>
      </c>
      <c r="IF140" s="6">
        <v>0</v>
      </c>
      <c r="IG140" s="6">
        <v>0</v>
      </c>
      <c r="IH140" s="15" t="s">
        <v>2570</v>
      </c>
      <c r="II140" s="6" t="s">
        <v>426</v>
      </c>
      <c r="IJ140" s="6" t="s">
        <v>602</v>
      </c>
      <c r="IK140" s="6">
        <v>1</v>
      </c>
      <c r="IL140" s="6">
        <v>1</v>
      </c>
      <c r="IM140" s="6">
        <v>0</v>
      </c>
      <c r="IN140" s="6"/>
      <c r="IO140" s="6" t="s">
        <v>893</v>
      </c>
      <c r="IP140" s="6">
        <v>1</v>
      </c>
      <c r="IQ140" s="6">
        <v>0</v>
      </c>
      <c r="IR140" s="6">
        <v>0</v>
      </c>
      <c r="IS140" s="6">
        <v>1</v>
      </c>
      <c r="IT140" s="6">
        <v>0</v>
      </c>
      <c r="IU140" s="6">
        <v>0</v>
      </c>
      <c r="IV140" s="6"/>
      <c r="IW140" s="6" t="s">
        <v>426</v>
      </c>
      <c r="IX140" s="6">
        <v>1</v>
      </c>
      <c r="IY140" s="6" t="s">
        <v>474</v>
      </c>
      <c r="IZ140" s="6" t="s">
        <v>475</v>
      </c>
      <c r="JA140" s="6" t="s">
        <v>426</v>
      </c>
      <c r="JB140" s="6" t="s">
        <v>476</v>
      </c>
      <c r="JC140" s="6"/>
      <c r="JD140" s="6"/>
      <c r="JE140" s="6"/>
      <c r="JF140" s="6"/>
      <c r="JG140" s="6"/>
      <c r="JH140" s="6"/>
      <c r="JI140" s="6"/>
      <c r="JJ140" s="6"/>
      <c r="JK140" s="6" t="s">
        <v>426</v>
      </c>
      <c r="JL140" s="6" t="s">
        <v>426</v>
      </c>
      <c r="JM140" s="6"/>
      <c r="JN140" s="6"/>
      <c r="JO140" s="6"/>
      <c r="JP140" s="6"/>
      <c r="JQ140" s="6"/>
      <c r="JR140" s="6"/>
      <c r="JS140" s="6"/>
      <c r="JT140" s="6"/>
      <c r="JU140" s="6" t="s">
        <v>895</v>
      </c>
      <c r="JV140" s="15" t="s">
        <v>2571</v>
      </c>
      <c r="JW140" s="94" t="s">
        <v>2572</v>
      </c>
      <c r="JX140" s="6" t="s">
        <v>2573</v>
      </c>
      <c r="JY140" s="6">
        <v>0.8317634</v>
      </c>
      <c r="JZ140" s="6">
        <v>34.8653113</v>
      </c>
      <c r="KA140" s="6">
        <v>1757.30004882812</v>
      </c>
      <c r="KB140" s="15">
        <v>3.95</v>
      </c>
      <c r="KC140" s="15"/>
    </row>
    <row r="141" spans="1:289">
      <c r="A141" s="6" t="s">
        <v>864</v>
      </c>
      <c r="B141" s="6" t="s">
        <v>2503</v>
      </c>
      <c r="C141" s="7" t="s">
        <v>2504</v>
      </c>
      <c r="D141" s="6" t="s">
        <v>2167</v>
      </c>
      <c r="E141" s="6" t="s">
        <v>2574</v>
      </c>
      <c r="F141" s="8" t="s">
        <v>423</v>
      </c>
      <c r="G141" s="6" t="s">
        <v>567</v>
      </c>
      <c r="H141" s="6" t="s">
        <v>425</v>
      </c>
      <c r="I141" s="15"/>
      <c r="J141" s="6" t="s">
        <v>426</v>
      </c>
      <c r="K141" s="6" t="s">
        <v>426</v>
      </c>
      <c r="L141" s="6" t="s">
        <v>426</v>
      </c>
      <c r="M141" s="6" t="s">
        <v>426</v>
      </c>
      <c r="N141" s="6" t="s">
        <v>426</v>
      </c>
      <c r="O141" s="6" t="s">
        <v>426</v>
      </c>
      <c r="P141" s="6" t="s">
        <v>426</v>
      </c>
      <c r="Q141" s="6" t="s">
        <v>426</v>
      </c>
      <c r="R141" s="6" t="s">
        <v>426</v>
      </c>
      <c r="S141" s="6" t="s">
        <v>426</v>
      </c>
      <c r="T141" s="6" t="s">
        <v>426</v>
      </c>
      <c r="U141" s="6" t="s">
        <v>426</v>
      </c>
      <c r="V141" s="6" t="s">
        <v>453</v>
      </c>
      <c r="W141" s="6" t="s">
        <v>453</v>
      </c>
      <c r="X141" s="6" t="s">
        <v>426</v>
      </c>
      <c r="Y141" s="6" t="s">
        <v>426</v>
      </c>
      <c r="Z141" s="6" t="s">
        <v>426</v>
      </c>
      <c r="AA141" s="6" t="s">
        <v>426</v>
      </c>
      <c r="AB141" s="6" t="s">
        <v>426</v>
      </c>
      <c r="AC141" s="15" t="s">
        <v>426</v>
      </c>
      <c r="AD141" s="6" t="s">
        <v>427</v>
      </c>
      <c r="AE141" s="6">
        <v>0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6">
        <v>0</v>
      </c>
      <c r="AM141" s="6"/>
      <c r="AN141" s="15"/>
      <c r="AO141" s="6" t="s">
        <v>426</v>
      </c>
      <c r="AP141" s="6" t="s">
        <v>985</v>
      </c>
      <c r="AQ141" s="6" t="s">
        <v>426</v>
      </c>
      <c r="AR141" s="6" t="s">
        <v>985</v>
      </c>
      <c r="AS141" s="6" t="s">
        <v>426</v>
      </c>
      <c r="AT141" s="6">
        <v>0.4</v>
      </c>
      <c r="AU141" s="6" t="s">
        <v>426</v>
      </c>
      <c r="AV141" s="6">
        <v>0.2</v>
      </c>
      <c r="AW141" s="6" t="s">
        <v>426</v>
      </c>
      <c r="AX141" s="6">
        <v>0.1</v>
      </c>
      <c r="AY141" s="6" t="s">
        <v>426</v>
      </c>
      <c r="AZ141" s="6">
        <v>1</v>
      </c>
      <c r="BA141" s="6" t="s">
        <v>453</v>
      </c>
      <c r="BB141" s="6"/>
      <c r="BC141" s="6" t="s">
        <v>426</v>
      </c>
      <c r="BD141" s="6">
        <v>0.2</v>
      </c>
      <c r="BE141" s="6" t="s">
        <v>426</v>
      </c>
      <c r="BF141" s="6">
        <v>12</v>
      </c>
      <c r="BG141" s="6" t="s">
        <v>426</v>
      </c>
      <c r="BH141" s="6">
        <v>0.3</v>
      </c>
      <c r="BI141" s="6" t="s">
        <v>426</v>
      </c>
      <c r="BJ141" s="6">
        <v>0.2</v>
      </c>
      <c r="BK141" s="6" t="s">
        <v>426</v>
      </c>
      <c r="BL141" s="6">
        <v>0.1</v>
      </c>
      <c r="BM141" s="6" t="s">
        <v>426</v>
      </c>
      <c r="BN141" s="6">
        <v>12</v>
      </c>
      <c r="BO141" s="6" t="s">
        <v>426</v>
      </c>
      <c r="BP141" s="6">
        <v>0.1</v>
      </c>
      <c r="BQ141" s="6" t="s">
        <v>426</v>
      </c>
      <c r="BR141" s="6">
        <v>35</v>
      </c>
      <c r="BS141" s="6" t="s">
        <v>426</v>
      </c>
      <c r="BT141" s="6">
        <v>10</v>
      </c>
      <c r="BU141" s="6" t="s">
        <v>426</v>
      </c>
      <c r="BV141" s="15">
        <v>0.2</v>
      </c>
      <c r="BW141" s="15" t="s">
        <v>428</v>
      </c>
      <c r="BX141" s="15" t="s">
        <v>429</v>
      </c>
      <c r="BY141" s="6" t="s">
        <v>430</v>
      </c>
      <c r="BZ141" s="6" t="s">
        <v>430</v>
      </c>
      <c r="CA141" s="6" t="s">
        <v>430</v>
      </c>
      <c r="CB141" s="6" t="s">
        <v>431</v>
      </c>
      <c r="CC141" s="6" t="s">
        <v>431</v>
      </c>
      <c r="CD141" s="6" t="s">
        <v>430</v>
      </c>
      <c r="CE141" s="6" t="s">
        <v>487</v>
      </c>
      <c r="CF141" s="6" t="s">
        <v>430</v>
      </c>
      <c r="CG141" s="6" t="s">
        <v>430</v>
      </c>
      <c r="CH141" s="6" t="s">
        <v>431</v>
      </c>
      <c r="CI141" s="6" t="s">
        <v>430</v>
      </c>
      <c r="CJ141" s="6" t="s">
        <v>486</v>
      </c>
      <c r="CK141" s="6" t="s">
        <v>430</v>
      </c>
      <c r="CL141" s="6" t="s">
        <v>431</v>
      </c>
      <c r="CM141" s="6" t="s">
        <v>486</v>
      </c>
      <c r="CN141" s="6" t="s">
        <v>431</v>
      </c>
      <c r="CO141" s="15" t="s">
        <v>430</v>
      </c>
      <c r="CP141" s="15" t="s">
        <v>432</v>
      </c>
      <c r="CQ141" s="6" t="s">
        <v>686</v>
      </c>
      <c r="CR141" s="15"/>
      <c r="CS141" s="6" t="s">
        <v>426</v>
      </c>
      <c r="CT141" s="6" t="s">
        <v>2575</v>
      </c>
      <c r="CU141" s="6" t="s">
        <v>2576</v>
      </c>
      <c r="CV141" s="6" t="s">
        <v>2577</v>
      </c>
      <c r="CW141" s="6" t="s">
        <v>2578</v>
      </c>
      <c r="CX141" s="15" t="s">
        <v>453</v>
      </c>
      <c r="CY141" s="6"/>
      <c r="CZ141" s="6"/>
      <c r="DA141" s="6"/>
      <c r="DB141" s="6"/>
      <c r="DC141" s="6"/>
      <c r="DD141" s="15"/>
      <c r="DE141" s="15" t="s">
        <v>521</v>
      </c>
      <c r="DF141" s="6" t="s">
        <v>611</v>
      </c>
      <c r="DG141" s="6">
        <v>1</v>
      </c>
      <c r="DH141" s="6">
        <v>1</v>
      </c>
      <c r="DI141" s="6">
        <v>0</v>
      </c>
      <c r="DJ141" s="6">
        <v>0</v>
      </c>
      <c r="DK141" s="6">
        <v>0</v>
      </c>
      <c r="DL141" s="6">
        <v>0</v>
      </c>
      <c r="DM141" s="6"/>
      <c r="DN141" s="6"/>
      <c r="DO141" s="6"/>
      <c r="DP141" s="6"/>
      <c r="DQ141" s="6"/>
      <c r="DR141" s="6"/>
      <c r="DS141" s="6"/>
      <c r="DT141" s="66"/>
      <c r="DU141" s="6" t="s">
        <v>438</v>
      </c>
      <c r="DV141" s="6" t="s">
        <v>426</v>
      </c>
      <c r="DW141" s="6" t="s">
        <v>439</v>
      </c>
      <c r="DX141" s="6" t="s">
        <v>491</v>
      </c>
      <c r="DY141" s="6"/>
      <c r="DZ141" s="6" t="s">
        <v>768</v>
      </c>
      <c r="EA141" s="6">
        <v>1</v>
      </c>
      <c r="EB141" s="6">
        <v>1</v>
      </c>
      <c r="EC141" s="6">
        <v>1</v>
      </c>
      <c r="ED141" s="6">
        <v>1</v>
      </c>
      <c r="EE141" s="6">
        <v>1</v>
      </c>
      <c r="EF141" s="6">
        <v>0</v>
      </c>
      <c r="EG141" s="6">
        <v>0</v>
      </c>
      <c r="EH141" s="6">
        <v>0</v>
      </c>
      <c r="EI141" s="6"/>
      <c r="EJ141" s="6" t="s">
        <v>2579</v>
      </c>
      <c r="EK141" s="6">
        <v>1</v>
      </c>
      <c r="EL141" s="6">
        <v>0</v>
      </c>
      <c r="EM141" s="6">
        <v>1</v>
      </c>
      <c r="EN141" s="6">
        <v>1</v>
      </c>
      <c r="EO141" s="6">
        <v>1</v>
      </c>
      <c r="EP141" s="6">
        <v>0</v>
      </c>
      <c r="EQ141" s="6">
        <v>0</v>
      </c>
      <c r="ER141" s="6">
        <v>0</v>
      </c>
      <c r="ES141" s="6">
        <v>0</v>
      </c>
      <c r="ET141" s="6"/>
      <c r="EU141" s="6" t="s">
        <v>494</v>
      </c>
      <c r="EV141" s="6" t="s">
        <v>554</v>
      </c>
      <c r="EW141" s="6"/>
      <c r="EX141" s="6" t="s">
        <v>2580</v>
      </c>
      <c r="EY141" s="6">
        <v>1</v>
      </c>
      <c r="EZ141" s="6">
        <v>1</v>
      </c>
      <c r="FA141" s="6">
        <v>1</v>
      </c>
      <c r="FB141" s="6">
        <v>1</v>
      </c>
      <c r="FC141" s="6">
        <v>1</v>
      </c>
      <c r="FD141" s="6">
        <v>0</v>
      </c>
      <c r="FE141" s="6">
        <v>0</v>
      </c>
      <c r="FF141" s="6">
        <v>0</v>
      </c>
      <c r="FG141" s="6"/>
      <c r="FH141" s="6" t="s">
        <v>771</v>
      </c>
      <c r="FI141" s="6">
        <v>1</v>
      </c>
      <c r="FJ141" s="6">
        <v>0</v>
      </c>
      <c r="FK141" s="6">
        <v>0</v>
      </c>
      <c r="FL141" s="6">
        <v>1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/>
      <c r="FT141" s="6" t="s">
        <v>556</v>
      </c>
      <c r="FU141" s="6" t="s">
        <v>448</v>
      </c>
      <c r="FV141" s="6"/>
      <c r="FW141" s="6" t="s">
        <v>1709</v>
      </c>
      <c r="FX141" s="15" t="s">
        <v>886</v>
      </c>
      <c r="FY141" s="6" t="s">
        <v>529</v>
      </c>
      <c r="FZ141" s="6"/>
      <c r="GA141" s="6" t="s">
        <v>528</v>
      </c>
      <c r="GB141" s="6" t="s">
        <v>501</v>
      </c>
      <c r="GC141" s="6" t="s">
        <v>453</v>
      </c>
      <c r="GD141" s="6"/>
      <c r="GE141" s="6" t="s">
        <v>454</v>
      </c>
      <c r="GF141" s="6" t="s">
        <v>2581</v>
      </c>
      <c r="GG141" s="6" t="s">
        <v>592</v>
      </c>
      <c r="GH141" s="15" t="s">
        <v>2582</v>
      </c>
      <c r="GI141" s="6" t="s">
        <v>458</v>
      </c>
      <c r="GJ141" s="6" t="s">
        <v>1015</v>
      </c>
      <c r="GK141" s="6" t="s">
        <v>460</v>
      </c>
      <c r="GL141" s="6" t="s">
        <v>959</v>
      </c>
      <c r="GM141" s="6">
        <v>1</v>
      </c>
      <c r="GN141" s="6">
        <v>1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/>
      <c r="GU141" s="6" t="s">
        <v>534</v>
      </c>
      <c r="GV141" s="6" t="s">
        <v>595</v>
      </c>
      <c r="GW141" s="6" t="s">
        <v>464</v>
      </c>
      <c r="GX141" s="6">
        <v>1</v>
      </c>
      <c r="GY141" s="6">
        <v>0</v>
      </c>
      <c r="GZ141" s="6">
        <v>0</v>
      </c>
      <c r="HA141" s="6">
        <v>0</v>
      </c>
      <c r="HB141" s="6">
        <v>0</v>
      </c>
      <c r="HC141" s="6">
        <v>0</v>
      </c>
      <c r="HD141" s="6"/>
      <c r="HE141" s="6" t="s">
        <v>1328</v>
      </c>
      <c r="HF141" s="6">
        <v>1</v>
      </c>
      <c r="HG141" s="6">
        <v>1</v>
      </c>
      <c r="HH141" s="6">
        <v>1</v>
      </c>
      <c r="HI141" s="6">
        <v>1</v>
      </c>
      <c r="HJ141" s="6">
        <v>1</v>
      </c>
      <c r="HK141" s="6">
        <v>0</v>
      </c>
      <c r="HL141" s="15"/>
      <c r="HM141" s="6" t="s">
        <v>505</v>
      </c>
      <c r="HN141" s="6"/>
      <c r="HO141" s="6" t="s">
        <v>2583</v>
      </c>
      <c r="HP141" s="6" t="s">
        <v>537</v>
      </c>
      <c r="HQ141" s="6" t="s">
        <v>1201</v>
      </c>
      <c r="HR141" s="6" t="s">
        <v>2584</v>
      </c>
      <c r="HS141" s="6" t="s">
        <v>1163</v>
      </c>
      <c r="HT141" s="6">
        <v>0</v>
      </c>
      <c r="HU141" s="6">
        <v>0</v>
      </c>
      <c r="HV141" s="6">
        <v>1</v>
      </c>
      <c r="HW141" s="6">
        <v>0</v>
      </c>
      <c r="HX141" s="6">
        <v>0</v>
      </c>
      <c r="HY141" s="6">
        <v>1</v>
      </c>
      <c r="HZ141" s="6"/>
      <c r="IA141" s="6" t="s">
        <v>112</v>
      </c>
      <c r="IB141" s="6">
        <v>0</v>
      </c>
      <c r="IC141" s="6">
        <v>1</v>
      </c>
      <c r="ID141" s="6">
        <v>0</v>
      </c>
      <c r="IE141" s="6">
        <v>0</v>
      </c>
      <c r="IF141" s="6">
        <v>0</v>
      </c>
      <c r="IG141" s="6">
        <v>0</v>
      </c>
      <c r="IH141" s="15" t="s">
        <v>2585</v>
      </c>
      <c r="II141" s="6" t="s">
        <v>426</v>
      </c>
      <c r="IJ141" s="6" t="s">
        <v>1266</v>
      </c>
      <c r="IK141" s="6">
        <v>1</v>
      </c>
      <c r="IL141" s="6">
        <v>1</v>
      </c>
      <c r="IM141" s="6">
        <v>0</v>
      </c>
      <c r="IN141" s="6"/>
      <c r="IO141" s="6" t="s">
        <v>893</v>
      </c>
      <c r="IP141" s="6">
        <v>1</v>
      </c>
      <c r="IQ141" s="6">
        <v>0</v>
      </c>
      <c r="IR141" s="6">
        <v>0</v>
      </c>
      <c r="IS141" s="6">
        <v>1</v>
      </c>
      <c r="IT141" s="6">
        <v>0</v>
      </c>
      <c r="IU141" s="6">
        <v>0</v>
      </c>
      <c r="IV141" s="6"/>
      <c r="IW141" s="6" t="s">
        <v>426</v>
      </c>
      <c r="IX141" s="6">
        <v>1</v>
      </c>
      <c r="IY141" s="6" t="s">
        <v>510</v>
      </c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 t="s">
        <v>426</v>
      </c>
      <c r="JL141" s="6" t="s">
        <v>453</v>
      </c>
      <c r="JM141" s="6" t="s">
        <v>913</v>
      </c>
      <c r="JN141" s="6">
        <v>1</v>
      </c>
      <c r="JO141" s="6">
        <v>0</v>
      </c>
      <c r="JP141" s="6">
        <v>0</v>
      </c>
      <c r="JQ141" s="6">
        <v>0</v>
      </c>
      <c r="JR141" s="6">
        <v>0</v>
      </c>
      <c r="JS141" s="6">
        <v>0</v>
      </c>
      <c r="JT141" s="6"/>
      <c r="JU141" s="6" t="s">
        <v>895</v>
      </c>
      <c r="JV141" s="15" t="s">
        <v>2586</v>
      </c>
      <c r="JW141" s="94" t="s">
        <v>2587</v>
      </c>
      <c r="JX141" s="6" t="s">
        <v>2588</v>
      </c>
      <c r="JY141" s="6">
        <v>0.8259889</v>
      </c>
      <c r="JZ141" s="6">
        <v>34.8662296</v>
      </c>
      <c r="KA141" s="6">
        <v>1740.455</v>
      </c>
      <c r="KB141" s="15">
        <v>2.478</v>
      </c>
      <c r="KC141" s="15"/>
    </row>
    <row r="142" spans="1:289">
      <c r="A142" s="6" t="s">
        <v>633</v>
      </c>
      <c r="B142" s="6" t="s">
        <v>2503</v>
      </c>
      <c r="C142" s="7" t="s">
        <v>2504</v>
      </c>
      <c r="D142" s="6" t="s">
        <v>2167</v>
      </c>
      <c r="E142" s="6" t="s">
        <v>2589</v>
      </c>
      <c r="F142" s="8" t="s">
        <v>483</v>
      </c>
      <c r="G142" s="6" t="s">
        <v>567</v>
      </c>
      <c r="H142" s="6" t="s">
        <v>517</v>
      </c>
      <c r="I142" s="15"/>
      <c r="J142" s="6" t="s">
        <v>426</v>
      </c>
      <c r="K142" s="6" t="s">
        <v>426</v>
      </c>
      <c r="L142" s="6" t="s">
        <v>426</v>
      </c>
      <c r="M142" s="6" t="s">
        <v>426</v>
      </c>
      <c r="N142" s="6" t="s">
        <v>426</v>
      </c>
      <c r="O142" s="6" t="s">
        <v>426</v>
      </c>
      <c r="P142" s="6" t="s">
        <v>426</v>
      </c>
      <c r="Q142" s="6" t="s">
        <v>426</v>
      </c>
      <c r="R142" s="6" t="s">
        <v>426</v>
      </c>
      <c r="S142" s="6" t="s">
        <v>426</v>
      </c>
      <c r="T142" s="6" t="s">
        <v>426</v>
      </c>
      <c r="U142" s="6" t="s">
        <v>426</v>
      </c>
      <c r="V142" s="6" t="s">
        <v>426</v>
      </c>
      <c r="W142" s="6" t="s">
        <v>426</v>
      </c>
      <c r="X142" s="6" t="s">
        <v>426</v>
      </c>
      <c r="Y142" s="6" t="s">
        <v>426</v>
      </c>
      <c r="Z142" s="6" t="s">
        <v>426</v>
      </c>
      <c r="AA142" s="6" t="s">
        <v>426</v>
      </c>
      <c r="AB142" s="6" t="s">
        <v>426</v>
      </c>
      <c r="AC142" s="15" t="s">
        <v>426</v>
      </c>
      <c r="AD142" s="6" t="s">
        <v>427</v>
      </c>
      <c r="AE142" s="6">
        <v>0</v>
      </c>
      <c r="AF142" s="6">
        <v>0</v>
      </c>
      <c r="AG142" s="6">
        <v>0</v>
      </c>
      <c r="AH142" s="6">
        <v>1</v>
      </c>
      <c r="AI142" s="6">
        <v>0</v>
      </c>
      <c r="AJ142" s="6">
        <v>0</v>
      </c>
      <c r="AK142" s="6">
        <v>0</v>
      </c>
      <c r="AL142" s="6">
        <v>0</v>
      </c>
      <c r="AM142" s="6"/>
      <c r="AN142" s="15"/>
      <c r="AO142" s="6" t="s">
        <v>426</v>
      </c>
      <c r="AP142" s="6" t="s">
        <v>985</v>
      </c>
      <c r="AQ142" s="6" t="s">
        <v>426</v>
      </c>
      <c r="AR142" s="6" t="s">
        <v>985</v>
      </c>
      <c r="AS142" s="6" t="s">
        <v>426</v>
      </c>
      <c r="AT142" s="6">
        <v>0.5</v>
      </c>
      <c r="AU142" s="6" t="s">
        <v>426</v>
      </c>
      <c r="AV142" s="6">
        <v>0.5</v>
      </c>
      <c r="AW142" s="6" t="s">
        <v>426</v>
      </c>
      <c r="AX142" s="6">
        <v>0.5</v>
      </c>
      <c r="AY142" s="6" t="s">
        <v>426</v>
      </c>
      <c r="AZ142" s="6">
        <v>1</v>
      </c>
      <c r="BA142" s="6" t="s">
        <v>426</v>
      </c>
      <c r="BB142" s="6">
        <v>0.2</v>
      </c>
      <c r="BC142" s="6" t="s">
        <v>426</v>
      </c>
      <c r="BD142" s="6">
        <v>0.5</v>
      </c>
      <c r="BE142" s="6" t="s">
        <v>426</v>
      </c>
      <c r="BF142" s="6">
        <v>4</v>
      </c>
      <c r="BG142" s="6" t="s">
        <v>426</v>
      </c>
      <c r="BH142" s="6">
        <v>0.2</v>
      </c>
      <c r="BI142" s="6" t="s">
        <v>426</v>
      </c>
      <c r="BJ142" s="6">
        <v>0.1</v>
      </c>
      <c r="BK142" s="6" t="s">
        <v>426</v>
      </c>
      <c r="BL142" s="6">
        <v>0.5</v>
      </c>
      <c r="BM142" s="6" t="s">
        <v>426</v>
      </c>
      <c r="BN142" s="6">
        <v>20</v>
      </c>
      <c r="BO142" s="6" t="s">
        <v>426</v>
      </c>
      <c r="BP142" s="6">
        <v>0.1</v>
      </c>
      <c r="BQ142" s="6" t="s">
        <v>426</v>
      </c>
      <c r="BR142" s="6">
        <v>30</v>
      </c>
      <c r="BS142" s="6" t="s">
        <v>426</v>
      </c>
      <c r="BT142" s="6">
        <v>2</v>
      </c>
      <c r="BU142" s="6" t="s">
        <v>426</v>
      </c>
      <c r="BV142" s="15">
        <v>0.5</v>
      </c>
      <c r="BW142" s="15" t="s">
        <v>518</v>
      </c>
      <c r="BX142" s="15" t="s">
        <v>429</v>
      </c>
      <c r="BY142" s="6" t="s">
        <v>430</v>
      </c>
      <c r="BZ142" s="6" t="s">
        <v>430</v>
      </c>
      <c r="CA142" s="6" t="s">
        <v>430</v>
      </c>
      <c r="CB142" s="6" t="s">
        <v>430</v>
      </c>
      <c r="CC142" s="6" t="s">
        <v>430</v>
      </c>
      <c r="CD142" s="6" t="s">
        <v>430</v>
      </c>
      <c r="CE142" s="6" t="s">
        <v>430</v>
      </c>
      <c r="CF142" s="6" t="s">
        <v>430</v>
      </c>
      <c r="CG142" s="6" t="s">
        <v>430</v>
      </c>
      <c r="CH142" s="6" t="s">
        <v>430</v>
      </c>
      <c r="CI142" s="6" t="s">
        <v>430</v>
      </c>
      <c r="CJ142" s="6" t="s">
        <v>430</v>
      </c>
      <c r="CK142" s="6" t="s">
        <v>430</v>
      </c>
      <c r="CL142" s="6" t="s">
        <v>430</v>
      </c>
      <c r="CM142" s="6" t="s">
        <v>430</v>
      </c>
      <c r="CN142" s="6" t="s">
        <v>430</v>
      </c>
      <c r="CO142" s="15" t="s">
        <v>430</v>
      </c>
      <c r="CP142" s="15" t="s">
        <v>636</v>
      </c>
      <c r="CQ142" s="6" t="s">
        <v>433</v>
      </c>
      <c r="CR142" s="15"/>
      <c r="CS142" s="6" t="s">
        <v>453</v>
      </c>
      <c r="CT142" s="6"/>
      <c r="CU142" s="6"/>
      <c r="CV142" s="6"/>
      <c r="CW142" s="6"/>
      <c r="CX142" s="15" t="s">
        <v>426</v>
      </c>
      <c r="CY142" s="6" t="s">
        <v>426</v>
      </c>
      <c r="CZ142" s="6" t="s">
        <v>1065</v>
      </c>
      <c r="DA142" s="6" t="s">
        <v>1111</v>
      </c>
      <c r="DB142" s="6" t="s">
        <v>1225</v>
      </c>
      <c r="DC142" s="6" t="s">
        <v>987</v>
      </c>
      <c r="DD142" s="15" t="s">
        <v>2590</v>
      </c>
      <c r="DE142" s="15" t="s">
        <v>436</v>
      </c>
      <c r="DF142" s="6" t="s">
        <v>522</v>
      </c>
      <c r="DG142" s="6">
        <v>0</v>
      </c>
      <c r="DH142" s="6">
        <v>1</v>
      </c>
      <c r="DI142" s="6">
        <v>0</v>
      </c>
      <c r="DJ142" s="6">
        <v>0</v>
      </c>
      <c r="DK142" s="6">
        <v>0</v>
      </c>
      <c r="DL142" s="6">
        <v>0</v>
      </c>
      <c r="DM142" s="6"/>
      <c r="DN142" s="6"/>
      <c r="DO142" s="6"/>
      <c r="DP142" s="6"/>
      <c r="DQ142" s="6"/>
      <c r="DR142" s="6"/>
      <c r="DS142" s="6"/>
      <c r="DT142" s="66"/>
      <c r="DU142" s="6" t="s">
        <v>523</v>
      </c>
      <c r="DV142" s="6" t="s">
        <v>426</v>
      </c>
      <c r="DW142" s="6" t="s">
        <v>439</v>
      </c>
      <c r="DX142" s="6" t="s">
        <v>440</v>
      </c>
      <c r="DY142" s="6"/>
      <c r="DZ142" s="6" t="s">
        <v>714</v>
      </c>
      <c r="EA142" s="6">
        <v>1</v>
      </c>
      <c r="EB142" s="6">
        <v>1</v>
      </c>
      <c r="EC142" s="6">
        <v>1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/>
      <c r="EJ142" s="6" t="s">
        <v>741</v>
      </c>
      <c r="EK142" s="6">
        <v>1</v>
      </c>
      <c r="EL142" s="6">
        <v>0</v>
      </c>
      <c r="EM142" s="6">
        <v>1</v>
      </c>
      <c r="EN142" s="6">
        <v>1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/>
      <c r="EU142" s="6" t="s">
        <v>443</v>
      </c>
      <c r="EV142" s="6" t="s">
        <v>554</v>
      </c>
      <c r="EW142" s="6"/>
      <c r="EX142" s="6" t="s">
        <v>1095</v>
      </c>
      <c r="EY142" s="6">
        <v>1</v>
      </c>
      <c r="EZ142" s="6">
        <v>0</v>
      </c>
      <c r="FA142" s="6">
        <v>1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/>
      <c r="FH142" s="6" t="s">
        <v>1096</v>
      </c>
      <c r="FI142" s="6">
        <v>1</v>
      </c>
      <c r="FJ142" s="6">
        <v>0</v>
      </c>
      <c r="FK142" s="6">
        <v>0</v>
      </c>
      <c r="FL142" s="6">
        <v>1</v>
      </c>
      <c r="FM142" s="6">
        <v>1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/>
      <c r="FT142" s="6" t="s">
        <v>2172</v>
      </c>
      <c r="FU142" s="6" t="s">
        <v>743</v>
      </c>
      <c r="FV142" s="6" t="s">
        <v>2591</v>
      </c>
      <c r="FW142" s="6" t="s">
        <v>449</v>
      </c>
      <c r="FX142" s="15" t="s">
        <v>450</v>
      </c>
      <c r="FY142" s="6" t="s">
        <v>529</v>
      </c>
      <c r="FZ142" s="6"/>
      <c r="GA142" s="6" t="s">
        <v>450</v>
      </c>
      <c r="GB142" s="6" t="s">
        <v>501</v>
      </c>
      <c r="GC142" s="6" t="s">
        <v>453</v>
      </c>
      <c r="GD142" s="6"/>
      <c r="GE142" s="6" t="s">
        <v>454</v>
      </c>
      <c r="GF142" s="6" t="s">
        <v>1497</v>
      </c>
      <c r="GG142" s="6" t="s">
        <v>456</v>
      </c>
      <c r="GH142" s="15" t="s">
        <v>2592</v>
      </c>
      <c r="GI142" s="6" t="s">
        <v>458</v>
      </c>
      <c r="GJ142" s="6" t="s">
        <v>2593</v>
      </c>
      <c r="GK142" s="6" t="s">
        <v>460</v>
      </c>
      <c r="GL142" s="6" t="s">
        <v>461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1</v>
      </c>
      <c r="GS142" s="6">
        <v>0</v>
      </c>
      <c r="GT142" s="6"/>
      <c r="GU142" s="6" t="s">
        <v>534</v>
      </c>
      <c r="GV142" s="6" t="s">
        <v>463</v>
      </c>
      <c r="GW142" s="6" t="s">
        <v>1647</v>
      </c>
      <c r="GX142" s="6">
        <v>0</v>
      </c>
      <c r="GY142" s="6">
        <v>0</v>
      </c>
      <c r="GZ142" s="6">
        <v>0</v>
      </c>
      <c r="HA142" s="6">
        <v>0</v>
      </c>
      <c r="HB142" s="6">
        <v>0</v>
      </c>
      <c r="HC142" s="6">
        <v>1</v>
      </c>
      <c r="HD142" s="6" t="s">
        <v>1102</v>
      </c>
      <c r="HE142" s="6" t="s">
        <v>1417</v>
      </c>
      <c r="HF142" s="6">
        <v>1</v>
      </c>
      <c r="HG142" s="6">
        <v>0</v>
      </c>
      <c r="HH142" s="6">
        <v>1</v>
      </c>
      <c r="HI142" s="6">
        <v>1</v>
      </c>
      <c r="HJ142" s="6">
        <v>0</v>
      </c>
      <c r="HK142" s="6">
        <v>0</v>
      </c>
      <c r="HL142" s="15"/>
      <c r="HM142" s="6" t="s">
        <v>505</v>
      </c>
      <c r="HN142" s="6"/>
      <c r="HO142" s="6" t="s">
        <v>2594</v>
      </c>
      <c r="HP142" s="6" t="s">
        <v>468</v>
      </c>
      <c r="HQ142" s="6"/>
      <c r="HR142" s="6" t="s">
        <v>2595</v>
      </c>
      <c r="HS142" s="6" t="s">
        <v>508</v>
      </c>
      <c r="HT142" s="6">
        <v>0</v>
      </c>
      <c r="HU142" s="6">
        <v>0</v>
      </c>
      <c r="HV142" s="6">
        <v>1</v>
      </c>
      <c r="HW142" s="6">
        <v>0</v>
      </c>
      <c r="HX142" s="6">
        <v>0</v>
      </c>
      <c r="HY142" s="6">
        <v>0</v>
      </c>
      <c r="HZ142" s="6"/>
      <c r="IA142" s="6" t="s">
        <v>1105</v>
      </c>
      <c r="IB142" s="6">
        <v>1</v>
      </c>
      <c r="IC142" s="6">
        <v>1</v>
      </c>
      <c r="ID142" s="6">
        <v>0</v>
      </c>
      <c r="IE142" s="6">
        <v>0</v>
      </c>
      <c r="IF142" s="6">
        <v>0</v>
      </c>
      <c r="IG142" s="6">
        <v>0</v>
      </c>
      <c r="IH142" s="15" t="s">
        <v>2596</v>
      </c>
      <c r="II142" s="6" t="s">
        <v>426</v>
      </c>
      <c r="IJ142" s="6" t="s">
        <v>472</v>
      </c>
      <c r="IK142" s="6">
        <v>1</v>
      </c>
      <c r="IL142" s="6">
        <v>0</v>
      </c>
      <c r="IM142" s="6">
        <v>0</v>
      </c>
      <c r="IN142" s="6"/>
      <c r="IO142" s="6" t="s">
        <v>473</v>
      </c>
      <c r="IP142" s="6">
        <v>1</v>
      </c>
      <c r="IQ142" s="6">
        <v>0</v>
      </c>
      <c r="IR142" s="6">
        <v>0</v>
      </c>
      <c r="IS142" s="6">
        <v>0</v>
      </c>
      <c r="IT142" s="6">
        <v>0</v>
      </c>
      <c r="IU142" s="6">
        <v>0</v>
      </c>
      <c r="IV142" s="6"/>
      <c r="IW142" s="6" t="s">
        <v>426</v>
      </c>
      <c r="IX142" s="6">
        <v>1</v>
      </c>
      <c r="IY142" s="6" t="s">
        <v>474</v>
      </c>
      <c r="IZ142" s="6" t="s">
        <v>475</v>
      </c>
      <c r="JA142" s="6" t="s">
        <v>426</v>
      </c>
      <c r="JB142" s="6" t="s">
        <v>651</v>
      </c>
      <c r="JC142" s="6"/>
      <c r="JD142" s="6"/>
      <c r="JE142" s="6"/>
      <c r="JF142" s="6"/>
      <c r="JG142" s="6"/>
      <c r="JH142" s="6"/>
      <c r="JI142" s="6"/>
      <c r="JJ142" s="6"/>
      <c r="JK142" s="6" t="s">
        <v>453</v>
      </c>
      <c r="JL142" s="6"/>
      <c r="JM142" s="6"/>
      <c r="JN142" s="6"/>
      <c r="JO142" s="6"/>
      <c r="JP142" s="6"/>
      <c r="JQ142" s="6"/>
      <c r="JR142" s="6"/>
      <c r="JS142" s="6"/>
      <c r="JT142" s="6"/>
      <c r="JU142" s="6" t="s">
        <v>511</v>
      </c>
      <c r="JV142" s="15"/>
      <c r="JW142" s="94" t="s">
        <v>2597</v>
      </c>
      <c r="JX142" s="6" t="s">
        <v>2598</v>
      </c>
      <c r="JY142" s="6">
        <v>0.8232916</v>
      </c>
      <c r="JZ142" s="6">
        <v>34.8649611</v>
      </c>
      <c r="KA142" s="6">
        <v>1741</v>
      </c>
      <c r="KB142" s="15">
        <v>4.5</v>
      </c>
      <c r="KC142" s="15"/>
    </row>
    <row r="143" spans="1:289">
      <c r="A143" s="6" t="s">
        <v>514</v>
      </c>
      <c r="B143" s="6" t="s">
        <v>2503</v>
      </c>
      <c r="C143" s="7" t="s">
        <v>2504</v>
      </c>
      <c r="D143" s="6" t="s">
        <v>2599</v>
      </c>
      <c r="E143" s="6" t="s">
        <v>2600</v>
      </c>
      <c r="F143" s="8" t="s">
        <v>423</v>
      </c>
      <c r="G143" s="6" t="s">
        <v>731</v>
      </c>
      <c r="H143" s="6" t="s">
        <v>425</v>
      </c>
      <c r="I143" s="15"/>
      <c r="J143" s="6" t="s">
        <v>426</v>
      </c>
      <c r="K143" s="6" t="s">
        <v>426</v>
      </c>
      <c r="L143" s="6" t="s">
        <v>426</v>
      </c>
      <c r="M143" s="6" t="s">
        <v>426</v>
      </c>
      <c r="N143" s="6" t="s">
        <v>426</v>
      </c>
      <c r="O143" s="6" t="s">
        <v>426</v>
      </c>
      <c r="P143" s="6" t="s">
        <v>426</v>
      </c>
      <c r="Q143" s="6" t="s">
        <v>426</v>
      </c>
      <c r="R143" s="6" t="s">
        <v>426</v>
      </c>
      <c r="S143" s="6" t="s">
        <v>426</v>
      </c>
      <c r="T143" s="6" t="s">
        <v>426</v>
      </c>
      <c r="U143" s="6" t="s">
        <v>426</v>
      </c>
      <c r="V143" s="6" t="s">
        <v>453</v>
      </c>
      <c r="W143" s="6" t="s">
        <v>453</v>
      </c>
      <c r="X143" s="6" t="s">
        <v>426</v>
      </c>
      <c r="Y143" s="6" t="s">
        <v>426</v>
      </c>
      <c r="Z143" s="6" t="s">
        <v>426</v>
      </c>
      <c r="AA143" s="6" t="s">
        <v>426</v>
      </c>
      <c r="AB143" s="6" t="s">
        <v>426</v>
      </c>
      <c r="AC143" s="15" t="s">
        <v>426</v>
      </c>
      <c r="AD143" s="6" t="s">
        <v>427</v>
      </c>
      <c r="AE143" s="6">
        <v>0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0</v>
      </c>
      <c r="AL143" s="6">
        <v>0</v>
      </c>
      <c r="AM143" s="6"/>
      <c r="AN143" s="15"/>
      <c r="AO143" s="6" t="s">
        <v>426</v>
      </c>
      <c r="AP143" s="6" t="s">
        <v>805</v>
      </c>
      <c r="AQ143" s="6" t="s">
        <v>426</v>
      </c>
      <c r="AR143" s="6" t="s">
        <v>656</v>
      </c>
      <c r="AS143" s="6" t="s">
        <v>426</v>
      </c>
      <c r="AT143" s="6">
        <v>0.75</v>
      </c>
      <c r="AU143" s="6" t="s">
        <v>453</v>
      </c>
      <c r="AV143" s="6"/>
      <c r="AW143" s="6" t="s">
        <v>426</v>
      </c>
      <c r="AX143" s="6">
        <v>0.5</v>
      </c>
      <c r="AY143" s="6" t="s">
        <v>426</v>
      </c>
      <c r="AZ143" s="6">
        <v>2</v>
      </c>
      <c r="BA143" s="6" t="s">
        <v>453</v>
      </c>
      <c r="BB143" s="6"/>
      <c r="BC143" s="6" t="s">
        <v>426</v>
      </c>
      <c r="BD143" s="6">
        <v>0.25</v>
      </c>
      <c r="BE143" s="6" t="s">
        <v>426</v>
      </c>
      <c r="BF143" s="6">
        <v>12</v>
      </c>
      <c r="BG143" s="6" t="s">
        <v>426</v>
      </c>
      <c r="BH143" s="6">
        <v>0.5</v>
      </c>
      <c r="BI143" s="6" t="s">
        <v>426</v>
      </c>
      <c r="BJ143" s="6">
        <v>0.5</v>
      </c>
      <c r="BK143" s="6" t="s">
        <v>426</v>
      </c>
      <c r="BL143" s="6">
        <v>0.75</v>
      </c>
      <c r="BM143" s="6" t="s">
        <v>426</v>
      </c>
      <c r="BN143" s="6">
        <v>4</v>
      </c>
      <c r="BO143" s="6" t="s">
        <v>426</v>
      </c>
      <c r="BP143" s="6">
        <v>0.25</v>
      </c>
      <c r="BQ143" s="6" t="s">
        <v>426</v>
      </c>
      <c r="BR143" s="6">
        <v>70</v>
      </c>
      <c r="BS143" s="6" t="s">
        <v>426</v>
      </c>
      <c r="BT143" s="6">
        <v>8</v>
      </c>
      <c r="BU143" s="6" t="s">
        <v>426</v>
      </c>
      <c r="BV143" s="15">
        <v>0.5</v>
      </c>
      <c r="BW143" s="15" t="s">
        <v>1689</v>
      </c>
      <c r="BX143" s="15" t="s">
        <v>429</v>
      </c>
      <c r="BY143" s="6" t="s">
        <v>430</v>
      </c>
      <c r="BZ143" s="6" t="s">
        <v>430</v>
      </c>
      <c r="CA143" s="6" t="s">
        <v>430</v>
      </c>
      <c r="CB143" s="6" t="s">
        <v>487</v>
      </c>
      <c r="CC143" s="6" t="s">
        <v>430</v>
      </c>
      <c r="CD143" s="6" t="s">
        <v>430</v>
      </c>
      <c r="CE143" s="6" t="s">
        <v>430</v>
      </c>
      <c r="CF143" s="6" t="s">
        <v>430</v>
      </c>
      <c r="CG143" s="6" t="s">
        <v>430</v>
      </c>
      <c r="CH143" s="6" t="s">
        <v>430</v>
      </c>
      <c r="CI143" s="6" t="s">
        <v>430</v>
      </c>
      <c r="CJ143" s="6" t="s">
        <v>430</v>
      </c>
      <c r="CK143" s="6" t="s">
        <v>430</v>
      </c>
      <c r="CL143" s="6" t="s">
        <v>430</v>
      </c>
      <c r="CM143" s="6" t="s">
        <v>430</v>
      </c>
      <c r="CN143" s="6" t="s">
        <v>430</v>
      </c>
      <c r="CO143" s="15" t="s">
        <v>430</v>
      </c>
      <c r="CP143" s="15" t="s">
        <v>432</v>
      </c>
      <c r="CQ143" s="6" t="s">
        <v>686</v>
      </c>
      <c r="CR143" s="15"/>
      <c r="CS143" s="6" t="s">
        <v>426</v>
      </c>
      <c r="CT143" s="6" t="s">
        <v>2601</v>
      </c>
      <c r="CU143" s="6" t="s">
        <v>734</v>
      </c>
      <c r="CV143" s="6" t="s">
        <v>845</v>
      </c>
      <c r="CW143" s="6" t="s">
        <v>1137</v>
      </c>
      <c r="CX143" s="15" t="s">
        <v>426</v>
      </c>
      <c r="CY143" s="6" t="s">
        <v>426</v>
      </c>
      <c r="CZ143" s="6" t="s">
        <v>2602</v>
      </c>
      <c r="DA143" s="6" t="s">
        <v>1919</v>
      </c>
      <c r="DB143" s="6" t="s">
        <v>2603</v>
      </c>
      <c r="DC143" s="6" t="s">
        <v>1538</v>
      </c>
      <c r="DD143" s="15" t="s">
        <v>1322</v>
      </c>
      <c r="DE143" s="15" t="s">
        <v>521</v>
      </c>
      <c r="DF143" s="6" t="s">
        <v>522</v>
      </c>
      <c r="DG143" s="6">
        <v>0</v>
      </c>
      <c r="DH143" s="6">
        <v>1</v>
      </c>
      <c r="DI143" s="6">
        <v>0</v>
      </c>
      <c r="DJ143" s="6">
        <v>0</v>
      </c>
      <c r="DK143" s="6">
        <v>0</v>
      </c>
      <c r="DL143" s="6">
        <v>0</v>
      </c>
      <c r="DM143" s="6"/>
      <c r="DN143" s="6"/>
      <c r="DO143" s="6"/>
      <c r="DP143" s="6"/>
      <c r="DQ143" s="6"/>
      <c r="DR143" s="6"/>
      <c r="DS143" s="6"/>
      <c r="DT143" s="66"/>
      <c r="DU143" s="6" t="s">
        <v>438</v>
      </c>
      <c r="DV143" s="6" t="s">
        <v>426</v>
      </c>
      <c r="DW143" s="6" t="s">
        <v>439</v>
      </c>
      <c r="DX143" s="6" t="s">
        <v>440</v>
      </c>
      <c r="DY143" s="6"/>
      <c r="DZ143" s="6" t="s">
        <v>2604</v>
      </c>
      <c r="EA143" s="6">
        <v>0</v>
      </c>
      <c r="EB143" s="6">
        <v>1</v>
      </c>
      <c r="EC143" s="6">
        <v>1</v>
      </c>
      <c r="ED143" s="6">
        <v>1</v>
      </c>
      <c r="EE143" s="6">
        <v>0</v>
      </c>
      <c r="EF143" s="6">
        <v>0</v>
      </c>
      <c r="EG143" s="6">
        <v>0</v>
      </c>
      <c r="EH143" s="6">
        <v>0</v>
      </c>
      <c r="EI143" s="6"/>
      <c r="EJ143" s="6" t="s">
        <v>2605</v>
      </c>
      <c r="EK143" s="6">
        <v>0</v>
      </c>
      <c r="EL143" s="6">
        <v>0</v>
      </c>
      <c r="EM143" s="6">
        <v>1</v>
      </c>
      <c r="EN143" s="6">
        <v>1</v>
      </c>
      <c r="EO143" s="6">
        <v>0</v>
      </c>
      <c r="EP143" s="6">
        <v>1</v>
      </c>
      <c r="EQ143" s="6">
        <v>0</v>
      </c>
      <c r="ER143" s="6">
        <v>0</v>
      </c>
      <c r="ES143" s="6">
        <v>0</v>
      </c>
      <c r="ET143" s="6"/>
      <c r="EU143" s="6" t="s">
        <v>494</v>
      </c>
      <c r="EV143" s="6" t="s">
        <v>495</v>
      </c>
      <c r="EW143" s="6"/>
      <c r="EX143" s="6" t="s">
        <v>1123</v>
      </c>
      <c r="EY143" s="6">
        <v>1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/>
      <c r="FH143" s="6" t="s">
        <v>618</v>
      </c>
      <c r="FI143" s="6">
        <v>0</v>
      </c>
      <c r="FJ143" s="6">
        <v>0</v>
      </c>
      <c r="FK143" s="6">
        <v>0</v>
      </c>
      <c r="FL143" s="6">
        <v>1</v>
      </c>
      <c r="FM143" s="6">
        <v>0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/>
      <c r="FT143" s="6" t="s">
        <v>447</v>
      </c>
      <c r="FU143" s="6" t="s">
        <v>448</v>
      </c>
      <c r="FV143" s="6"/>
      <c r="FW143" s="6" t="s">
        <v>449</v>
      </c>
      <c r="FX143" s="15" t="s">
        <v>450</v>
      </c>
      <c r="FY143" s="6" t="s">
        <v>1012</v>
      </c>
      <c r="FZ143" s="6"/>
      <c r="GA143" s="6" t="s">
        <v>450</v>
      </c>
      <c r="GB143" s="6" t="s">
        <v>501</v>
      </c>
      <c r="GC143" s="6" t="s">
        <v>453</v>
      </c>
      <c r="GD143" s="6"/>
      <c r="GE143" s="6" t="s">
        <v>454</v>
      </c>
      <c r="GF143" s="6" t="s">
        <v>2606</v>
      </c>
      <c r="GG143" s="6" t="s">
        <v>456</v>
      </c>
      <c r="GH143" s="15" t="s">
        <v>1737</v>
      </c>
      <c r="GI143" s="6" t="s">
        <v>458</v>
      </c>
      <c r="GJ143" s="6" t="s">
        <v>2607</v>
      </c>
      <c r="GK143" s="6" t="s">
        <v>460</v>
      </c>
      <c r="GL143" s="6" t="s">
        <v>461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1</v>
      </c>
      <c r="GS143" s="6">
        <v>0</v>
      </c>
      <c r="GT143" s="6"/>
      <c r="GU143" s="6" t="s">
        <v>462</v>
      </c>
      <c r="GV143" s="6" t="s">
        <v>463</v>
      </c>
      <c r="GW143" s="6" t="s">
        <v>961</v>
      </c>
      <c r="GX143" s="6">
        <v>0</v>
      </c>
      <c r="GY143" s="6">
        <v>0</v>
      </c>
      <c r="GZ143" s="6">
        <v>0</v>
      </c>
      <c r="HA143" s="6">
        <v>0</v>
      </c>
      <c r="HB143" s="6">
        <v>1</v>
      </c>
      <c r="HC143" s="6">
        <v>0</v>
      </c>
      <c r="HD143" s="6"/>
      <c r="HE143" s="6" t="s">
        <v>465</v>
      </c>
      <c r="HF143" s="6">
        <v>0</v>
      </c>
      <c r="HG143" s="6">
        <v>1</v>
      </c>
      <c r="HH143" s="6">
        <v>0</v>
      </c>
      <c r="HI143" s="6">
        <v>0</v>
      </c>
      <c r="HJ143" s="6">
        <v>0</v>
      </c>
      <c r="HK143" s="6">
        <v>0</v>
      </c>
      <c r="HL143" s="15"/>
      <c r="HM143" s="6" t="s">
        <v>466</v>
      </c>
      <c r="HN143" s="6"/>
      <c r="HO143" s="6" t="s">
        <v>2608</v>
      </c>
      <c r="HP143" s="6" t="s">
        <v>468</v>
      </c>
      <c r="HQ143" s="6"/>
      <c r="HR143" s="6" t="s">
        <v>2609</v>
      </c>
      <c r="HS143" s="6" t="s">
        <v>540</v>
      </c>
      <c r="HT143" s="6">
        <v>1</v>
      </c>
      <c r="HU143" s="6">
        <v>0</v>
      </c>
      <c r="HV143" s="6">
        <v>0</v>
      </c>
      <c r="HW143" s="6">
        <v>0</v>
      </c>
      <c r="HX143" s="6">
        <v>0</v>
      </c>
      <c r="HY143" s="6">
        <v>0</v>
      </c>
      <c r="HZ143" s="6"/>
      <c r="IA143" s="6" t="s">
        <v>2610</v>
      </c>
      <c r="IB143" s="6">
        <v>0</v>
      </c>
      <c r="IC143" s="6">
        <v>1</v>
      </c>
      <c r="ID143" s="6">
        <v>0</v>
      </c>
      <c r="IE143" s="6">
        <v>0</v>
      </c>
      <c r="IF143" s="6">
        <v>1</v>
      </c>
      <c r="IG143" s="6">
        <v>0</v>
      </c>
      <c r="IH143" s="15" t="s">
        <v>2611</v>
      </c>
      <c r="II143" s="6" t="s">
        <v>426</v>
      </c>
      <c r="IJ143" s="6" t="s">
        <v>472</v>
      </c>
      <c r="IK143" s="6">
        <v>1</v>
      </c>
      <c r="IL143" s="6">
        <v>0</v>
      </c>
      <c r="IM143" s="6">
        <v>0</v>
      </c>
      <c r="IN143" s="6"/>
      <c r="IO143" s="6" t="s">
        <v>473</v>
      </c>
      <c r="IP143" s="6">
        <v>1</v>
      </c>
      <c r="IQ143" s="6">
        <v>0</v>
      </c>
      <c r="IR143" s="6">
        <v>0</v>
      </c>
      <c r="IS143" s="6">
        <v>0</v>
      </c>
      <c r="IT143" s="6">
        <v>0</v>
      </c>
      <c r="IU143" s="6">
        <v>0</v>
      </c>
      <c r="IV143" s="6"/>
      <c r="IW143" s="6" t="s">
        <v>426</v>
      </c>
      <c r="IX143" s="6">
        <v>1</v>
      </c>
      <c r="IY143" s="6" t="s">
        <v>474</v>
      </c>
      <c r="IZ143" s="6" t="s">
        <v>475</v>
      </c>
      <c r="JA143" s="6" t="s">
        <v>426</v>
      </c>
      <c r="JB143" s="6" t="s">
        <v>476</v>
      </c>
      <c r="JC143" s="6"/>
      <c r="JD143" s="6"/>
      <c r="JE143" s="6"/>
      <c r="JF143" s="6"/>
      <c r="JG143" s="6"/>
      <c r="JH143" s="6"/>
      <c r="JI143" s="6"/>
      <c r="JJ143" s="6"/>
      <c r="JK143" s="6" t="s">
        <v>426</v>
      </c>
      <c r="JL143" s="6" t="s">
        <v>426</v>
      </c>
      <c r="JM143" s="6"/>
      <c r="JN143" s="6"/>
      <c r="JO143" s="6"/>
      <c r="JP143" s="6"/>
      <c r="JQ143" s="6"/>
      <c r="JR143" s="6"/>
      <c r="JS143" s="6"/>
      <c r="JT143" s="6"/>
      <c r="JU143" s="6" t="s">
        <v>895</v>
      </c>
      <c r="JV143" s="15" t="s">
        <v>2612</v>
      </c>
      <c r="JW143" s="94" t="s">
        <v>2613</v>
      </c>
      <c r="JX143" s="6" t="s">
        <v>2614</v>
      </c>
      <c r="JY143" s="6">
        <v>0.8231545</v>
      </c>
      <c r="JZ143" s="6">
        <v>34.8652006</v>
      </c>
      <c r="KA143" s="6">
        <v>1727.219</v>
      </c>
      <c r="KB143" s="15">
        <v>1.04</v>
      </c>
      <c r="KC143" s="15"/>
    </row>
    <row r="144" spans="1:289">
      <c r="A144" s="6" t="s">
        <v>419</v>
      </c>
      <c r="B144" s="6" t="s">
        <v>2503</v>
      </c>
      <c r="C144" s="7" t="s">
        <v>2504</v>
      </c>
      <c r="D144" s="6" t="s">
        <v>2537</v>
      </c>
      <c r="E144" s="6" t="s">
        <v>2615</v>
      </c>
      <c r="F144" s="8" t="s">
        <v>483</v>
      </c>
      <c r="G144" s="6" t="s">
        <v>567</v>
      </c>
      <c r="H144" s="6" t="s">
        <v>425</v>
      </c>
      <c r="I144" s="15"/>
      <c r="J144" s="6" t="s">
        <v>426</v>
      </c>
      <c r="K144" s="6" t="s">
        <v>426</v>
      </c>
      <c r="L144" s="6" t="s">
        <v>426</v>
      </c>
      <c r="M144" s="6" t="s">
        <v>426</v>
      </c>
      <c r="N144" s="6" t="s">
        <v>426</v>
      </c>
      <c r="O144" s="6" t="s">
        <v>426</v>
      </c>
      <c r="P144" s="6" t="s">
        <v>426</v>
      </c>
      <c r="Q144" s="6" t="s">
        <v>426</v>
      </c>
      <c r="R144" s="6" t="s">
        <v>426</v>
      </c>
      <c r="S144" s="6" t="s">
        <v>426</v>
      </c>
      <c r="T144" s="6" t="s">
        <v>426</v>
      </c>
      <c r="U144" s="6" t="s">
        <v>426</v>
      </c>
      <c r="V144" s="6" t="s">
        <v>426</v>
      </c>
      <c r="W144" s="6" t="s">
        <v>426</v>
      </c>
      <c r="X144" s="6" t="s">
        <v>426</v>
      </c>
      <c r="Y144" s="6" t="s">
        <v>426</v>
      </c>
      <c r="Z144" s="6" t="s">
        <v>426</v>
      </c>
      <c r="AA144" s="6" t="s">
        <v>426</v>
      </c>
      <c r="AB144" s="6" t="s">
        <v>426</v>
      </c>
      <c r="AC144" s="15" t="s">
        <v>426</v>
      </c>
      <c r="AD144" s="6" t="s">
        <v>427</v>
      </c>
      <c r="AE144" s="6">
        <v>0</v>
      </c>
      <c r="AF144" s="6">
        <v>0</v>
      </c>
      <c r="AG144" s="6">
        <v>0</v>
      </c>
      <c r="AH144" s="6">
        <v>1</v>
      </c>
      <c r="AI144" s="6">
        <v>0</v>
      </c>
      <c r="AJ144" s="6">
        <v>0</v>
      </c>
      <c r="AK144" s="6">
        <v>0</v>
      </c>
      <c r="AL144" s="6">
        <v>0</v>
      </c>
      <c r="AM144" s="6"/>
      <c r="AN144" s="15"/>
      <c r="AO144" s="6" t="s">
        <v>426</v>
      </c>
      <c r="AP144" s="6" t="s">
        <v>656</v>
      </c>
      <c r="AQ144" s="6" t="s">
        <v>426</v>
      </c>
      <c r="AR144" s="6" t="s">
        <v>656</v>
      </c>
      <c r="AS144" s="6" t="s">
        <v>426</v>
      </c>
      <c r="AT144" s="6">
        <v>0.75</v>
      </c>
      <c r="AU144" s="6" t="s">
        <v>426</v>
      </c>
      <c r="AV144" s="6">
        <v>0.75</v>
      </c>
      <c r="AW144" s="6" t="s">
        <v>426</v>
      </c>
      <c r="AX144" s="6">
        <v>0.75</v>
      </c>
      <c r="AY144" s="6" t="s">
        <v>426</v>
      </c>
      <c r="AZ144" s="6">
        <v>1</v>
      </c>
      <c r="BA144" s="6" t="s">
        <v>426</v>
      </c>
      <c r="BB144" s="6">
        <v>0.75</v>
      </c>
      <c r="BC144" s="6" t="s">
        <v>426</v>
      </c>
      <c r="BD144" s="6">
        <v>0.75</v>
      </c>
      <c r="BE144" s="6" t="s">
        <v>426</v>
      </c>
      <c r="BF144" s="6">
        <v>2</v>
      </c>
      <c r="BG144" s="6" t="s">
        <v>426</v>
      </c>
      <c r="BH144" s="6">
        <v>0.75</v>
      </c>
      <c r="BI144" s="6" t="s">
        <v>426</v>
      </c>
      <c r="BJ144" s="6">
        <v>0.75</v>
      </c>
      <c r="BK144" s="6" t="s">
        <v>426</v>
      </c>
      <c r="BL144" s="6">
        <v>0.75</v>
      </c>
      <c r="BM144" s="6" t="s">
        <v>426</v>
      </c>
      <c r="BN144" s="6">
        <v>5</v>
      </c>
      <c r="BO144" s="6" t="s">
        <v>426</v>
      </c>
      <c r="BP144" s="6">
        <v>0.75</v>
      </c>
      <c r="BQ144" s="6" t="s">
        <v>426</v>
      </c>
      <c r="BR144" s="6">
        <v>20</v>
      </c>
      <c r="BS144" s="6" t="s">
        <v>426</v>
      </c>
      <c r="BT144" s="6">
        <v>5</v>
      </c>
      <c r="BU144" s="6" t="s">
        <v>426</v>
      </c>
      <c r="BV144" s="15">
        <v>0.75</v>
      </c>
      <c r="BW144" s="15" t="s">
        <v>428</v>
      </c>
      <c r="BX144" s="15" t="s">
        <v>429</v>
      </c>
      <c r="BY144" s="6" t="s">
        <v>430</v>
      </c>
      <c r="BZ144" s="6" t="s">
        <v>430</v>
      </c>
      <c r="CA144" s="6" t="s">
        <v>430</v>
      </c>
      <c r="CB144" s="6" t="s">
        <v>431</v>
      </c>
      <c r="CC144" s="6" t="s">
        <v>431</v>
      </c>
      <c r="CD144" s="6" t="s">
        <v>431</v>
      </c>
      <c r="CE144" s="6" t="s">
        <v>431</v>
      </c>
      <c r="CF144" s="6" t="s">
        <v>430</v>
      </c>
      <c r="CG144" s="6" t="s">
        <v>431</v>
      </c>
      <c r="CH144" s="6" t="s">
        <v>431</v>
      </c>
      <c r="CI144" s="6" t="s">
        <v>430</v>
      </c>
      <c r="CJ144" s="6" t="s">
        <v>430</v>
      </c>
      <c r="CK144" s="6" t="s">
        <v>430</v>
      </c>
      <c r="CL144" s="6" t="s">
        <v>430</v>
      </c>
      <c r="CM144" s="6" t="s">
        <v>430</v>
      </c>
      <c r="CN144" s="6" t="s">
        <v>431</v>
      </c>
      <c r="CO144" s="15" t="s">
        <v>431</v>
      </c>
      <c r="CP144" s="15" t="s">
        <v>432</v>
      </c>
      <c r="CQ144" s="6" t="s">
        <v>686</v>
      </c>
      <c r="CR144" s="15"/>
      <c r="CS144" s="6" t="s">
        <v>426</v>
      </c>
      <c r="CT144" s="6" t="s">
        <v>2616</v>
      </c>
      <c r="CU144" s="6" t="s">
        <v>766</v>
      </c>
      <c r="CV144" s="6" t="s">
        <v>1091</v>
      </c>
      <c r="CW144" s="6" t="s">
        <v>938</v>
      </c>
      <c r="CX144" s="15" t="s">
        <v>426</v>
      </c>
      <c r="CY144" s="6" t="s">
        <v>426</v>
      </c>
      <c r="CZ144" s="6" t="s">
        <v>1758</v>
      </c>
      <c r="DA144" s="6" t="s">
        <v>662</v>
      </c>
      <c r="DB144" s="6" t="s">
        <v>1367</v>
      </c>
      <c r="DC144" s="6" t="s">
        <v>733</v>
      </c>
      <c r="DD144" s="15" t="s">
        <v>1088</v>
      </c>
      <c r="DE144" s="15" t="s">
        <v>521</v>
      </c>
      <c r="DF144" s="6" t="s">
        <v>1955</v>
      </c>
      <c r="DG144" s="6">
        <v>1</v>
      </c>
      <c r="DH144" s="6">
        <v>0</v>
      </c>
      <c r="DI144" s="6">
        <v>0</v>
      </c>
      <c r="DJ144" s="6">
        <v>0</v>
      </c>
      <c r="DK144" s="6">
        <v>1</v>
      </c>
      <c r="DL144" s="6">
        <v>0</v>
      </c>
      <c r="DM144" s="6"/>
      <c r="DN144" s="6"/>
      <c r="DO144" s="6"/>
      <c r="DP144" s="6"/>
      <c r="DQ144" s="6"/>
      <c r="DR144" s="6"/>
      <c r="DS144" s="6"/>
      <c r="DT144" s="66"/>
      <c r="DU144" s="6" t="s">
        <v>438</v>
      </c>
      <c r="DV144" s="6" t="s">
        <v>426</v>
      </c>
      <c r="DW144" s="6" t="s">
        <v>439</v>
      </c>
      <c r="DX144" s="6" t="s">
        <v>491</v>
      </c>
      <c r="DY144" s="6"/>
      <c r="DZ144" s="6" t="s">
        <v>940</v>
      </c>
      <c r="EA144" s="6">
        <v>1</v>
      </c>
      <c r="EB144" s="6">
        <v>1</v>
      </c>
      <c r="EC144" s="6">
        <v>1</v>
      </c>
      <c r="ED144" s="6">
        <v>1</v>
      </c>
      <c r="EE144" s="6">
        <v>0</v>
      </c>
      <c r="EF144" s="6">
        <v>0</v>
      </c>
      <c r="EG144" s="6">
        <v>0</v>
      </c>
      <c r="EH144" s="6">
        <v>0</v>
      </c>
      <c r="EI144" s="6"/>
      <c r="EJ144" s="6" t="s">
        <v>697</v>
      </c>
      <c r="EK144" s="6">
        <v>1</v>
      </c>
      <c r="EL144" s="6">
        <v>1</v>
      </c>
      <c r="EM144" s="6">
        <v>1</v>
      </c>
      <c r="EN144" s="6">
        <v>1</v>
      </c>
      <c r="EO144" s="6">
        <v>1</v>
      </c>
      <c r="EP144" s="6">
        <v>1</v>
      </c>
      <c r="EQ144" s="6">
        <v>0</v>
      </c>
      <c r="ER144" s="6">
        <v>0</v>
      </c>
      <c r="ES144" s="6">
        <v>0</v>
      </c>
      <c r="ET144" s="6"/>
      <c r="EU144" s="6" t="s">
        <v>494</v>
      </c>
      <c r="EV144" s="6" t="s">
        <v>495</v>
      </c>
      <c r="EW144" s="6"/>
      <c r="EX144" s="6" t="s">
        <v>445</v>
      </c>
      <c r="EY144" s="6">
        <v>0</v>
      </c>
      <c r="EZ144" s="6">
        <v>0</v>
      </c>
      <c r="FA144" s="6">
        <v>1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/>
      <c r="FH144" s="6" t="s">
        <v>812</v>
      </c>
      <c r="FI144" s="6">
        <v>1</v>
      </c>
      <c r="FJ144" s="6">
        <v>0</v>
      </c>
      <c r="FK144" s="6">
        <v>0</v>
      </c>
      <c r="FL144" s="6">
        <v>0</v>
      </c>
      <c r="FM144" s="6">
        <v>0</v>
      </c>
      <c r="FN144" s="6">
        <v>0</v>
      </c>
      <c r="FO144" s="6">
        <v>0</v>
      </c>
      <c r="FP144" s="6">
        <v>0</v>
      </c>
      <c r="FQ144" s="6">
        <v>0</v>
      </c>
      <c r="FR144" s="6">
        <v>0</v>
      </c>
      <c r="FS144" s="6"/>
      <c r="FT144" s="6" t="s">
        <v>447</v>
      </c>
      <c r="FU144" s="6" t="s">
        <v>448</v>
      </c>
      <c r="FV144" s="6"/>
      <c r="FW144" s="6" t="s">
        <v>449</v>
      </c>
      <c r="FX144" s="15" t="s">
        <v>528</v>
      </c>
      <c r="FY144" s="6" t="s">
        <v>451</v>
      </c>
      <c r="FZ144" s="6"/>
      <c r="GA144" s="6" t="s">
        <v>528</v>
      </c>
      <c r="GB144" s="6" t="s">
        <v>452</v>
      </c>
      <c r="GC144" s="6" t="s">
        <v>453</v>
      </c>
      <c r="GD144" s="6"/>
      <c r="GE144" s="6" t="s">
        <v>454</v>
      </c>
      <c r="GF144" s="6" t="s">
        <v>2617</v>
      </c>
      <c r="GG144" s="6" t="s">
        <v>456</v>
      </c>
      <c r="GH144" s="15" t="s">
        <v>2618</v>
      </c>
      <c r="GI144" s="6" t="s">
        <v>701</v>
      </c>
      <c r="GJ144" s="6" t="s">
        <v>2619</v>
      </c>
      <c r="GK144" s="6" t="s">
        <v>703</v>
      </c>
      <c r="GL144" s="6" t="s">
        <v>720</v>
      </c>
      <c r="GM144" s="6">
        <v>1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/>
      <c r="GU144" s="6" t="s">
        <v>462</v>
      </c>
      <c r="GV144" s="6" t="s">
        <v>463</v>
      </c>
      <c r="GW144" s="6" t="s">
        <v>464</v>
      </c>
      <c r="GX144" s="6">
        <v>1</v>
      </c>
      <c r="GY144" s="6">
        <v>0</v>
      </c>
      <c r="GZ144" s="6">
        <v>0</v>
      </c>
      <c r="HA144" s="6">
        <v>0</v>
      </c>
      <c r="HB144" s="6">
        <v>0</v>
      </c>
      <c r="HC144" s="6">
        <v>0</v>
      </c>
      <c r="HD144" s="6"/>
      <c r="HE144" s="6" t="s">
        <v>535</v>
      </c>
      <c r="HF144" s="6">
        <v>1</v>
      </c>
      <c r="HG144" s="6">
        <v>0</v>
      </c>
      <c r="HH144" s="6">
        <v>0</v>
      </c>
      <c r="HI144" s="6">
        <v>0</v>
      </c>
      <c r="HJ144" s="6">
        <v>0</v>
      </c>
      <c r="HK144" s="6">
        <v>0</v>
      </c>
      <c r="HL144" s="15"/>
      <c r="HM144" s="6" t="s">
        <v>466</v>
      </c>
      <c r="HN144" s="6"/>
      <c r="HO144" s="6" t="s">
        <v>2620</v>
      </c>
      <c r="HP144" s="6" t="s">
        <v>468</v>
      </c>
      <c r="HQ144" s="6"/>
      <c r="HR144" s="6" t="s">
        <v>2621</v>
      </c>
      <c r="HS144" s="6" t="s">
        <v>470</v>
      </c>
      <c r="HT144" s="6">
        <v>0</v>
      </c>
      <c r="HU144" s="6">
        <v>0</v>
      </c>
      <c r="HV144" s="6">
        <v>0</v>
      </c>
      <c r="HW144" s="6">
        <v>0</v>
      </c>
      <c r="HX144" s="6">
        <v>1</v>
      </c>
      <c r="HY144" s="6">
        <v>0</v>
      </c>
      <c r="HZ144" s="6"/>
      <c r="IA144" s="6" t="s">
        <v>541</v>
      </c>
      <c r="IB144" s="6">
        <v>0</v>
      </c>
      <c r="IC144" s="6">
        <v>0</v>
      </c>
      <c r="ID144" s="6">
        <v>1</v>
      </c>
      <c r="IE144" s="6">
        <v>0</v>
      </c>
      <c r="IF144" s="6">
        <v>0</v>
      </c>
      <c r="IG144" s="6">
        <v>0</v>
      </c>
      <c r="IH144" s="15" t="s">
        <v>2622</v>
      </c>
      <c r="II144" s="6" t="s">
        <v>426</v>
      </c>
      <c r="IJ144" s="6" t="s">
        <v>472</v>
      </c>
      <c r="IK144" s="6">
        <v>1</v>
      </c>
      <c r="IL144" s="6">
        <v>0</v>
      </c>
      <c r="IM144" s="6">
        <v>0</v>
      </c>
      <c r="IN144" s="6"/>
      <c r="IO144" s="6" t="s">
        <v>473</v>
      </c>
      <c r="IP144" s="6">
        <v>1</v>
      </c>
      <c r="IQ144" s="6">
        <v>0</v>
      </c>
      <c r="IR144" s="6">
        <v>0</v>
      </c>
      <c r="IS144" s="6">
        <v>0</v>
      </c>
      <c r="IT144" s="6">
        <v>0</v>
      </c>
      <c r="IU144" s="6">
        <v>0</v>
      </c>
      <c r="IV144" s="6"/>
      <c r="IW144" s="6" t="s">
        <v>426</v>
      </c>
      <c r="IX144" s="6">
        <v>1</v>
      </c>
      <c r="IY144" s="6" t="s">
        <v>474</v>
      </c>
      <c r="IZ144" s="6" t="s">
        <v>475</v>
      </c>
      <c r="JA144" s="6" t="s">
        <v>426</v>
      </c>
      <c r="JB144" s="6" t="s">
        <v>476</v>
      </c>
      <c r="JC144" s="6"/>
      <c r="JD144" s="6"/>
      <c r="JE144" s="6"/>
      <c r="JF144" s="6"/>
      <c r="JG144" s="6"/>
      <c r="JH144" s="6"/>
      <c r="JI144" s="6"/>
      <c r="JJ144" s="6"/>
      <c r="JK144" s="6" t="s">
        <v>426</v>
      </c>
      <c r="JL144" s="6" t="s">
        <v>426</v>
      </c>
      <c r="JM144" s="6"/>
      <c r="JN144" s="6"/>
      <c r="JO144" s="6"/>
      <c r="JP144" s="6"/>
      <c r="JQ144" s="6"/>
      <c r="JR144" s="6"/>
      <c r="JS144" s="6"/>
      <c r="JT144" s="6"/>
      <c r="JU144" s="6" t="s">
        <v>477</v>
      </c>
      <c r="JV144" s="15"/>
      <c r="JW144" s="94" t="s">
        <v>2623</v>
      </c>
      <c r="JX144" s="6" t="s">
        <v>2624</v>
      </c>
      <c r="JY144" s="6">
        <v>0.825995</v>
      </c>
      <c r="JZ144" s="6">
        <v>34.8661467</v>
      </c>
      <c r="KA144" s="6">
        <v>1755.3</v>
      </c>
      <c r="KB144" s="15">
        <v>2.55</v>
      </c>
      <c r="KC144" s="15"/>
    </row>
    <row r="145" spans="1:289">
      <c r="A145" s="6" t="s">
        <v>480</v>
      </c>
      <c r="B145" s="6" t="s">
        <v>2503</v>
      </c>
      <c r="C145" s="7" t="s">
        <v>2504</v>
      </c>
      <c r="D145" s="6" t="s">
        <v>2527</v>
      </c>
      <c r="E145" s="6" t="s">
        <v>2625</v>
      </c>
      <c r="F145" s="8" t="s">
        <v>483</v>
      </c>
      <c r="G145" s="6" t="s">
        <v>424</v>
      </c>
      <c r="H145" s="6" t="s">
        <v>425</v>
      </c>
      <c r="I145" s="15"/>
      <c r="J145" s="6" t="s">
        <v>426</v>
      </c>
      <c r="K145" s="6" t="s">
        <v>426</v>
      </c>
      <c r="L145" s="6" t="s">
        <v>426</v>
      </c>
      <c r="M145" s="6" t="s">
        <v>453</v>
      </c>
      <c r="N145" s="6" t="s">
        <v>426</v>
      </c>
      <c r="O145" s="6" t="s">
        <v>426</v>
      </c>
      <c r="P145" s="6" t="s">
        <v>453</v>
      </c>
      <c r="Q145" s="6" t="s">
        <v>453</v>
      </c>
      <c r="R145" s="6" t="s">
        <v>426</v>
      </c>
      <c r="S145" s="6" t="s">
        <v>426</v>
      </c>
      <c r="T145" s="6" t="s">
        <v>426</v>
      </c>
      <c r="U145" s="6" t="s">
        <v>426</v>
      </c>
      <c r="V145" s="6" t="s">
        <v>426</v>
      </c>
      <c r="W145" s="6" t="s">
        <v>426</v>
      </c>
      <c r="X145" s="6" t="s">
        <v>426</v>
      </c>
      <c r="Y145" s="6" t="s">
        <v>426</v>
      </c>
      <c r="Z145" s="6" t="s">
        <v>426</v>
      </c>
      <c r="AA145" s="6" t="s">
        <v>426</v>
      </c>
      <c r="AB145" s="6" t="s">
        <v>426</v>
      </c>
      <c r="AC145" s="15" t="s">
        <v>426</v>
      </c>
      <c r="AD145" s="6" t="s">
        <v>427</v>
      </c>
      <c r="AE145" s="6">
        <v>0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0</v>
      </c>
      <c r="AL145" s="6">
        <v>0</v>
      </c>
      <c r="AM145" s="6"/>
      <c r="AN145" s="15"/>
      <c r="AO145" s="6" t="s">
        <v>426</v>
      </c>
      <c r="AP145" s="6" t="s">
        <v>901</v>
      </c>
      <c r="AQ145" s="6" t="s">
        <v>426</v>
      </c>
      <c r="AR145" s="6" t="s">
        <v>901</v>
      </c>
      <c r="AS145" s="6" t="s">
        <v>426</v>
      </c>
      <c r="AT145" s="6">
        <v>0.2</v>
      </c>
      <c r="AU145" s="6" t="s">
        <v>453</v>
      </c>
      <c r="AV145" s="6"/>
      <c r="AW145" s="6" t="s">
        <v>426</v>
      </c>
      <c r="AX145" s="6">
        <v>0.2</v>
      </c>
      <c r="AY145" s="6" t="s">
        <v>426</v>
      </c>
      <c r="AZ145" s="6">
        <v>1</v>
      </c>
      <c r="BA145" s="6" t="s">
        <v>426</v>
      </c>
      <c r="BB145" s="6">
        <v>0.4</v>
      </c>
      <c r="BC145" s="6" t="s">
        <v>453</v>
      </c>
      <c r="BD145" s="6"/>
      <c r="BE145" s="6" t="s">
        <v>453</v>
      </c>
      <c r="BF145" s="6"/>
      <c r="BG145" s="6" t="s">
        <v>453</v>
      </c>
      <c r="BH145" s="6"/>
      <c r="BI145" s="6" t="s">
        <v>426</v>
      </c>
      <c r="BJ145" s="6">
        <v>0.4</v>
      </c>
      <c r="BK145" s="6" t="s">
        <v>426</v>
      </c>
      <c r="BL145" s="6">
        <v>0.2</v>
      </c>
      <c r="BM145" s="6" t="s">
        <v>426</v>
      </c>
      <c r="BN145" s="6">
        <v>20</v>
      </c>
      <c r="BO145" s="6" t="s">
        <v>426</v>
      </c>
      <c r="BP145" s="6">
        <v>0.8</v>
      </c>
      <c r="BQ145" s="6" t="s">
        <v>426</v>
      </c>
      <c r="BR145" s="6">
        <v>20</v>
      </c>
      <c r="BS145" s="6" t="s">
        <v>453</v>
      </c>
      <c r="BT145" s="6"/>
      <c r="BU145" s="6" t="s">
        <v>426</v>
      </c>
      <c r="BV145" s="15">
        <v>0.2</v>
      </c>
      <c r="BW145" s="15" t="s">
        <v>518</v>
      </c>
      <c r="BX145" s="15" t="s">
        <v>786</v>
      </c>
      <c r="BY145" s="6" t="s">
        <v>430</v>
      </c>
      <c r="BZ145" s="6" t="s">
        <v>430</v>
      </c>
      <c r="CA145" s="6" t="s">
        <v>430</v>
      </c>
      <c r="CB145" s="6" t="s">
        <v>487</v>
      </c>
      <c r="CC145" s="6" t="s">
        <v>431</v>
      </c>
      <c r="CD145" s="6" t="s">
        <v>430</v>
      </c>
      <c r="CE145" s="6" t="s">
        <v>430</v>
      </c>
      <c r="CF145" s="6" t="s">
        <v>609</v>
      </c>
      <c r="CG145" s="6" t="s">
        <v>487</v>
      </c>
      <c r="CH145" s="6" t="s">
        <v>430</v>
      </c>
      <c r="CI145" s="6" t="s">
        <v>430</v>
      </c>
      <c r="CJ145" s="6" t="s">
        <v>430</v>
      </c>
      <c r="CK145" s="6" t="s">
        <v>430</v>
      </c>
      <c r="CL145" s="6" t="s">
        <v>430</v>
      </c>
      <c r="CM145" s="6" t="s">
        <v>431</v>
      </c>
      <c r="CN145" s="6" t="s">
        <v>487</v>
      </c>
      <c r="CO145" s="15" t="s">
        <v>430</v>
      </c>
      <c r="CP145" s="15" t="s">
        <v>432</v>
      </c>
      <c r="CQ145" s="6" t="s">
        <v>433</v>
      </c>
      <c r="CR145" s="15"/>
      <c r="CS145" s="6" t="s">
        <v>453</v>
      </c>
      <c r="CT145" s="6"/>
      <c r="CU145" s="6"/>
      <c r="CV145" s="6"/>
      <c r="CW145" s="6"/>
      <c r="CX145" s="15" t="s">
        <v>426</v>
      </c>
      <c r="CY145" s="6" t="s">
        <v>453</v>
      </c>
      <c r="CZ145" s="6"/>
      <c r="DA145" s="6"/>
      <c r="DB145" s="6"/>
      <c r="DC145" s="6"/>
      <c r="DD145" s="15"/>
      <c r="DE145" s="15" t="s">
        <v>436</v>
      </c>
      <c r="DF145" s="6" t="s">
        <v>437</v>
      </c>
      <c r="DG145" s="6">
        <v>1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/>
      <c r="DN145" s="6"/>
      <c r="DO145" s="6"/>
      <c r="DP145" s="6"/>
      <c r="DQ145" s="6"/>
      <c r="DR145" s="6"/>
      <c r="DS145" s="6"/>
      <c r="DT145" s="66"/>
      <c r="DU145" s="6" t="s">
        <v>438</v>
      </c>
      <c r="DV145" s="6" t="s">
        <v>426</v>
      </c>
      <c r="DW145" s="6" t="s">
        <v>1212</v>
      </c>
      <c r="DX145" s="6" t="s">
        <v>491</v>
      </c>
      <c r="DY145" s="6"/>
      <c r="DZ145" s="6" t="s">
        <v>991</v>
      </c>
      <c r="EA145" s="6">
        <v>1</v>
      </c>
      <c r="EB145" s="6">
        <v>1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/>
      <c r="EJ145" s="6" t="s">
        <v>1660</v>
      </c>
      <c r="EK145" s="6">
        <v>1</v>
      </c>
      <c r="EL145" s="6">
        <v>1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/>
      <c r="EU145" s="6" t="s">
        <v>443</v>
      </c>
      <c r="EV145" s="6" t="s">
        <v>616</v>
      </c>
      <c r="EW145" s="6"/>
      <c r="EX145" s="6" t="s">
        <v>921</v>
      </c>
      <c r="EY145" s="6">
        <v>1</v>
      </c>
      <c r="EZ145" s="6">
        <v>1</v>
      </c>
      <c r="FA145" s="6">
        <v>1</v>
      </c>
      <c r="FB145" s="6">
        <v>0</v>
      </c>
      <c r="FC145" s="6">
        <v>1</v>
      </c>
      <c r="FD145" s="6">
        <v>0</v>
      </c>
      <c r="FE145" s="6">
        <v>0</v>
      </c>
      <c r="FF145" s="6">
        <v>0</v>
      </c>
      <c r="FG145" s="6"/>
      <c r="FH145" s="6" t="s">
        <v>2626</v>
      </c>
      <c r="FI145" s="6">
        <v>1</v>
      </c>
      <c r="FJ145" s="6">
        <v>0</v>
      </c>
      <c r="FK145" s="6">
        <v>0</v>
      </c>
      <c r="FL145" s="6">
        <v>0</v>
      </c>
      <c r="FM145" s="6">
        <v>1</v>
      </c>
      <c r="FN145" s="6">
        <v>0</v>
      </c>
      <c r="FO145" s="6">
        <v>0</v>
      </c>
      <c r="FP145" s="6">
        <v>0</v>
      </c>
      <c r="FQ145" s="6">
        <v>1</v>
      </c>
      <c r="FR145" s="6">
        <v>0</v>
      </c>
      <c r="FS145" s="6"/>
      <c r="FT145" s="6" t="s">
        <v>556</v>
      </c>
      <c r="FU145" s="6" t="s">
        <v>448</v>
      </c>
      <c r="FV145" s="6"/>
      <c r="FW145" s="6" t="s">
        <v>449</v>
      </c>
      <c r="FX145" s="15" t="s">
        <v>450</v>
      </c>
      <c r="FY145" s="6" t="s">
        <v>619</v>
      </c>
      <c r="FZ145" s="6"/>
      <c r="GA145" s="6" t="s">
        <v>450</v>
      </c>
      <c r="GB145" s="6" t="s">
        <v>501</v>
      </c>
      <c r="GC145" s="6" t="s">
        <v>453</v>
      </c>
      <c r="GD145" s="6"/>
      <c r="GE145" s="6" t="s">
        <v>454</v>
      </c>
      <c r="GF145" s="6" t="s">
        <v>2627</v>
      </c>
      <c r="GG145" s="6" t="s">
        <v>456</v>
      </c>
      <c r="GH145" s="15" t="s">
        <v>2628</v>
      </c>
      <c r="GI145" s="6" t="s">
        <v>458</v>
      </c>
      <c r="GJ145" s="6" t="s">
        <v>2629</v>
      </c>
      <c r="GK145" s="6" t="s">
        <v>460</v>
      </c>
      <c r="GL145" s="6" t="s">
        <v>461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1</v>
      </c>
      <c r="GS145" s="6">
        <v>0</v>
      </c>
      <c r="GT145" s="6"/>
      <c r="GU145" s="6" t="s">
        <v>534</v>
      </c>
      <c r="GV145" s="6" t="s">
        <v>595</v>
      </c>
      <c r="GW145" s="6" t="s">
        <v>2630</v>
      </c>
      <c r="GX145" s="6">
        <v>1</v>
      </c>
      <c r="GY145" s="6">
        <v>1</v>
      </c>
      <c r="GZ145" s="6">
        <v>0</v>
      </c>
      <c r="HA145" s="6">
        <v>1</v>
      </c>
      <c r="HB145" s="6">
        <v>0</v>
      </c>
      <c r="HC145" s="6">
        <v>0</v>
      </c>
      <c r="HD145" s="6"/>
      <c r="HE145" s="6" t="s">
        <v>1055</v>
      </c>
      <c r="HF145" s="6">
        <v>1</v>
      </c>
      <c r="HG145" s="6">
        <v>0</v>
      </c>
      <c r="HH145" s="6">
        <v>1</v>
      </c>
      <c r="HI145" s="6">
        <v>0</v>
      </c>
      <c r="HJ145" s="6">
        <v>0</v>
      </c>
      <c r="HK145" s="6">
        <v>0</v>
      </c>
      <c r="HL145" s="15"/>
      <c r="HM145" s="6" t="s">
        <v>505</v>
      </c>
      <c r="HN145" s="6"/>
      <c r="HO145" s="6" t="s">
        <v>2631</v>
      </c>
      <c r="HP145" s="6" t="s">
        <v>561</v>
      </c>
      <c r="HQ145" s="6"/>
      <c r="HR145" s="6" t="s">
        <v>2632</v>
      </c>
      <c r="HS145" s="6" t="s">
        <v>778</v>
      </c>
      <c r="HT145" s="6">
        <v>0</v>
      </c>
      <c r="HU145" s="6">
        <v>0</v>
      </c>
      <c r="HV145" s="6">
        <v>1</v>
      </c>
      <c r="HW145" s="6">
        <v>0</v>
      </c>
      <c r="HX145" s="6">
        <v>1</v>
      </c>
      <c r="HY145" s="6">
        <v>0</v>
      </c>
      <c r="HZ145" s="6"/>
      <c r="IA145" s="6" t="s">
        <v>2633</v>
      </c>
      <c r="IB145" s="6">
        <v>1</v>
      </c>
      <c r="IC145" s="6">
        <v>1</v>
      </c>
      <c r="ID145" s="6">
        <v>0</v>
      </c>
      <c r="IE145" s="6">
        <v>1</v>
      </c>
      <c r="IF145" s="6">
        <v>0</v>
      </c>
      <c r="IG145" s="6">
        <v>0</v>
      </c>
      <c r="IH145" s="15" t="s">
        <v>2634</v>
      </c>
      <c r="II145" s="6" t="s">
        <v>426</v>
      </c>
      <c r="IJ145" s="6" t="s">
        <v>472</v>
      </c>
      <c r="IK145" s="6">
        <v>1</v>
      </c>
      <c r="IL145" s="6">
        <v>0</v>
      </c>
      <c r="IM145" s="6">
        <v>0</v>
      </c>
      <c r="IN145" s="6"/>
      <c r="IO145" s="6" t="s">
        <v>473</v>
      </c>
      <c r="IP145" s="6">
        <v>1</v>
      </c>
      <c r="IQ145" s="6">
        <v>0</v>
      </c>
      <c r="IR145" s="6">
        <v>0</v>
      </c>
      <c r="IS145" s="6">
        <v>0</v>
      </c>
      <c r="IT145" s="6">
        <v>0</v>
      </c>
      <c r="IU145" s="6">
        <v>0</v>
      </c>
      <c r="IV145" s="6"/>
      <c r="IW145" s="6" t="s">
        <v>426</v>
      </c>
      <c r="IX145" s="6">
        <v>1</v>
      </c>
      <c r="IY145" s="6" t="s">
        <v>474</v>
      </c>
      <c r="IZ145" s="6" t="s">
        <v>475</v>
      </c>
      <c r="JA145" s="6" t="s">
        <v>426</v>
      </c>
      <c r="JB145" s="6" t="s">
        <v>476</v>
      </c>
      <c r="JC145" s="6"/>
      <c r="JD145" s="6"/>
      <c r="JE145" s="6"/>
      <c r="JF145" s="6"/>
      <c r="JG145" s="6"/>
      <c r="JH145" s="6"/>
      <c r="JI145" s="6"/>
      <c r="JJ145" s="6"/>
      <c r="JK145" s="6" t="s">
        <v>453</v>
      </c>
      <c r="JL145" s="6"/>
      <c r="JM145" s="6"/>
      <c r="JN145" s="6"/>
      <c r="JO145" s="6"/>
      <c r="JP145" s="6"/>
      <c r="JQ145" s="6"/>
      <c r="JR145" s="6"/>
      <c r="JS145" s="6"/>
      <c r="JT145" s="6"/>
      <c r="JU145" s="6" t="s">
        <v>477</v>
      </c>
      <c r="JV145" s="15"/>
      <c r="JW145" s="94" t="s">
        <v>2635</v>
      </c>
      <c r="JX145" s="6" t="s">
        <v>2636</v>
      </c>
      <c r="JY145" s="6">
        <v>0.8260298</v>
      </c>
      <c r="JZ145" s="6">
        <v>34.8660663</v>
      </c>
      <c r="KA145" s="6">
        <v>1758.3662109375</v>
      </c>
      <c r="KB145" s="15">
        <v>4.531</v>
      </c>
      <c r="KC145" s="15"/>
    </row>
    <row r="146" spans="1:289">
      <c r="A146" s="6" t="s">
        <v>547</v>
      </c>
      <c r="B146" s="6" t="s">
        <v>2503</v>
      </c>
      <c r="C146" s="7" t="s">
        <v>2504</v>
      </c>
      <c r="D146" s="6" t="s">
        <v>2167</v>
      </c>
      <c r="E146" s="6" t="s">
        <v>2637</v>
      </c>
      <c r="F146" s="8" t="s">
        <v>423</v>
      </c>
      <c r="G146" s="6" t="s">
        <v>567</v>
      </c>
      <c r="H146" s="6" t="s">
        <v>517</v>
      </c>
      <c r="I146" s="15"/>
      <c r="J146" s="6" t="s">
        <v>426</v>
      </c>
      <c r="K146" s="6" t="s">
        <v>426</v>
      </c>
      <c r="L146" s="6" t="s">
        <v>426</v>
      </c>
      <c r="M146" s="6" t="s">
        <v>426</v>
      </c>
      <c r="N146" s="6" t="s">
        <v>426</v>
      </c>
      <c r="O146" s="6" t="s">
        <v>426</v>
      </c>
      <c r="P146" s="6" t="s">
        <v>426</v>
      </c>
      <c r="Q146" s="6" t="s">
        <v>426</v>
      </c>
      <c r="R146" s="6" t="s">
        <v>426</v>
      </c>
      <c r="S146" s="6" t="s">
        <v>426</v>
      </c>
      <c r="T146" s="6" t="s">
        <v>426</v>
      </c>
      <c r="U146" s="6" t="s">
        <v>426</v>
      </c>
      <c r="V146" s="6" t="s">
        <v>426</v>
      </c>
      <c r="W146" s="6" t="s">
        <v>426</v>
      </c>
      <c r="X146" s="6" t="s">
        <v>426</v>
      </c>
      <c r="Y146" s="6" t="s">
        <v>426</v>
      </c>
      <c r="Z146" s="6" t="s">
        <v>426</v>
      </c>
      <c r="AA146" s="6" t="s">
        <v>426</v>
      </c>
      <c r="AB146" s="6" t="s">
        <v>426</v>
      </c>
      <c r="AC146" s="15" t="s">
        <v>426</v>
      </c>
      <c r="AD146" s="6" t="s">
        <v>427</v>
      </c>
      <c r="AE146" s="6">
        <v>0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0</v>
      </c>
      <c r="AL146" s="6">
        <v>0</v>
      </c>
      <c r="AM146" s="6"/>
      <c r="AN146" s="15"/>
      <c r="AO146" s="6" t="s">
        <v>426</v>
      </c>
      <c r="AP146" s="6" t="s">
        <v>683</v>
      </c>
      <c r="AQ146" s="6" t="s">
        <v>426</v>
      </c>
      <c r="AR146" s="6" t="s">
        <v>683</v>
      </c>
      <c r="AS146" s="6" t="s">
        <v>426</v>
      </c>
      <c r="AT146" s="6">
        <v>0.2</v>
      </c>
      <c r="AU146" s="6" t="s">
        <v>453</v>
      </c>
      <c r="AV146" s="6"/>
      <c r="AW146" s="6" t="s">
        <v>426</v>
      </c>
      <c r="AX146" s="6">
        <v>0.2</v>
      </c>
      <c r="AY146" s="6" t="s">
        <v>426</v>
      </c>
      <c r="AZ146" s="6">
        <v>1</v>
      </c>
      <c r="BA146" s="6" t="s">
        <v>453</v>
      </c>
      <c r="BB146" s="6"/>
      <c r="BC146" s="6" t="s">
        <v>426</v>
      </c>
      <c r="BD146" s="6">
        <v>0.4</v>
      </c>
      <c r="BE146" s="6" t="s">
        <v>426</v>
      </c>
      <c r="BF146" s="6">
        <v>1</v>
      </c>
      <c r="BG146" s="6" t="s">
        <v>426</v>
      </c>
      <c r="BH146" s="6">
        <v>0.2</v>
      </c>
      <c r="BI146" s="6" t="s">
        <v>426</v>
      </c>
      <c r="BJ146" s="6">
        <v>0.4</v>
      </c>
      <c r="BK146" s="6" t="s">
        <v>453</v>
      </c>
      <c r="BL146" s="6"/>
      <c r="BM146" s="6" t="s">
        <v>426</v>
      </c>
      <c r="BN146" s="6">
        <v>8</v>
      </c>
      <c r="BO146" s="6" t="s">
        <v>426</v>
      </c>
      <c r="BP146" s="6">
        <v>0.2</v>
      </c>
      <c r="BQ146" s="6" t="s">
        <v>426</v>
      </c>
      <c r="BR146" s="6">
        <v>35</v>
      </c>
      <c r="BS146" s="6" t="s">
        <v>426</v>
      </c>
      <c r="BT146" s="6">
        <v>15</v>
      </c>
      <c r="BU146" s="6" t="s">
        <v>426</v>
      </c>
      <c r="BV146" s="15">
        <v>0.8</v>
      </c>
      <c r="BW146" s="15" t="s">
        <v>880</v>
      </c>
      <c r="BX146" s="15" t="s">
        <v>1064</v>
      </c>
      <c r="BY146" s="6" t="s">
        <v>430</v>
      </c>
      <c r="BZ146" s="6" t="s">
        <v>430</v>
      </c>
      <c r="CA146" s="6" t="s">
        <v>430</v>
      </c>
      <c r="CB146" s="6" t="s">
        <v>1189</v>
      </c>
      <c r="CC146" s="6" t="s">
        <v>430</v>
      </c>
      <c r="CD146" s="6" t="s">
        <v>430</v>
      </c>
      <c r="CE146" s="6" t="s">
        <v>431</v>
      </c>
      <c r="CF146" s="6" t="s">
        <v>430</v>
      </c>
      <c r="CG146" s="6" t="s">
        <v>430</v>
      </c>
      <c r="CH146" s="6" t="s">
        <v>430</v>
      </c>
      <c r="CI146" s="6" t="s">
        <v>430</v>
      </c>
      <c r="CJ146" s="6" t="s">
        <v>430</v>
      </c>
      <c r="CK146" s="6" t="s">
        <v>430</v>
      </c>
      <c r="CL146" s="6" t="s">
        <v>430</v>
      </c>
      <c r="CM146" s="6" t="s">
        <v>430</v>
      </c>
      <c r="CN146" s="6" t="s">
        <v>430</v>
      </c>
      <c r="CO146" s="15" t="s">
        <v>430</v>
      </c>
      <c r="CP146" s="15" t="s">
        <v>432</v>
      </c>
      <c r="CQ146" s="6" t="s">
        <v>433</v>
      </c>
      <c r="CR146" s="15"/>
      <c r="CS146" s="6" t="s">
        <v>426</v>
      </c>
      <c r="CT146" s="6" t="s">
        <v>1439</v>
      </c>
      <c r="CU146" s="6" t="s">
        <v>1024</v>
      </c>
      <c r="CV146" s="6" t="s">
        <v>734</v>
      </c>
      <c r="CW146" s="6" t="s">
        <v>662</v>
      </c>
      <c r="CX146" s="15" t="s">
        <v>453</v>
      </c>
      <c r="CY146" s="6"/>
      <c r="CZ146" s="6"/>
      <c r="DA146" s="6"/>
      <c r="DB146" s="6"/>
      <c r="DC146" s="6"/>
      <c r="DD146" s="15"/>
      <c r="DE146" s="15" t="s">
        <v>436</v>
      </c>
      <c r="DF146" s="6" t="s">
        <v>1171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1</v>
      </c>
      <c r="DM146" s="6" t="s">
        <v>2638</v>
      </c>
      <c r="DN146" s="6"/>
      <c r="DO146" s="6"/>
      <c r="DP146" s="6"/>
      <c r="DQ146" s="6"/>
      <c r="DR146" s="6"/>
      <c r="DS146" s="6"/>
      <c r="DT146" s="66"/>
      <c r="DU146" s="6" t="s">
        <v>438</v>
      </c>
      <c r="DV146" s="6" t="s">
        <v>426</v>
      </c>
      <c r="DW146" s="6" t="s">
        <v>490</v>
      </c>
      <c r="DX146" s="6" t="s">
        <v>440</v>
      </c>
      <c r="DY146" s="6"/>
      <c r="DZ146" s="6" t="s">
        <v>441</v>
      </c>
      <c r="EA146" s="6">
        <v>1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/>
      <c r="EJ146" s="6" t="s">
        <v>811</v>
      </c>
      <c r="EK146" s="6">
        <v>1</v>
      </c>
      <c r="EL146" s="6">
        <v>0</v>
      </c>
      <c r="EM146" s="6">
        <v>0</v>
      </c>
      <c r="EN146" s="6">
        <v>0</v>
      </c>
      <c r="EO146" s="6">
        <v>0</v>
      </c>
      <c r="EP146" s="6">
        <v>0</v>
      </c>
      <c r="EQ146" s="6">
        <v>0</v>
      </c>
      <c r="ER146" s="6">
        <v>0</v>
      </c>
      <c r="ES146" s="6">
        <v>0</v>
      </c>
      <c r="ET146" s="6"/>
      <c r="EU146" s="6" t="s">
        <v>443</v>
      </c>
      <c r="EV146" s="6" t="s">
        <v>495</v>
      </c>
      <c r="EW146" s="6"/>
      <c r="EX146" s="6" t="s">
        <v>1095</v>
      </c>
      <c r="EY146" s="6">
        <v>1</v>
      </c>
      <c r="EZ146" s="6">
        <v>0</v>
      </c>
      <c r="FA146" s="6">
        <v>1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/>
      <c r="FH146" s="6" t="s">
        <v>2639</v>
      </c>
      <c r="FI146" s="6">
        <v>0</v>
      </c>
      <c r="FJ146" s="6">
        <v>0</v>
      </c>
      <c r="FK146" s="6">
        <v>1</v>
      </c>
      <c r="FL146" s="6">
        <v>0</v>
      </c>
      <c r="FM146" s="6">
        <v>0</v>
      </c>
      <c r="FN146" s="6">
        <v>0</v>
      </c>
      <c r="FO146" s="6">
        <v>0</v>
      </c>
      <c r="FP146" s="6">
        <v>0</v>
      </c>
      <c r="FQ146" s="6">
        <v>0</v>
      </c>
      <c r="FR146" s="6">
        <v>1</v>
      </c>
      <c r="FS146" s="6" t="s">
        <v>539</v>
      </c>
      <c r="FT146" s="6" t="s">
        <v>556</v>
      </c>
      <c r="FU146" s="6" t="s">
        <v>499</v>
      </c>
      <c r="FV146" s="6"/>
      <c r="FW146" s="6" t="s">
        <v>1124</v>
      </c>
      <c r="FX146" s="15" t="s">
        <v>450</v>
      </c>
      <c r="FY146" s="6" t="s">
        <v>451</v>
      </c>
      <c r="FZ146" s="6"/>
      <c r="GA146" s="6" t="s">
        <v>450</v>
      </c>
      <c r="GB146" s="6" t="s">
        <v>501</v>
      </c>
      <c r="GC146" s="6" t="s">
        <v>453</v>
      </c>
      <c r="GD146" s="6"/>
      <c r="GE146" s="6" t="s">
        <v>454</v>
      </c>
      <c r="GF146" s="6" t="s">
        <v>2640</v>
      </c>
      <c r="GG146" s="6" t="s">
        <v>456</v>
      </c>
      <c r="GH146" s="15" t="s">
        <v>1442</v>
      </c>
      <c r="GI146" s="6" t="s">
        <v>458</v>
      </c>
      <c r="GJ146" s="6" t="s">
        <v>2641</v>
      </c>
      <c r="GK146" s="6" t="s">
        <v>460</v>
      </c>
      <c r="GL146" s="6" t="s">
        <v>537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1</v>
      </c>
      <c r="GT146" s="6" t="s">
        <v>2642</v>
      </c>
      <c r="GU146" s="6" t="s">
        <v>534</v>
      </c>
      <c r="GV146" s="6" t="s">
        <v>595</v>
      </c>
      <c r="GW146" s="6" t="s">
        <v>464</v>
      </c>
      <c r="GX146" s="6">
        <v>1</v>
      </c>
      <c r="GY146" s="6">
        <v>0</v>
      </c>
      <c r="GZ146" s="6">
        <v>0</v>
      </c>
      <c r="HA146" s="6">
        <v>0</v>
      </c>
      <c r="HB146" s="6">
        <v>0</v>
      </c>
      <c r="HC146" s="6">
        <v>0</v>
      </c>
      <c r="HD146" s="6"/>
      <c r="HE146" s="6" t="s">
        <v>535</v>
      </c>
      <c r="HF146" s="6">
        <v>1</v>
      </c>
      <c r="HG146" s="6">
        <v>0</v>
      </c>
      <c r="HH146" s="6">
        <v>0</v>
      </c>
      <c r="HI146" s="6">
        <v>0</v>
      </c>
      <c r="HJ146" s="6">
        <v>0</v>
      </c>
      <c r="HK146" s="6">
        <v>0</v>
      </c>
      <c r="HL146" s="15"/>
      <c r="HM146" s="6" t="s">
        <v>466</v>
      </c>
      <c r="HN146" s="6"/>
      <c r="HO146" s="6" t="s">
        <v>2643</v>
      </c>
      <c r="HP146" s="6" t="s">
        <v>537</v>
      </c>
      <c r="HQ146" s="6" t="s">
        <v>2644</v>
      </c>
      <c r="HR146" s="6" t="s">
        <v>2645</v>
      </c>
      <c r="HS146" s="6" t="s">
        <v>470</v>
      </c>
      <c r="HT146" s="6">
        <v>0</v>
      </c>
      <c r="HU146" s="6">
        <v>0</v>
      </c>
      <c r="HV146" s="6">
        <v>0</v>
      </c>
      <c r="HW146" s="6">
        <v>0</v>
      </c>
      <c r="HX146" s="6">
        <v>1</v>
      </c>
      <c r="HY146" s="6">
        <v>0</v>
      </c>
      <c r="HZ146" s="6"/>
      <c r="IA146" s="6" t="s">
        <v>112</v>
      </c>
      <c r="IB146" s="6">
        <v>0</v>
      </c>
      <c r="IC146" s="6">
        <v>1</v>
      </c>
      <c r="ID146" s="6">
        <v>0</v>
      </c>
      <c r="IE146" s="6">
        <v>0</v>
      </c>
      <c r="IF146" s="6">
        <v>0</v>
      </c>
      <c r="IG146" s="6">
        <v>0</v>
      </c>
      <c r="IH146" s="15" t="s">
        <v>2646</v>
      </c>
      <c r="II146" s="6" t="s">
        <v>426</v>
      </c>
      <c r="IJ146" s="6" t="s">
        <v>472</v>
      </c>
      <c r="IK146" s="6">
        <v>1</v>
      </c>
      <c r="IL146" s="6">
        <v>0</v>
      </c>
      <c r="IM146" s="6">
        <v>0</v>
      </c>
      <c r="IN146" s="6"/>
      <c r="IO146" s="6" t="s">
        <v>473</v>
      </c>
      <c r="IP146" s="6">
        <v>1</v>
      </c>
      <c r="IQ146" s="6">
        <v>0</v>
      </c>
      <c r="IR146" s="6">
        <v>0</v>
      </c>
      <c r="IS146" s="6">
        <v>0</v>
      </c>
      <c r="IT146" s="6">
        <v>0</v>
      </c>
      <c r="IU146" s="6">
        <v>0</v>
      </c>
      <c r="IV146" s="6"/>
      <c r="IW146" s="6" t="s">
        <v>426</v>
      </c>
      <c r="IX146" s="6">
        <v>1</v>
      </c>
      <c r="IY146" s="6" t="s">
        <v>474</v>
      </c>
      <c r="IZ146" s="6" t="s">
        <v>475</v>
      </c>
      <c r="JA146" s="6" t="s">
        <v>426</v>
      </c>
      <c r="JB146" s="6" t="s">
        <v>476</v>
      </c>
      <c r="JC146" s="6"/>
      <c r="JD146" s="6"/>
      <c r="JE146" s="6"/>
      <c r="JF146" s="6"/>
      <c r="JG146" s="6"/>
      <c r="JH146" s="6"/>
      <c r="JI146" s="6"/>
      <c r="JJ146" s="6"/>
      <c r="JK146" s="6" t="s">
        <v>453</v>
      </c>
      <c r="JL146" s="6"/>
      <c r="JM146" s="6"/>
      <c r="JN146" s="6"/>
      <c r="JO146" s="6"/>
      <c r="JP146" s="6"/>
      <c r="JQ146" s="6"/>
      <c r="JR146" s="6"/>
      <c r="JS146" s="6"/>
      <c r="JT146" s="6"/>
      <c r="JU146" s="6" t="s">
        <v>477</v>
      </c>
      <c r="JV146" s="15"/>
      <c r="JW146" s="94" t="s">
        <v>2647</v>
      </c>
      <c r="JX146" s="6" t="s">
        <v>2648</v>
      </c>
      <c r="JY146" s="6">
        <v>0.8230758</v>
      </c>
      <c r="JZ146" s="6">
        <v>34.864995</v>
      </c>
      <c r="KA146" s="6">
        <v>1746.2</v>
      </c>
      <c r="KB146" s="15">
        <v>4.775</v>
      </c>
      <c r="KC146" s="15"/>
    </row>
    <row r="147" spans="1:289">
      <c r="A147" s="6" t="s">
        <v>2115</v>
      </c>
      <c r="B147" s="6" t="s">
        <v>2503</v>
      </c>
      <c r="C147" s="7" t="s">
        <v>2504</v>
      </c>
      <c r="D147" s="6" t="s">
        <v>2505</v>
      </c>
      <c r="E147" s="6" t="s">
        <v>2649</v>
      </c>
      <c r="F147" s="8" t="s">
        <v>483</v>
      </c>
      <c r="G147" s="6" t="s">
        <v>567</v>
      </c>
      <c r="H147" s="6" t="s">
        <v>425</v>
      </c>
      <c r="I147" s="15"/>
      <c r="J147" s="6" t="s">
        <v>426</v>
      </c>
      <c r="K147" s="6" t="s">
        <v>426</v>
      </c>
      <c r="L147" s="6" t="s">
        <v>426</v>
      </c>
      <c r="M147" s="6" t="s">
        <v>426</v>
      </c>
      <c r="N147" s="6" t="s">
        <v>426</v>
      </c>
      <c r="O147" s="6" t="s">
        <v>426</v>
      </c>
      <c r="P147" s="6" t="s">
        <v>426</v>
      </c>
      <c r="Q147" s="6" t="s">
        <v>426</v>
      </c>
      <c r="R147" s="6" t="s">
        <v>426</v>
      </c>
      <c r="S147" s="6" t="s">
        <v>426</v>
      </c>
      <c r="T147" s="6" t="s">
        <v>426</v>
      </c>
      <c r="U147" s="6" t="s">
        <v>426</v>
      </c>
      <c r="V147" s="6" t="s">
        <v>426</v>
      </c>
      <c r="W147" s="6" t="s">
        <v>426</v>
      </c>
      <c r="X147" s="6" t="s">
        <v>426</v>
      </c>
      <c r="Y147" s="6" t="s">
        <v>426</v>
      </c>
      <c r="Z147" s="6" t="s">
        <v>426</v>
      </c>
      <c r="AA147" s="6" t="s">
        <v>426</v>
      </c>
      <c r="AB147" s="6" t="s">
        <v>426</v>
      </c>
      <c r="AC147" s="15" t="s">
        <v>426</v>
      </c>
      <c r="AD147" s="6" t="s">
        <v>427</v>
      </c>
      <c r="AE147" s="6">
        <v>0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/>
      <c r="AN147" s="15"/>
      <c r="AO147" s="6" t="s">
        <v>426</v>
      </c>
      <c r="AP147" s="6" t="s">
        <v>823</v>
      </c>
      <c r="AQ147" s="6" t="s">
        <v>426</v>
      </c>
      <c r="AR147" s="6" t="s">
        <v>901</v>
      </c>
      <c r="AS147" s="6" t="s">
        <v>426</v>
      </c>
      <c r="AT147" s="6">
        <v>0.5</v>
      </c>
      <c r="AU147" s="6" t="s">
        <v>426</v>
      </c>
      <c r="AV147" s="6">
        <v>0.5</v>
      </c>
      <c r="AW147" s="6" t="s">
        <v>426</v>
      </c>
      <c r="AX147" s="6">
        <v>0.5</v>
      </c>
      <c r="AY147" s="6" t="s">
        <v>426</v>
      </c>
      <c r="AZ147" s="6">
        <v>1</v>
      </c>
      <c r="BA147" s="6" t="s">
        <v>426</v>
      </c>
      <c r="BB147" s="6">
        <v>0.5</v>
      </c>
      <c r="BC147" s="6" t="s">
        <v>426</v>
      </c>
      <c r="BD147" s="6">
        <v>0.5</v>
      </c>
      <c r="BE147" s="6" t="s">
        <v>426</v>
      </c>
      <c r="BF147" s="6">
        <v>10</v>
      </c>
      <c r="BG147" s="6" t="s">
        <v>426</v>
      </c>
      <c r="BH147" s="6">
        <v>0.125</v>
      </c>
      <c r="BI147" s="6" t="s">
        <v>426</v>
      </c>
      <c r="BJ147" s="6">
        <v>0.125</v>
      </c>
      <c r="BK147" s="6" t="s">
        <v>426</v>
      </c>
      <c r="BL147" s="6">
        <v>0.125</v>
      </c>
      <c r="BM147" s="6" t="s">
        <v>426</v>
      </c>
      <c r="BN147" s="6">
        <v>30</v>
      </c>
      <c r="BO147" s="6" t="s">
        <v>426</v>
      </c>
      <c r="BP147" s="6">
        <v>0.2</v>
      </c>
      <c r="BQ147" s="6" t="s">
        <v>426</v>
      </c>
      <c r="BR147" s="6">
        <v>50</v>
      </c>
      <c r="BS147" s="6" t="s">
        <v>426</v>
      </c>
      <c r="BT147" s="6">
        <v>1</v>
      </c>
      <c r="BU147" s="6" t="s">
        <v>426</v>
      </c>
      <c r="BV147" s="15">
        <v>0.5</v>
      </c>
      <c r="BW147" s="15" t="s">
        <v>550</v>
      </c>
      <c r="BX147" s="15" t="s">
        <v>429</v>
      </c>
      <c r="BY147" s="6" t="s">
        <v>430</v>
      </c>
      <c r="BZ147" s="6" t="s">
        <v>430</v>
      </c>
      <c r="CA147" s="6" t="s">
        <v>430</v>
      </c>
      <c r="CB147" s="6" t="s">
        <v>430</v>
      </c>
      <c r="CC147" s="6" t="s">
        <v>430</v>
      </c>
      <c r="CD147" s="6" t="s">
        <v>430</v>
      </c>
      <c r="CE147" s="6" t="s">
        <v>430</v>
      </c>
      <c r="CF147" s="6" t="s">
        <v>430</v>
      </c>
      <c r="CG147" s="6" t="s">
        <v>430</v>
      </c>
      <c r="CH147" s="6" t="s">
        <v>430</v>
      </c>
      <c r="CI147" s="6" t="s">
        <v>430</v>
      </c>
      <c r="CJ147" s="6" t="s">
        <v>430</v>
      </c>
      <c r="CK147" s="6" t="s">
        <v>430</v>
      </c>
      <c r="CL147" s="6" t="s">
        <v>430</v>
      </c>
      <c r="CM147" s="6" t="s">
        <v>430</v>
      </c>
      <c r="CN147" s="6" t="s">
        <v>430</v>
      </c>
      <c r="CO147" s="15" t="s">
        <v>430</v>
      </c>
      <c r="CP147" s="15" t="s">
        <v>432</v>
      </c>
      <c r="CQ147" s="6" t="s">
        <v>433</v>
      </c>
      <c r="CR147" s="15"/>
      <c r="CS147" s="6" t="s">
        <v>426</v>
      </c>
      <c r="CT147" s="6" t="s">
        <v>1917</v>
      </c>
      <c r="CU147" s="6" t="s">
        <v>683</v>
      </c>
      <c r="CV147" s="6" t="s">
        <v>660</v>
      </c>
      <c r="CW147" s="6" t="s">
        <v>662</v>
      </c>
      <c r="CX147" s="15" t="s">
        <v>453</v>
      </c>
      <c r="CY147" s="6"/>
      <c r="CZ147" s="6"/>
      <c r="DA147" s="6"/>
      <c r="DB147" s="6"/>
      <c r="DC147" s="6"/>
      <c r="DD147" s="15"/>
      <c r="DE147" s="15" t="s">
        <v>436</v>
      </c>
      <c r="DF147" s="6" t="s">
        <v>522</v>
      </c>
      <c r="DG147" s="6">
        <v>0</v>
      </c>
      <c r="DH147" s="6">
        <v>1</v>
      </c>
      <c r="DI147" s="6">
        <v>0</v>
      </c>
      <c r="DJ147" s="6">
        <v>0</v>
      </c>
      <c r="DK147" s="6">
        <v>0</v>
      </c>
      <c r="DL147" s="6">
        <v>0</v>
      </c>
      <c r="DM147" s="6"/>
      <c r="DN147" s="6"/>
      <c r="DO147" s="6"/>
      <c r="DP147" s="6"/>
      <c r="DQ147" s="6"/>
      <c r="DR147" s="6"/>
      <c r="DS147" s="6"/>
      <c r="DT147" s="66"/>
      <c r="DU147" s="6" t="s">
        <v>438</v>
      </c>
      <c r="DV147" s="6" t="s">
        <v>426</v>
      </c>
      <c r="DW147" s="6" t="s">
        <v>1212</v>
      </c>
      <c r="DX147" s="6" t="s">
        <v>440</v>
      </c>
      <c r="DY147" s="6"/>
      <c r="DZ147" s="6" t="s">
        <v>441</v>
      </c>
      <c r="EA147" s="6">
        <v>1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0</v>
      </c>
      <c r="EH147" s="6">
        <v>0</v>
      </c>
      <c r="EI147" s="6"/>
      <c r="EJ147" s="6" t="s">
        <v>811</v>
      </c>
      <c r="EK147" s="6">
        <v>1</v>
      </c>
      <c r="EL147" s="6">
        <v>0</v>
      </c>
      <c r="EM147" s="6">
        <v>0</v>
      </c>
      <c r="EN147" s="6">
        <v>0</v>
      </c>
      <c r="EO147" s="6">
        <v>0</v>
      </c>
      <c r="EP147" s="6">
        <v>0</v>
      </c>
      <c r="EQ147" s="6">
        <v>0</v>
      </c>
      <c r="ER147" s="6">
        <v>0</v>
      </c>
      <c r="ES147" s="6">
        <v>0</v>
      </c>
      <c r="ET147" s="6"/>
      <c r="EU147" s="6" t="s">
        <v>443</v>
      </c>
      <c r="EV147" s="6" t="s">
        <v>588</v>
      </c>
      <c r="EW147" s="6"/>
      <c r="EX147" s="6" t="s">
        <v>1123</v>
      </c>
      <c r="EY147" s="6">
        <v>1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/>
      <c r="FH147" s="6" t="s">
        <v>1243</v>
      </c>
      <c r="FI147" s="6">
        <v>0</v>
      </c>
      <c r="FJ147" s="6">
        <v>0</v>
      </c>
      <c r="FK147" s="6">
        <v>1</v>
      </c>
      <c r="FL147" s="6">
        <v>0</v>
      </c>
      <c r="FM147" s="6">
        <v>0</v>
      </c>
      <c r="FN147" s="6">
        <v>0</v>
      </c>
      <c r="FO147" s="6">
        <v>0</v>
      </c>
      <c r="FP147" s="6">
        <v>0</v>
      </c>
      <c r="FQ147" s="6">
        <v>0</v>
      </c>
      <c r="FR147" s="6">
        <v>0</v>
      </c>
      <c r="FS147" s="6"/>
      <c r="FT147" s="6" t="s">
        <v>447</v>
      </c>
      <c r="FU147" s="6" t="s">
        <v>499</v>
      </c>
      <c r="FV147" s="6"/>
      <c r="FW147" s="6" t="s">
        <v>449</v>
      </c>
      <c r="FX147" s="15" t="s">
        <v>450</v>
      </c>
      <c r="FY147" s="6" t="s">
        <v>619</v>
      </c>
      <c r="FZ147" s="6"/>
      <c r="GA147" s="6" t="s">
        <v>450</v>
      </c>
      <c r="GB147" s="6" t="s">
        <v>501</v>
      </c>
      <c r="GC147" s="6" t="s">
        <v>453</v>
      </c>
      <c r="GD147" s="6"/>
      <c r="GE147" s="6" t="s">
        <v>454</v>
      </c>
      <c r="GF147" s="6" t="s">
        <v>2508</v>
      </c>
      <c r="GG147" s="6" t="s">
        <v>456</v>
      </c>
      <c r="GH147" s="15" t="s">
        <v>2508</v>
      </c>
      <c r="GI147" s="6" t="s">
        <v>458</v>
      </c>
      <c r="GJ147" s="6" t="s">
        <v>2650</v>
      </c>
      <c r="GK147" s="6" t="s">
        <v>460</v>
      </c>
      <c r="GL147" s="6" t="s">
        <v>461</v>
      </c>
      <c r="GM147" s="6">
        <v>0</v>
      </c>
      <c r="GN147" s="6">
        <v>0</v>
      </c>
      <c r="GO147" s="6">
        <v>0</v>
      </c>
      <c r="GP147" s="6">
        <v>0</v>
      </c>
      <c r="GQ147" s="6">
        <v>0</v>
      </c>
      <c r="GR147" s="6">
        <v>1</v>
      </c>
      <c r="GS147" s="6">
        <v>0</v>
      </c>
      <c r="GT147" s="6"/>
      <c r="GU147" s="6" t="s">
        <v>534</v>
      </c>
      <c r="GV147" s="6" t="s">
        <v>595</v>
      </c>
      <c r="GW147" s="6" t="s">
        <v>464</v>
      </c>
      <c r="GX147" s="6">
        <v>1</v>
      </c>
      <c r="GY147" s="6">
        <v>0</v>
      </c>
      <c r="GZ147" s="6">
        <v>0</v>
      </c>
      <c r="HA147" s="6">
        <v>0</v>
      </c>
      <c r="HB147" s="6">
        <v>0</v>
      </c>
      <c r="HC147" s="6">
        <v>0</v>
      </c>
      <c r="HD147" s="6"/>
      <c r="HE147" s="6" t="s">
        <v>535</v>
      </c>
      <c r="HF147" s="6">
        <v>1</v>
      </c>
      <c r="HG147" s="6">
        <v>0</v>
      </c>
      <c r="HH147" s="6">
        <v>0</v>
      </c>
      <c r="HI147" s="6">
        <v>0</v>
      </c>
      <c r="HJ147" s="6">
        <v>0</v>
      </c>
      <c r="HK147" s="6">
        <v>0</v>
      </c>
      <c r="HL147" s="15"/>
      <c r="HM147" s="6" t="s">
        <v>505</v>
      </c>
      <c r="HN147" s="6"/>
      <c r="HO147" s="6" t="s">
        <v>2651</v>
      </c>
      <c r="HP147" s="6" t="s">
        <v>561</v>
      </c>
      <c r="HQ147" s="6"/>
      <c r="HR147" s="6" t="s">
        <v>2652</v>
      </c>
      <c r="HS147" s="6" t="s">
        <v>540</v>
      </c>
      <c r="HT147" s="6">
        <v>1</v>
      </c>
      <c r="HU147" s="6">
        <v>0</v>
      </c>
      <c r="HV147" s="6">
        <v>0</v>
      </c>
      <c r="HW147" s="6">
        <v>0</v>
      </c>
      <c r="HX147" s="6">
        <v>0</v>
      </c>
      <c r="HY147" s="6">
        <v>0</v>
      </c>
      <c r="HZ147" s="6"/>
      <c r="IA147" s="6" t="s">
        <v>111</v>
      </c>
      <c r="IB147" s="6">
        <v>1</v>
      </c>
      <c r="IC147" s="6">
        <v>0</v>
      </c>
      <c r="ID147" s="6">
        <v>0</v>
      </c>
      <c r="IE147" s="6">
        <v>0</v>
      </c>
      <c r="IF147" s="6">
        <v>0</v>
      </c>
      <c r="IG147" s="6">
        <v>0</v>
      </c>
      <c r="IH147" s="15" t="s">
        <v>2653</v>
      </c>
      <c r="II147" s="6" t="s">
        <v>426</v>
      </c>
      <c r="IJ147" s="6" t="s">
        <v>543</v>
      </c>
      <c r="IK147" s="6">
        <v>0</v>
      </c>
      <c r="IL147" s="6">
        <v>1</v>
      </c>
      <c r="IM147" s="6">
        <v>0</v>
      </c>
      <c r="IN147" s="6"/>
      <c r="IO147" s="6" t="s">
        <v>473</v>
      </c>
      <c r="IP147" s="6">
        <v>1</v>
      </c>
      <c r="IQ147" s="6">
        <v>0</v>
      </c>
      <c r="IR147" s="6">
        <v>0</v>
      </c>
      <c r="IS147" s="6">
        <v>0</v>
      </c>
      <c r="IT147" s="6">
        <v>0</v>
      </c>
      <c r="IU147" s="6">
        <v>0</v>
      </c>
      <c r="IV147" s="6"/>
      <c r="IW147" s="6" t="s">
        <v>426</v>
      </c>
      <c r="IX147" s="6">
        <v>1</v>
      </c>
      <c r="IY147" s="6" t="s">
        <v>474</v>
      </c>
      <c r="IZ147" s="6" t="s">
        <v>475</v>
      </c>
      <c r="JA147" s="6" t="s">
        <v>426</v>
      </c>
      <c r="JB147" s="6" t="s">
        <v>476</v>
      </c>
      <c r="JC147" s="6"/>
      <c r="JD147" s="6"/>
      <c r="JE147" s="6"/>
      <c r="JF147" s="6"/>
      <c r="JG147" s="6"/>
      <c r="JH147" s="6"/>
      <c r="JI147" s="6"/>
      <c r="JJ147" s="6"/>
      <c r="JK147" s="6" t="s">
        <v>426</v>
      </c>
      <c r="JL147" s="6" t="s">
        <v>426</v>
      </c>
      <c r="JM147" s="6"/>
      <c r="JN147" s="6"/>
      <c r="JO147" s="6"/>
      <c r="JP147" s="6"/>
      <c r="JQ147" s="6"/>
      <c r="JR147" s="6"/>
      <c r="JS147" s="6"/>
      <c r="JT147" s="6"/>
      <c r="JU147" s="6" t="s">
        <v>544</v>
      </c>
      <c r="JV147" s="15"/>
      <c r="JW147" s="94" t="s">
        <v>2654</v>
      </c>
      <c r="JX147" s="6" t="s">
        <v>2655</v>
      </c>
      <c r="JY147" s="6">
        <v>0.8316675</v>
      </c>
      <c r="JZ147" s="6">
        <v>34.8652934</v>
      </c>
      <c r="KA147" s="6">
        <v>1749.563</v>
      </c>
      <c r="KB147" s="15">
        <v>1.8</v>
      </c>
      <c r="KC147" s="15"/>
    </row>
    <row r="148" spans="1:289">
      <c r="A148" s="6" t="s">
        <v>2115</v>
      </c>
      <c r="B148" s="6" t="s">
        <v>2503</v>
      </c>
      <c r="C148" s="7" t="s">
        <v>2504</v>
      </c>
      <c r="D148" s="6" t="s">
        <v>2505</v>
      </c>
      <c r="E148" s="6" t="s">
        <v>2656</v>
      </c>
      <c r="F148" s="8" t="s">
        <v>483</v>
      </c>
      <c r="G148" s="6" t="s">
        <v>567</v>
      </c>
      <c r="H148" s="6" t="s">
        <v>425</v>
      </c>
      <c r="I148" s="15"/>
      <c r="J148" s="6" t="s">
        <v>426</v>
      </c>
      <c r="K148" s="6" t="s">
        <v>426</v>
      </c>
      <c r="L148" s="6" t="s">
        <v>426</v>
      </c>
      <c r="M148" s="6" t="s">
        <v>426</v>
      </c>
      <c r="N148" s="6" t="s">
        <v>426</v>
      </c>
      <c r="O148" s="6" t="s">
        <v>426</v>
      </c>
      <c r="P148" s="6" t="s">
        <v>426</v>
      </c>
      <c r="Q148" s="6" t="s">
        <v>426</v>
      </c>
      <c r="R148" s="6" t="s">
        <v>426</v>
      </c>
      <c r="S148" s="6" t="s">
        <v>426</v>
      </c>
      <c r="T148" s="6" t="s">
        <v>426</v>
      </c>
      <c r="U148" s="6" t="s">
        <v>426</v>
      </c>
      <c r="V148" s="6" t="s">
        <v>426</v>
      </c>
      <c r="W148" s="6" t="s">
        <v>426</v>
      </c>
      <c r="X148" s="6" t="s">
        <v>426</v>
      </c>
      <c r="Y148" s="6" t="s">
        <v>426</v>
      </c>
      <c r="Z148" s="6" t="s">
        <v>426</v>
      </c>
      <c r="AA148" s="6" t="s">
        <v>426</v>
      </c>
      <c r="AB148" s="6" t="s">
        <v>426</v>
      </c>
      <c r="AC148" s="15" t="s">
        <v>426</v>
      </c>
      <c r="AD148" s="6" t="s">
        <v>427</v>
      </c>
      <c r="AE148" s="6">
        <v>0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0</v>
      </c>
      <c r="AL148" s="6">
        <v>0</v>
      </c>
      <c r="AM148" s="6"/>
      <c r="AN148" s="15"/>
      <c r="AO148" s="6" t="s">
        <v>426</v>
      </c>
      <c r="AP148" s="6" t="s">
        <v>658</v>
      </c>
      <c r="AQ148" s="6" t="s">
        <v>426</v>
      </c>
      <c r="AR148" s="6" t="s">
        <v>658</v>
      </c>
      <c r="AS148" s="6" t="s">
        <v>426</v>
      </c>
      <c r="AT148" s="6">
        <v>0.05</v>
      </c>
      <c r="AU148" s="6" t="s">
        <v>426</v>
      </c>
      <c r="AV148" s="6">
        <v>0.05</v>
      </c>
      <c r="AW148" s="6" t="s">
        <v>426</v>
      </c>
      <c r="AX148" s="6">
        <v>0.05</v>
      </c>
      <c r="AY148" s="6" t="s">
        <v>426</v>
      </c>
      <c r="AZ148" s="6">
        <v>1</v>
      </c>
      <c r="BA148" s="6" t="s">
        <v>426</v>
      </c>
      <c r="BB148" s="6">
        <v>0.05</v>
      </c>
      <c r="BC148" s="6" t="s">
        <v>426</v>
      </c>
      <c r="BD148" s="6">
        <v>0.05</v>
      </c>
      <c r="BE148" s="6" t="s">
        <v>426</v>
      </c>
      <c r="BF148" s="6">
        <v>6</v>
      </c>
      <c r="BG148" s="6" t="s">
        <v>426</v>
      </c>
      <c r="BH148" s="6">
        <v>0.02</v>
      </c>
      <c r="BI148" s="6" t="s">
        <v>426</v>
      </c>
      <c r="BJ148" s="6">
        <v>0.05</v>
      </c>
      <c r="BK148" s="6" t="s">
        <v>426</v>
      </c>
      <c r="BL148" s="6">
        <v>0.05</v>
      </c>
      <c r="BM148" s="6" t="s">
        <v>426</v>
      </c>
      <c r="BN148" s="6">
        <v>20</v>
      </c>
      <c r="BO148" s="6" t="s">
        <v>426</v>
      </c>
      <c r="BP148" s="6">
        <v>0.05</v>
      </c>
      <c r="BQ148" s="6" t="s">
        <v>426</v>
      </c>
      <c r="BR148" s="6">
        <v>10</v>
      </c>
      <c r="BS148" s="6" t="s">
        <v>426</v>
      </c>
      <c r="BT148" s="6">
        <v>1</v>
      </c>
      <c r="BU148" s="6" t="s">
        <v>426</v>
      </c>
      <c r="BV148" s="15">
        <v>0.5</v>
      </c>
      <c r="BW148" s="15" t="s">
        <v>2263</v>
      </c>
      <c r="BX148" s="15" t="s">
        <v>786</v>
      </c>
      <c r="BY148" s="6" t="s">
        <v>430</v>
      </c>
      <c r="BZ148" s="6" t="s">
        <v>430</v>
      </c>
      <c r="CA148" s="6" t="s">
        <v>430</v>
      </c>
      <c r="CB148" s="6" t="s">
        <v>430</v>
      </c>
      <c r="CC148" s="6" t="s">
        <v>430</v>
      </c>
      <c r="CD148" s="6" t="s">
        <v>430</v>
      </c>
      <c r="CE148" s="6" t="s">
        <v>430</v>
      </c>
      <c r="CF148" s="6" t="s">
        <v>430</v>
      </c>
      <c r="CG148" s="6" t="s">
        <v>430</v>
      </c>
      <c r="CH148" s="6" t="s">
        <v>430</v>
      </c>
      <c r="CI148" s="6" t="s">
        <v>430</v>
      </c>
      <c r="CJ148" s="6" t="s">
        <v>430</v>
      </c>
      <c r="CK148" s="6" t="s">
        <v>430</v>
      </c>
      <c r="CL148" s="6" t="s">
        <v>430</v>
      </c>
      <c r="CM148" s="6" t="s">
        <v>430</v>
      </c>
      <c r="CN148" s="6" t="s">
        <v>430</v>
      </c>
      <c r="CO148" s="15" t="s">
        <v>430</v>
      </c>
      <c r="CP148" s="15" t="s">
        <v>432</v>
      </c>
      <c r="CQ148" s="6" t="s">
        <v>433</v>
      </c>
      <c r="CR148" s="15"/>
      <c r="CS148" s="6" t="s">
        <v>426</v>
      </c>
      <c r="CT148" s="6" t="s">
        <v>1917</v>
      </c>
      <c r="CU148" s="6" t="s">
        <v>809</v>
      </c>
      <c r="CV148" s="6" t="s">
        <v>733</v>
      </c>
      <c r="CW148" s="6" t="s">
        <v>1090</v>
      </c>
      <c r="CX148" s="15" t="s">
        <v>426</v>
      </c>
      <c r="CY148" s="6" t="s">
        <v>426</v>
      </c>
      <c r="CZ148" s="6" t="s">
        <v>1917</v>
      </c>
      <c r="DA148" s="6" t="s">
        <v>766</v>
      </c>
      <c r="DB148" s="6" t="s">
        <v>1367</v>
      </c>
      <c r="DC148" s="6" t="s">
        <v>733</v>
      </c>
      <c r="DD148" s="15" t="s">
        <v>1088</v>
      </c>
      <c r="DE148" s="15" t="s">
        <v>436</v>
      </c>
      <c r="DF148" s="6" t="s">
        <v>437</v>
      </c>
      <c r="DG148" s="6">
        <v>1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/>
      <c r="DN148" s="6"/>
      <c r="DO148" s="6"/>
      <c r="DP148" s="6"/>
      <c r="DQ148" s="6"/>
      <c r="DR148" s="6"/>
      <c r="DS148" s="6"/>
      <c r="DT148" s="66"/>
      <c r="DU148" s="6" t="s">
        <v>438</v>
      </c>
      <c r="DV148" s="6" t="s">
        <v>426</v>
      </c>
      <c r="DW148" s="6" t="s">
        <v>439</v>
      </c>
      <c r="DX148" s="6" t="s">
        <v>440</v>
      </c>
      <c r="DY148" s="6"/>
      <c r="DZ148" s="6" t="s">
        <v>441</v>
      </c>
      <c r="EA148" s="6">
        <v>1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/>
      <c r="EJ148" s="6" t="s">
        <v>811</v>
      </c>
      <c r="EK148" s="6">
        <v>1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/>
      <c r="EU148" s="6" t="s">
        <v>443</v>
      </c>
      <c r="EV148" s="6" t="s">
        <v>588</v>
      </c>
      <c r="EW148" s="6"/>
      <c r="EX148" s="6" t="s">
        <v>1123</v>
      </c>
      <c r="EY148" s="6">
        <v>1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/>
      <c r="FH148" s="6" t="s">
        <v>812</v>
      </c>
      <c r="FI148" s="6">
        <v>1</v>
      </c>
      <c r="FJ148" s="6">
        <v>0</v>
      </c>
      <c r="FK148" s="6">
        <v>0</v>
      </c>
      <c r="FL148" s="6">
        <v>0</v>
      </c>
      <c r="FM148" s="6">
        <v>0</v>
      </c>
      <c r="FN148" s="6">
        <v>0</v>
      </c>
      <c r="FO148" s="6">
        <v>0</v>
      </c>
      <c r="FP148" s="6">
        <v>0</v>
      </c>
      <c r="FQ148" s="6">
        <v>0</v>
      </c>
      <c r="FR148" s="6">
        <v>0</v>
      </c>
      <c r="FS148" s="6"/>
      <c r="FT148" s="6" t="s">
        <v>447</v>
      </c>
      <c r="FU148" s="6" t="s">
        <v>499</v>
      </c>
      <c r="FV148" s="6"/>
      <c r="FW148" s="6" t="s">
        <v>449</v>
      </c>
      <c r="FX148" s="15" t="s">
        <v>450</v>
      </c>
      <c r="FY148" s="6" t="s">
        <v>619</v>
      </c>
      <c r="FZ148" s="6"/>
      <c r="GA148" s="6" t="s">
        <v>450</v>
      </c>
      <c r="GB148" s="6" t="s">
        <v>501</v>
      </c>
      <c r="GC148" s="6" t="s">
        <v>453</v>
      </c>
      <c r="GD148" s="6"/>
      <c r="GE148" s="6" t="s">
        <v>454</v>
      </c>
      <c r="GF148" s="6" t="s">
        <v>2508</v>
      </c>
      <c r="GG148" s="6" t="s">
        <v>456</v>
      </c>
      <c r="GH148" s="15" t="s">
        <v>2508</v>
      </c>
      <c r="GI148" s="6" t="s">
        <v>458</v>
      </c>
      <c r="GJ148" s="6" t="s">
        <v>2225</v>
      </c>
      <c r="GK148" s="6" t="s">
        <v>460</v>
      </c>
      <c r="GL148" s="6" t="s">
        <v>461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1</v>
      </c>
      <c r="GS148" s="6">
        <v>0</v>
      </c>
      <c r="GT148" s="6"/>
      <c r="GU148" s="6" t="s">
        <v>534</v>
      </c>
      <c r="GV148" s="6" t="s">
        <v>595</v>
      </c>
      <c r="GW148" s="6" t="s">
        <v>464</v>
      </c>
      <c r="GX148" s="6">
        <v>1</v>
      </c>
      <c r="GY148" s="6">
        <v>0</v>
      </c>
      <c r="GZ148" s="6">
        <v>0</v>
      </c>
      <c r="HA148" s="6">
        <v>0</v>
      </c>
      <c r="HB148" s="6">
        <v>0</v>
      </c>
      <c r="HC148" s="6">
        <v>0</v>
      </c>
      <c r="HD148" s="6"/>
      <c r="HE148" s="6" t="s">
        <v>111</v>
      </c>
      <c r="HF148" s="6">
        <v>0</v>
      </c>
      <c r="HG148" s="6">
        <v>0</v>
      </c>
      <c r="HH148" s="6">
        <v>0</v>
      </c>
      <c r="HI148" s="6">
        <v>1</v>
      </c>
      <c r="HJ148" s="6">
        <v>0</v>
      </c>
      <c r="HK148" s="6">
        <v>0</v>
      </c>
      <c r="HL148" s="15"/>
      <c r="HM148" s="6" t="s">
        <v>505</v>
      </c>
      <c r="HN148" s="6"/>
      <c r="HO148" s="6" t="s">
        <v>2123</v>
      </c>
      <c r="HP148" s="6" t="s">
        <v>561</v>
      </c>
      <c r="HQ148" s="6"/>
      <c r="HR148" s="6" t="s">
        <v>2652</v>
      </c>
      <c r="HS148" s="6" t="s">
        <v>540</v>
      </c>
      <c r="HT148" s="6">
        <v>1</v>
      </c>
      <c r="HU148" s="6">
        <v>0</v>
      </c>
      <c r="HV148" s="6">
        <v>0</v>
      </c>
      <c r="HW148" s="6">
        <v>0</v>
      </c>
      <c r="HX148" s="6">
        <v>0</v>
      </c>
      <c r="HY148" s="6">
        <v>0</v>
      </c>
      <c r="HZ148" s="6"/>
      <c r="IA148" s="6" t="s">
        <v>111</v>
      </c>
      <c r="IB148" s="6">
        <v>1</v>
      </c>
      <c r="IC148" s="6">
        <v>0</v>
      </c>
      <c r="ID148" s="6">
        <v>0</v>
      </c>
      <c r="IE148" s="6">
        <v>0</v>
      </c>
      <c r="IF148" s="6">
        <v>0</v>
      </c>
      <c r="IG148" s="6">
        <v>0</v>
      </c>
      <c r="IH148" s="15" t="s">
        <v>2657</v>
      </c>
      <c r="II148" s="6" t="s">
        <v>426</v>
      </c>
      <c r="IJ148" s="6" t="s">
        <v>543</v>
      </c>
      <c r="IK148" s="6">
        <v>0</v>
      </c>
      <c r="IL148" s="6">
        <v>1</v>
      </c>
      <c r="IM148" s="6">
        <v>0</v>
      </c>
      <c r="IN148" s="6"/>
      <c r="IO148" s="6" t="s">
        <v>473</v>
      </c>
      <c r="IP148" s="6">
        <v>1</v>
      </c>
      <c r="IQ148" s="6">
        <v>0</v>
      </c>
      <c r="IR148" s="6">
        <v>0</v>
      </c>
      <c r="IS148" s="6">
        <v>0</v>
      </c>
      <c r="IT148" s="6">
        <v>0</v>
      </c>
      <c r="IU148" s="6">
        <v>0</v>
      </c>
      <c r="IV148" s="6"/>
      <c r="IW148" s="6" t="s">
        <v>453</v>
      </c>
      <c r="IX148" s="6"/>
      <c r="IY148" s="6" t="s">
        <v>510</v>
      </c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 t="s">
        <v>453</v>
      </c>
      <c r="JK148" s="6" t="s">
        <v>453</v>
      </c>
      <c r="JL148" s="6"/>
      <c r="JM148" s="6"/>
      <c r="JN148" s="6"/>
      <c r="JO148" s="6"/>
      <c r="JP148" s="6"/>
      <c r="JQ148" s="6"/>
      <c r="JR148" s="6"/>
      <c r="JS148" s="6"/>
      <c r="JT148" s="6"/>
      <c r="JU148" s="6" t="s">
        <v>2658</v>
      </c>
      <c r="JV148" s="15"/>
      <c r="JW148" s="94" t="s">
        <v>2659</v>
      </c>
      <c r="JX148" s="6" t="s">
        <v>2660</v>
      </c>
      <c r="JY148" s="6">
        <v>0.8317178</v>
      </c>
      <c r="JZ148" s="6">
        <v>34.8652235</v>
      </c>
      <c r="KA148" s="6">
        <v>1743.731</v>
      </c>
      <c r="KB148" s="15">
        <v>1.39</v>
      </c>
      <c r="KC148" s="15"/>
    </row>
    <row r="149" spans="1:289">
      <c r="A149" s="6" t="s">
        <v>633</v>
      </c>
      <c r="B149" s="6" t="s">
        <v>2503</v>
      </c>
      <c r="C149" s="7" t="s">
        <v>2504</v>
      </c>
      <c r="D149" s="6" t="s">
        <v>2167</v>
      </c>
      <c r="E149" s="6" t="s">
        <v>2661</v>
      </c>
      <c r="F149" s="8" t="s">
        <v>483</v>
      </c>
      <c r="G149" s="6" t="s">
        <v>424</v>
      </c>
      <c r="H149" s="6" t="s">
        <v>517</v>
      </c>
      <c r="I149" s="15"/>
      <c r="J149" s="6" t="s">
        <v>426</v>
      </c>
      <c r="K149" s="6" t="s">
        <v>426</v>
      </c>
      <c r="L149" s="6" t="s">
        <v>426</v>
      </c>
      <c r="M149" s="6" t="s">
        <v>426</v>
      </c>
      <c r="N149" s="6" t="s">
        <v>426</v>
      </c>
      <c r="O149" s="6" t="s">
        <v>426</v>
      </c>
      <c r="P149" s="6" t="s">
        <v>426</v>
      </c>
      <c r="Q149" s="6" t="s">
        <v>426</v>
      </c>
      <c r="R149" s="6" t="s">
        <v>426</v>
      </c>
      <c r="S149" s="6" t="s">
        <v>426</v>
      </c>
      <c r="T149" s="6" t="s">
        <v>426</v>
      </c>
      <c r="U149" s="6" t="s">
        <v>426</v>
      </c>
      <c r="V149" s="6" t="s">
        <v>426</v>
      </c>
      <c r="W149" s="6" t="s">
        <v>426</v>
      </c>
      <c r="X149" s="6" t="s">
        <v>426</v>
      </c>
      <c r="Y149" s="6" t="s">
        <v>426</v>
      </c>
      <c r="Z149" s="6" t="s">
        <v>426</v>
      </c>
      <c r="AA149" s="6" t="s">
        <v>426</v>
      </c>
      <c r="AB149" s="6" t="s">
        <v>426</v>
      </c>
      <c r="AC149" s="15" t="s">
        <v>426</v>
      </c>
      <c r="AD149" s="6" t="s">
        <v>427</v>
      </c>
      <c r="AE149" s="6">
        <v>0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0</v>
      </c>
      <c r="AM149" s="6"/>
      <c r="AN149" s="15"/>
      <c r="AO149" s="6" t="s">
        <v>426</v>
      </c>
      <c r="AP149" s="6" t="s">
        <v>683</v>
      </c>
      <c r="AQ149" s="6" t="s">
        <v>426</v>
      </c>
      <c r="AR149" s="6" t="s">
        <v>805</v>
      </c>
      <c r="AS149" s="6" t="s">
        <v>426</v>
      </c>
      <c r="AT149" s="6">
        <v>0.5</v>
      </c>
      <c r="AU149" s="6" t="s">
        <v>426</v>
      </c>
      <c r="AV149" s="6">
        <v>0.5</v>
      </c>
      <c r="AW149" s="6" t="s">
        <v>426</v>
      </c>
      <c r="AX149" s="6">
        <v>0.5</v>
      </c>
      <c r="AY149" s="6" t="s">
        <v>426</v>
      </c>
      <c r="AZ149" s="6">
        <v>1</v>
      </c>
      <c r="BA149" s="6" t="s">
        <v>426</v>
      </c>
      <c r="BB149" s="6">
        <v>0.09</v>
      </c>
      <c r="BC149" s="6" t="s">
        <v>426</v>
      </c>
      <c r="BD149" s="6">
        <v>0.5</v>
      </c>
      <c r="BE149" s="6" t="s">
        <v>426</v>
      </c>
      <c r="BF149" s="6">
        <v>1</v>
      </c>
      <c r="BG149" s="6" t="s">
        <v>426</v>
      </c>
      <c r="BH149" s="6">
        <v>0.1</v>
      </c>
      <c r="BI149" s="6" t="s">
        <v>426</v>
      </c>
      <c r="BJ149" s="6">
        <v>0.5</v>
      </c>
      <c r="BK149" s="6" t="s">
        <v>426</v>
      </c>
      <c r="BL149" s="6">
        <v>0.5</v>
      </c>
      <c r="BM149" s="6" t="s">
        <v>426</v>
      </c>
      <c r="BN149" s="6">
        <v>20</v>
      </c>
      <c r="BO149" s="6" t="s">
        <v>426</v>
      </c>
      <c r="BP149" s="6">
        <v>0.08</v>
      </c>
      <c r="BQ149" s="6" t="s">
        <v>426</v>
      </c>
      <c r="BR149" s="6">
        <v>150</v>
      </c>
      <c r="BS149" s="6" t="s">
        <v>426</v>
      </c>
      <c r="BT149" s="6">
        <v>4</v>
      </c>
      <c r="BU149" s="6" t="s">
        <v>426</v>
      </c>
      <c r="BV149" s="15">
        <v>0.5</v>
      </c>
      <c r="BW149" s="15" t="s">
        <v>518</v>
      </c>
      <c r="BX149" s="15" t="s">
        <v>429</v>
      </c>
      <c r="BY149" s="6" t="s">
        <v>430</v>
      </c>
      <c r="BZ149" s="6" t="s">
        <v>430</v>
      </c>
      <c r="CA149" s="6" t="s">
        <v>430</v>
      </c>
      <c r="CB149" s="6" t="s">
        <v>430</v>
      </c>
      <c r="CC149" s="6" t="s">
        <v>430</v>
      </c>
      <c r="CD149" s="6" t="s">
        <v>430</v>
      </c>
      <c r="CE149" s="6" t="s">
        <v>430</v>
      </c>
      <c r="CF149" s="6" t="s">
        <v>430</v>
      </c>
      <c r="CG149" s="6" t="s">
        <v>430</v>
      </c>
      <c r="CH149" s="6" t="s">
        <v>430</v>
      </c>
      <c r="CI149" s="6" t="s">
        <v>430</v>
      </c>
      <c r="CJ149" s="6" t="s">
        <v>430</v>
      </c>
      <c r="CK149" s="6" t="s">
        <v>430</v>
      </c>
      <c r="CL149" s="6" t="s">
        <v>430</v>
      </c>
      <c r="CM149" s="6" t="s">
        <v>430</v>
      </c>
      <c r="CN149" s="6" t="s">
        <v>430</v>
      </c>
      <c r="CO149" s="15" t="s">
        <v>430</v>
      </c>
      <c r="CP149" s="15" t="s">
        <v>432</v>
      </c>
      <c r="CQ149" s="6" t="s">
        <v>433</v>
      </c>
      <c r="CR149" s="15"/>
      <c r="CS149" s="6" t="s">
        <v>426</v>
      </c>
      <c r="CT149" s="6" t="s">
        <v>2662</v>
      </c>
      <c r="CU149" s="6" t="s">
        <v>1087</v>
      </c>
      <c r="CV149" s="6" t="s">
        <v>660</v>
      </c>
      <c r="CW149" s="6" t="s">
        <v>1866</v>
      </c>
      <c r="CX149" s="15" t="s">
        <v>426</v>
      </c>
      <c r="CY149" s="6" t="s">
        <v>426</v>
      </c>
      <c r="CZ149" s="6" t="s">
        <v>2663</v>
      </c>
      <c r="DA149" s="6" t="s">
        <v>1111</v>
      </c>
      <c r="DB149" s="6" t="s">
        <v>1225</v>
      </c>
      <c r="DC149" s="6" t="s">
        <v>987</v>
      </c>
      <c r="DD149" s="15" t="s">
        <v>2590</v>
      </c>
      <c r="DE149" s="15" t="s">
        <v>436</v>
      </c>
      <c r="DF149" s="6" t="s">
        <v>522</v>
      </c>
      <c r="DG149" s="6">
        <v>0</v>
      </c>
      <c r="DH149" s="6">
        <v>1</v>
      </c>
      <c r="DI149" s="6">
        <v>0</v>
      </c>
      <c r="DJ149" s="6">
        <v>0</v>
      </c>
      <c r="DK149" s="6">
        <v>0</v>
      </c>
      <c r="DL149" s="6">
        <v>0</v>
      </c>
      <c r="DM149" s="6"/>
      <c r="DN149" s="6"/>
      <c r="DO149" s="6"/>
      <c r="DP149" s="6"/>
      <c r="DQ149" s="6"/>
      <c r="DR149" s="6"/>
      <c r="DS149" s="6"/>
      <c r="DT149" s="66"/>
      <c r="DU149" s="6" t="s">
        <v>523</v>
      </c>
      <c r="DV149" s="6" t="s">
        <v>426</v>
      </c>
      <c r="DW149" s="6" t="s">
        <v>439</v>
      </c>
      <c r="DX149" s="6" t="s">
        <v>440</v>
      </c>
      <c r="DY149" s="6"/>
      <c r="DZ149" s="6" t="s">
        <v>714</v>
      </c>
      <c r="EA149" s="6">
        <v>1</v>
      </c>
      <c r="EB149" s="6">
        <v>1</v>
      </c>
      <c r="EC149" s="6">
        <v>1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/>
      <c r="EJ149" s="6" t="s">
        <v>741</v>
      </c>
      <c r="EK149" s="6">
        <v>1</v>
      </c>
      <c r="EL149" s="6">
        <v>0</v>
      </c>
      <c r="EM149" s="6">
        <v>1</v>
      </c>
      <c r="EN149" s="6">
        <v>1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/>
      <c r="EU149" s="6" t="s">
        <v>443</v>
      </c>
      <c r="EV149" s="6" t="s">
        <v>554</v>
      </c>
      <c r="EW149" s="6"/>
      <c r="EX149" s="6" t="s">
        <v>1123</v>
      </c>
      <c r="EY149" s="6">
        <v>1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/>
      <c r="FH149" s="6" t="s">
        <v>1096</v>
      </c>
      <c r="FI149" s="6">
        <v>1</v>
      </c>
      <c r="FJ149" s="6">
        <v>0</v>
      </c>
      <c r="FK149" s="6">
        <v>0</v>
      </c>
      <c r="FL149" s="6">
        <v>1</v>
      </c>
      <c r="FM149" s="6">
        <v>1</v>
      </c>
      <c r="FN149" s="6">
        <v>0</v>
      </c>
      <c r="FO149" s="6">
        <v>0</v>
      </c>
      <c r="FP149" s="6">
        <v>0</v>
      </c>
      <c r="FQ149" s="6">
        <v>0</v>
      </c>
      <c r="FR149" s="6">
        <v>0</v>
      </c>
      <c r="FS149" s="6"/>
      <c r="FT149" s="6" t="s">
        <v>447</v>
      </c>
      <c r="FU149" s="6" t="s">
        <v>448</v>
      </c>
      <c r="FV149" s="6"/>
      <c r="FW149" s="6" t="s">
        <v>449</v>
      </c>
      <c r="FX149" s="15" t="s">
        <v>450</v>
      </c>
      <c r="FY149" s="6" t="s">
        <v>1012</v>
      </c>
      <c r="FZ149" s="6"/>
      <c r="GA149" s="6" t="s">
        <v>450</v>
      </c>
      <c r="GB149" s="6" t="s">
        <v>501</v>
      </c>
      <c r="GC149" s="6" t="s">
        <v>453</v>
      </c>
      <c r="GD149" s="6"/>
      <c r="GE149" s="6" t="s">
        <v>454</v>
      </c>
      <c r="GF149" s="6" t="s">
        <v>2664</v>
      </c>
      <c r="GG149" s="6" t="s">
        <v>456</v>
      </c>
      <c r="GH149" s="15" t="s">
        <v>2665</v>
      </c>
      <c r="GI149" s="6" t="s">
        <v>458</v>
      </c>
      <c r="GJ149" s="6" t="s">
        <v>2666</v>
      </c>
      <c r="GK149" s="6" t="s">
        <v>460</v>
      </c>
      <c r="GL149" s="6" t="s">
        <v>461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1</v>
      </c>
      <c r="GS149" s="6">
        <v>0</v>
      </c>
      <c r="GT149" s="6"/>
      <c r="GU149" s="6" t="s">
        <v>534</v>
      </c>
      <c r="GV149" s="6" t="s">
        <v>595</v>
      </c>
      <c r="GW149" s="6" t="s">
        <v>1647</v>
      </c>
      <c r="GX149" s="6">
        <v>0</v>
      </c>
      <c r="GY149" s="6">
        <v>0</v>
      </c>
      <c r="GZ149" s="6">
        <v>0</v>
      </c>
      <c r="HA149" s="6">
        <v>0</v>
      </c>
      <c r="HB149" s="6">
        <v>0</v>
      </c>
      <c r="HC149" s="6">
        <v>1</v>
      </c>
      <c r="HD149" s="6" t="s">
        <v>1102</v>
      </c>
      <c r="HE149" s="6" t="s">
        <v>1178</v>
      </c>
      <c r="HF149" s="6">
        <v>1</v>
      </c>
      <c r="HG149" s="6">
        <v>1</v>
      </c>
      <c r="HH149" s="6">
        <v>1</v>
      </c>
      <c r="HI149" s="6">
        <v>1</v>
      </c>
      <c r="HJ149" s="6">
        <v>0</v>
      </c>
      <c r="HK149" s="6">
        <v>0</v>
      </c>
      <c r="HL149" s="15"/>
      <c r="HM149" s="6" t="s">
        <v>505</v>
      </c>
      <c r="HN149" s="6"/>
      <c r="HO149" s="6" t="s">
        <v>1752</v>
      </c>
      <c r="HP149" s="6" t="s">
        <v>468</v>
      </c>
      <c r="HQ149" s="6"/>
      <c r="HR149" s="6" t="s">
        <v>2667</v>
      </c>
      <c r="HS149" s="6" t="s">
        <v>508</v>
      </c>
      <c r="HT149" s="6">
        <v>0</v>
      </c>
      <c r="HU149" s="6">
        <v>0</v>
      </c>
      <c r="HV149" s="6">
        <v>1</v>
      </c>
      <c r="HW149" s="6">
        <v>0</v>
      </c>
      <c r="HX149" s="6">
        <v>0</v>
      </c>
      <c r="HY149" s="6">
        <v>0</v>
      </c>
      <c r="HZ149" s="6"/>
      <c r="IA149" s="6" t="s">
        <v>1105</v>
      </c>
      <c r="IB149" s="6">
        <v>1</v>
      </c>
      <c r="IC149" s="6">
        <v>1</v>
      </c>
      <c r="ID149" s="6">
        <v>0</v>
      </c>
      <c r="IE149" s="6">
        <v>0</v>
      </c>
      <c r="IF149" s="6">
        <v>0</v>
      </c>
      <c r="IG149" s="6">
        <v>0</v>
      </c>
      <c r="IH149" s="15" t="s">
        <v>2668</v>
      </c>
      <c r="II149" s="6" t="s">
        <v>426</v>
      </c>
      <c r="IJ149" s="6" t="s">
        <v>472</v>
      </c>
      <c r="IK149" s="6">
        <v>1</v>
      </c>
      <c r="IL149" s="6">
        <v>0</v>
      </c>
      <c r="IM149" s="6">
        <v>0</v>
      </c>
      <c r="IN149" s="6"/>
      <c r="IO149" s="6" t="s">
        <v>473</v>
      </c>
      <c r="IP149" s="6">
        <v>1</v>
      </c>
      <c r="IQ149" s="6">
        <v>0</v>
      </c>
      <c r="IR149" s="6">
        <v>0</v>
      </c>
      <c r="IS149" s="6">
        <v>0</v>
      </c>
      <c r="IT149" s="6">
        <v>0</v>
      </c>
      <c r="IU149" s="6">
        <v>0</v>
      </c>
      <c r="IV149" s="6"/>
      <c r="IW149" s="6" t="s">
        <v>426</v>
      </c>
      <c r="IX149" s="6">
        <v>1</v>
      </c>
      <c r="IY149" s="6" t="s">
        <v>474</v>
      </c>
      <c r="IZ149" s="6" t="s">
        <v>475</v>
      </c>
      <c r="JA149" s="6" t="s">
        <v>426</v>
      </c>
      <c r="JB149" s="6" t="s">
        <v>651</v>
      </c>
      <c r="JC149" s="6"/>
      <c r="JD149" s="6"/>
      <c r="JE149" s="6"/>
      <c r="JF149" s="6"/>
      <c r="JG149" s="6"/>
      <c r="JH149" s="6"/>
      <c r="JI149" s="6"/>
      <c r="JJ149" s="6"/>
      <c r="JK149" s="6" t="s">
        <v>453</v>
      </c>
      <c r="JL149" s="6"/>
      <c r="JM149" s="6"/>
      <c r="JN149" s="6"/>
      <c r="JO149" s="6"/>
      <c r="JP149" s="6"/>
      <c r="JQ149" s="6"/>
      <c r="JR149" s="6"/>
      <c r="JS149" s="6"/>
      <c r="JT149" s="6"/>
      <c r="JU149" s="6" t="s">
        <v>477</v>
      </c>
      <c r="JV149" s="15"/>
      <c r="JW149" s="94" t="s">
        <v>2669</v>
      </c>
      <c r="JX149" s="6" t="s">
        <v>2670</v>
      </c>
      <c r="JY149" s="6">
        <v>0.8233114</v>
      </c>
      <c r="JZ149" s="6">
        <v>34.8649201</v>
      </c>
      <c r="KA149" s="6">
        <v>1725</v>
      </c>
      <c r="KB149" s="15">
        <v>4.3</v>
      </c>
      <c r="KC149" s="15"/>
    </row>
    <row r="150" spans="1:289">
      <c r="A150" s="6" t="s">
        <v>547</v>
      </c>
      <c r="B150" s="6" t="s">
        <v>2503</v>
      </c>
      <c r="C150" s="7" t="s">
        <v>2504</v>
      </c>
      <c r="D150" s="6" t="s">
        <v>2167</v>
      </c>
      <c r="E150" s="6" t="s">
        <v>2671</v>
      </c>
      <c r="F150" s="8" t="s">
        <v>483</v>
      </c>
      <c r="G150" s="6" t="s">
        <v>731</v>
      </c>
      <c r="H150" s="6" t="s">
        <v>425</v>
      </c>
      <c r="I150" s="15"/>
      <c r="J150" s="6" t="s">
        <v>426</v>
      </c>
      <c r="K150" s="6" t="s">
        <v>426</v>
      </c>
      <c r="L150" s="6" t="s">
        <v>426</v>
      </c>
      <c r="M150" s="6" t="s">
        <v>426</v>
      </c>
      <c r="N150" s="6" t="s">
        <v>426</v>
      </c>
      <c r="O150" s="6" t="s">
        <v>426</v>
      </c>
      <c r="P150" s="6" t="s">
        <v>426</v>
      </c>
      <c r="Q150" s="6" t="s">
        <v>426</v>
      </c>
      <c r="R150" s="6" t="s">
        <v>426</v>
      </c>
      <c r="S150" s="6" t="s">
        <v>426</v>
      </c>
      <c r="T150" s="6" t="s">
        <v>426</v>
      </c>
      <c r="U150" s="6" t="s">
        <v>426</v>
      </c>
      <c r="V150" s="6" t="s">
        <v>426</v>
      </c>
      <c r="W150" s="6" t="s">
        <v>426</v>
      </c>
      <c r="X150" s="6" t="s">
        <v>426</v>
      </c>
      <c r="Y150" s="6" t="s">
        <v>426</v>
      </c>
      <c r="Z150" s="6" t="s">
        <v>426</v>
      </c>
      <c r="AA150" s="6" t="s">
        <v>426</v>
      </c>
      <c r="AB150" s="6" t="s">
        <v>426</v>
      </c>
      <c r="AC150" s="15" t="s">
        <v>426</v>
      </c>
      <c r="AD150" s="6" t="s">
        <v>427</v>
      </c>
      <c r="AE150" s="6">
        <v>0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0</v>
      </c>
      <c r="AL150" s="6">
        <v>0</v>
      </c>
      <c r="AM150" s="6"/>
      <c r="AN150" s="15"/>
      <c r="AO150" s="6" t="s">
        <v>426</v>
      </c>
      <c r="AP150" s="6" t="s">
        <v>823</v>
      </c>
      <c r="AQ150" s="6" t="s">
        <v>453</v>
      </c>
      <c r="AR150" s="6"/>
      <c r="AS150" s="6" t="s">
        <v>426</v>
      </c>
      <c r="AT150" s="6">
        <v>0.2</v>
      </c>
      <c r="AU150" s="6" t="s">
        <v>453</v>
      </c>
      <c r="AV150" s="6"/>
      <c r="AW150" s="6" t="s">
        <v>426</v>
      </c>
      <c r="AX150" s="6">
        <v>0.4</v>
      </c>
      <c r="AY150" s="6" t="s">
        <v>426</v>
      </c>
      <c r="AZ150" s="6">
        <v>1</v>
      </c>
      <c r="BA150" s="6" t="s">
        <v>426</v>
      </c>
      <c r="BB150" s="6">
        <v>0.2</v>
      </c>
      <c r="BC150" s="6" t="s">
        <v>426</v>
      </c>
      <c r="BD150" s="6">
        <v>0.2</v>
      </c>
      <c r="BE150" s="6" t="s">
        <v>453</v>
      </c>
      <c r="BF150" s="6"/>
      <c r="BG150" s="6" t="s">
        <v>426</v>
      </c>
      <c r="BH150" s="6">
        <v>0.2</v>
      </c>
      <c r="BI150" s="6" t="s">
        <v>426</v>
      </c>
      <c r="BJ150" s="6">
        <v>0.4</v>
      </c>
      <c r="BK150" s="6" t="s">
        <v>426</v>
      </c>
      <c r="BL150" s="6">
        <v>0.8</v>
      </c>
      <c r="BM150" s="6" t="s">
        <v>426</v>
      </c>
      <c r="BN150" s="6">
        <v>16</v>
      </c>
      <c r="BO150" s="6" t="s">
        <v>426</v>
      </c>
      <c r="BP150" s="6">
        <v>0.2</v>
      </c>
      <c r="BQ150" s="6" t="s">
        <v>426</v>
      </c>
      <c r="BR150" s="6">
        <v>30</v>
      </c>
      <c r="BS150" s="6" t="s">
        <v>426</v>
      </c>
      <c r="BT150" s="6">
        <v>15</v>
      </c>
      <c r="BU150" s="6" t="s">
        <v>426</v>
      </c>
      <c r="BV150" s="15">
        <v>0.8</v>
      </c>
      <c r="BW150" s="15" t="s">
        <v>880</v>
      </c>
      <c r="BX150" s="15" t="s">
        <v>786</v>
      </c>
      <c r="BY150" s="6" t="s">
        <v>430</v>
      </c>
      <c r="BZ150" s="6" t="s">
        <v>487</v>
      </c>
      <c r="CA150" s="6" t="s">
        <v>430</v>
      </c>
      <c r="CB150" s="6" t="s">
        <v>487</v>
      </c>
      <c r="CC150" s="6" t="s">
        <v>430</v>
      </c>
      <c r="CD150" s="6" t="s">
        <v>430</v>
      </c>
      <c r="CE150" s="6" t="s">
        <v>487</v>
      </c>
      <c r="CF150" s="6" t="s">
        <v>430</v>
      </c>
      <c r="CG150" s="6" t="s">
        <v>430</v>
      </c>
      <c r="CH150" s="6" t="s">
        <v>430</v>
      </c>
      <c r="CI150" s="6" t="s">
        <v>430</v>
      </c>
      <c r="CJ150" s="6" t="s">
        <v>430</v>
      </c>
      <c r="CK150" s="6" t="s">
        <v>430</v>
      </c>
      <c r="CL150" s="6" t="s">
        <v>430</v>
      </c>
      <c r="CM150" s="6" t="s">
        <v>430</v>
      </c>
      <c r="CN150" s="6" t="s">
        <v>430</v>
      </c>
      <c r="CO150" s="15" t="s">
        <v>430</v>
      </c>
      <c r="CP150" s="15" t="s">
        <v>432</v>
      </c>
      <c r="CQ150" s="6" t="s">
        <v>433</v>
      </c>
      <c r="CR150" s="15"/>
      <c r="CS150" s="6" t="s">
        <v>426</v>
      </c>
      <c r="CT150" s="6" t="s">
        <v>552</v>
      </c>
      <c r="CU150" s="6" t="s">
        <v>1087</v>
      </c>
      <c r="CV150" s="6" t="s">
        <v>733</v>
      </c>
      <c r="CW150" s="6" t="s">
        <v>808</v>
      </c>
      <c r="CX150" s="15" t="s">
        <v>453</v>
      </c>
      <c r="CY150" s="6"/>
      <c r="CZ150" s="6"/>
      <c r="DA150" s="6"/>
      <c r="DB150" s="6"/>
      <c r="DC150" s="6"/>
      <c r="DD150" s="15"/>
      <c r="DE150" s="15" t="s">
        <v>436</v>
      </c>
      <c r="DF150" s="6" t="s">
        <v>522</v>
      </c>
      <c r="DG150" s="6">
        <v>0</v>
      </c>
      <c r="DH150" s="6">
        <v>1</v>
      </c>
      <c r="DI150" s="6">
        <v>0</v>
      </c>
      <c r="DJ150" s="6">
        <v>0</v>
      </c>
      <c r="DK150" s="6">
        <v>0</v>
      </c>
      <c r="DL150" s="6">
        <v>0</v>
      </c>
      <c r="DM150" s="6"/>
      <c r="DN150" s="6"/>
      <c r="DO150" s="6"/>
      <c r="DP150" s="6"/>
      <c r="DQ150" s="6"/>
      <c r="DR150" s="6"/>
      <c r="DS150" s="6"/>
      <c r="DT150" s="66"/>
      <c r="DU150" s="6" t="s">
        <v>438</v>
      </c>
      <c r="DV150" s="6" t="s">
        <v>426</v>
      </c>
      <c r="DW150" s="6" t="s">
        <v>439</v>
      </c>
      <c r="DX150" s="6" t="s">
        <v>440</v>
      </c>
      <c r="DY150" s="6"/>
      <c r="DZ150" s="6" t="s">
        <v>441</v>
      </c>
      <c r="EA150" s="6">
        <v>1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/>
      <c r="EJ150" s="6" t="s">
        <v>811</v>
      </c>
      <c r="EK150" s="6">
        <v>1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/>
      <c r="EU150" s="6" t="s">
        <v>443</v>
      </c>
      <c r="EV150" s="6" t="s">
        <v>495</v>
      </c>
      <c r="EW150" s="6"/>
      <c r="EX150" s="6" t="s">
        <v>1123</v>
      </c>
      <c r="EY150" s="6">
        <v>1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/>
      <c r="FH150" s="6" t="s">
        <v>555</v>
      </c>
      <c r="FI150" s="6">
        <v>0</v>
      </c>
      <c r="FJ150" s="6">
        <v>0</v>
      </c>
      <c r="FK150" s="6">
        <v>0</v>
      </c>
      <c r="FL150" s="6">
        <v>0</v>
      </c>
      <c r="FM150" s="6">
        <v>0</v>
      </c>
      <c r="FN150" s="6">
        <v>0</v>
      </c>
      <c r="FO150" s="6">
        <v>0</v>
      </c>
      <c r="FP150" s="6">
        <v>0</v>
      </c>
      <c r="FQ150" s="6">
        <v>1</v>
      </c>
      <c r="FR150" s="6">
        <v>0</v>
      </c>
      <c r="FS150" s="6"/>
      <c r="FT150" s="6" t="s">
        <v>556</v>
      </c>
      <c r="FU150" s="6" t="s">
        <v>499</v>
      </c>
      <c r="FV150" s="6"/>
      <c r="FW150" s="6" t="s">
        <v>1124</v>
      </c>
      <c r="FX150" s="15" t="s">
        <v>450</v>
      </c>
      <c r="FY150" s="6" t="s">
        <v>537</v>
      </c>
      <c r="FZ150" s="6" t="s">
        <v>1509</v>
      </c>
      <c r="GA150" s="6" t="s">
        <v>450</v>
      </c>
      <c r="GB150" s="6" t="s">
        <v>501</v>
      </c>
      <c r="GC150" s="6" t="s">
        <v>453</v>
      </c>
      <c r="GD150" s="6"/>
      <c r="GE150" s="6" t="s">
        <v>454</v>
      </c>
      <c r="GF150" s="6" t="s">
        <v>2672</v>
      </c>
      <c r="GG150" s="6" t="s">
        <v>456</v>
      </c>
      <c r="GH150" s="15" t="s">
        <v>2673</v>
      </c>
      <c r="GI150" s="6" t="s">
        <v>458</v>
      </c>
      <c r="GJ150" s="6" t="s">
        <v>2674</v>
      </c>
      <c r="GK150" s="6" t="s">
        <v>460</v>
      </c>
      <c r="GL150" s="6" t="s">
        <v>461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1</v>
      </c>
      <c r="GS150" s="6">
        <v>0</v>
      </c>
      <c r="GT150" s="6"/>
      <c r="GU150" s="6" t="s">
        <v>534</v>
      </c>
      <c r="GV150" s="6" t="s">
        <v>559</v>
      </c>
      <c r="GW150" s="6" t="s">
        <v>464</v>
      </c>
      <c r="GX150" s="6">
        <v>1</v>
      </c>
      <c r="GY150" s="6">
        <v>0</v>
      </c>
      <c r="GZ150" s="6">
        <v>0</v>
      </c>
      <c r="HA150" s="6">
        <v>0</v>
      </c>
      <c r="HB150" s="6">
        <v>0</v>
      </c>
      <c r="HC150" s="6">
        <v>0</v>
      </c>
      <c r="HD150" s="6"/>
      <c r="HE150" s="6" t="s">
        <v>646</v>
      </c>
      <c r="HF150" s="6">
        <v>0</v>
      </c>
      <c r="HG150" s="6">
        <v>0</v>
      </c>
      <c r="HH150" s="6">
        <v>1</v>
      </c>
      <c r="HI150" s="6">
        <v>0</v>
      </c>
      <c r="HJ150" s="6">
        <v>0</v>
      </c>
      <c r="HK150" s="6">
        <v>0</v>
      </c>
      <c r="HL150" s="15"/>
      <c r="HM150" s="6" t="s">
        <v>505</v>
      </c>
      <c r="HN150" s="6"/>
      <c r="HO150" s="6" t="s">
        <v>2675</v>
      </c>
      <c r="HP150" s="6" t="s">
        <v>537</v>
      </c>
      <c r="HQ150" s="6" t="s">
        <v>2676</v>
      </c>
      <c r="HR150" s="6" t="s">
        <v>2677</v>
      </c>
      <c r="HS150" s="6" t="s">
        <v>508</v>
      </c>
      <c r="HT150" s="6">
        <v>0</v>
      </c>
      <c r="HU150" s="6">
        <v>0</v>
      </c>
      <c r="HV150" s="6">
        <v>1</v>
      </c>
      <c r="HW150" s="6">
        <v>0</v>
      </c>
      <c r="HX150" s="6">
        <v>0</v>
      </c>
      <c r="HY150" s="6">
        <v>0</v>
      </c>
      <c r="HZ150" s="6"/>
      <c r="IA150" s="6" t="s">
        <v>112</v>
      </c>
      <c r="IB150" s="6">
        <v>0</v>
      </c>
      <c r="IC150" s="6">
        <v>1</v>
      </c>
      <c r="ID150" s="6">
        <v>0</v>
      </c>
      <c r="IE150" s="6">
        <v>0</v>
      </c>
      <c r="IF150" s="6">
        <v>0</v>
      </c>
      <c r="IG150" s="6">
        <v>0</v>
      </c>
      <c r="IH150" s="15" t="s">
        <v>2678</v>
      </c>
      <c r="II150" s="6" t="s">
        <v>426</v>
      </c>
      <c r="IJ150" s="6" t="s">
        <v>472</v>
      </c>
      <c r="IK150" s="6">
        <v>1</v>
      </c>
      <c r="IL150" s="6">
        <v>0</v>
      </c>
      <c r="IM150" s="6">
        <v>0</v>
      </c>
      <c r="IN150" s="6"/>
      <c r="IO150" s="6" t="s">
        <v>473</v>
      </c>
      <c r="IP150" s="6">
        <v>1</v>
      </c>
      <c r="IQ150" s="6">
        <v>0</v>
      </c>
      <c r="IR150" s="6">
        <v>0</v>
      </c>
      <c r="IS150" s="6">
        <v>0</v>
      </c>
      <c r="IT150" s="6">
        <v>0</v>
      </c>
      <c r="IU150" s="6">
        <v>0</v>
      </c>
      <c r="IV150" s="6"/>
      <c r="IW150" s="6" t="s">
        <v>453</v>
      </c>
      <c r="IX150" s="6"/>
      <c r="IY150" s="6" t="s">
        <v>510</v>
      </c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 t="s">
        <v>426</v>
      </c>
      <c r="JK150" s="6" t="s">
        <v>453</v>
      </c>
      <c r="JL150" s="6"/>
      <c r="JM150" s="6"/>
      <c r="JN150" s="6"/>
      <c r="JO150" s="6"/>
      <c r="JP150" s="6"/>
      <c r="JQ150" s="6"/>
      <c r="JR150" s="6"/>
      <c r="JS150" s="6"/>
      <c r="JT150" s="6"/>
      <c r="JU150" s="6" t="s">
        <v>477</v>
      </c>
      <c r="JV150" s="15"/>
      <c r="JW150" s="94" t="s">
        <v>2679</v>
      </c>
      <c r="JX150" s="6" t="s">
        <v>2680</v>
      </c>
      <c r="JY150" s="6">
        <v>0.8231863</v>
      </c>
      <c r="JZ150" s="6">
        <v>34.8650686</v>
      </c>
      <c r="KA150" s="6">
        <v>1768.3</v>
      </c>
      <c r="KB150" s="15">
        <v>4.916</v>
      </c>
      <c r="KC150" s="15"/>
    </row>
    <row r="151" spans="1:289">
      <c r="A151" s="6" t="s">
        <v>864</v>
      </c>
      <c r="B151" s="6" t="s">
        <v>2503</v>
      </c>
      <c r="C151" s="7" t="s">
        <v>2504</v>
      </c>
      <c r="D151" s="6" t="s">
        <v>2599</v>
      </c>
      <c r="E151" s="6" t="s">
        <v>2681</v>
      </c>
      <c r="F151" s="8" t="s">
        <v>483</v>
      </c>
      <c r="G151" s="6" t="s">
        <v>484</v>
      </c>
      <c r="H151" s="6" t="s">
        <v>517</v>
      </c>
      <c r="I151" s="15"/>
      <c r="J151" s="6" t="s">
        <v>426</v>
      </c>
      <c r="K151" s="6" t="s">
        <v>426</v>
      </c>
      <c r="L151" s="6" t="s">
        <v>426</v>
      </c>
      <c r="M151" s="6" t="s">
        <v>426</v>
      </c>
      <c r="N151" s="6" t="s">
        <v>426</v>
      </c>
      <c r="O151" s="6" t="s">
        <v>426</v>
      </c>
      <c r="P151" s="6" t="s">
        <v>426</v>
      </c>
      <c r="Q151" s="6" t="s">
        <v>426</v>
      </c>
      <c r="R151" s="6" t="s">
        <v>426</v>
      </c>
      <c r="S151" s="6" t="s">
        <v>426</v>
      </c>
      <c r="T151" s="6" t="s">
        <v>426</v>
      </c>
      <c r="U151" s="6" t="s">
        <v>426</v>
      </c>
      <c r="V151" s="6" t="s">
        <v>426</v>
      </c>
      <c r="W151" s="6" t="s">
        <v>426</v>
      </c>
      <c r="X151" s="6" t="s">
        <v>426</v>
      </c>
      <c r="Y151" s="6" t="s">
        <v>426</v>
      </c>
      <c r="Z151" s="6" t="s">
        <v>426</v>
      </c>
      <c r="AA151" s="6" t="s">
        <v>426</v>
      </c>
      <c r="AB151" s="6" t="s">
        <v>426</v>
      </c>
      <c r="AC151" s="15" t="s">
        <v>426</v>
      </c>
      <c r="AD151" s="6" t="s">
        <v>427</v>
      </c>
      <c r="AE151" s="6">
        <v>0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/>
      <c r="AN151" s="15"/>
      <c r="AO151" s="6" t="s">
        <v>426</v>
      </c>
      <c r="AP151" s="6" t="s">
        <v>656</v>
      </c>
      <c r="AQ151" s="6" t="s">
        <v>426</v>
      </c>
      <c r="AR151" s="6" t="s">
        <v>658</v>
      </c>
      <c r="AS151" s="6" t="s">
        <v>426</v>
      </c>
      <c r="AT151" s="6">
        <v>0.6</v>
      </c>
      <c r="AU151" s="6" t="s">
        <v>426</v>
      </c>
      <c r="AV151" s="6">
        <v>0.4</v>
      </c>
      <c r="AW151" s="6" t="s">
        <v>426</v>
      </c>
      <c r="AX151" s="6">
        <v>0.1</v>
      </c>
      <c r="AY151" s="6" t="s">
        <v>426</v>
      </c>
      <c r="AZ151" s="6">
        <v>1</v>
      </c>
      <c r="BA151" s="6" t="s">
        <v>426</v>
      </c>
      <c r="BB151" s="6">
        <v>0.1</v>
      </c>
      <c r="BC151" s="6" t="s">
        <v>426</v>
      </c>
      <c r="BD151" s="6">
        <v>0.1</v>
      </c>
      <c r="BE151" s="6" t="s">
        <v>426</v>
      </c>
      <c r="BF151" s="6">
        <v>8</v>
      </c>
      <c r="BG151" s="6" t="s">
        <v>426</v>
      </c>
      <c r="BH151" s="6">
        <v>0.2</v>
      </c>
      <c r="BI151" s="6" t="s">
        <v>426</v>
      </c>
      <c r="BJ151" s="6">
        <v>0.4</v>
      </c>
      <c r="BK151" s="6" t="s">
        <v>426</v>
      </c>
      <c r="BL151" s="6">
        <v>0.6</v>
      </c>
      <c r="BM151" s="6" t="s">
        <v>426</v>
      </c>
      <c r="BN151" s="6">
        <v>3</v>
      </c>
      <c r="BO151" s="6" t="s">
        <v>426</v>
      </c>
      <c r="BP151" s="6">
        <v>0.01</v>
      </c>
      <c r="BQ151" s="6" t="s">
        <v>426</v>
      </c>
      <c r="BR151" s="6">
        <v>50</v>
      </c>
      <c r="BS151" s="6" t="s">
        <v>453</v>
      </c>
      <c r="BT151" s="6"/>
      <c r="BU151" s="6" t="s">
        <v>426</v>
      </c>
      <c r="BV151" s="15">
        <v>0.6</v>
      </c>
      <c r="BW151" s="15" t="s">
        <v>428</v>
      </c>
      <c r="BX151" s="15" t="s">
        <v>429</v>
      </c>
      <c r="BY151" s="6" t="s">
        <v>430</v>
      </c>
      <c r="BZ151" s="6" t="s">
        <v>430</v>
      </c>
      <c r="CA151" s="6" t="s">
        <v>431</v>
      </c>
      <c r="CB151" s="6" t="s">
        <v>431</v>
      </c>
      <c r="CC151" s="6" t="s">
        <v>431</v>
      </c>
      <c r="CD151" s="6" t="s">
        <v>430</v>
      </c>
      <c r="CE151" s="6" t="s">
        <v>431</v>
      </c>
      <c r="CF151" s="6" t="s">
        <v>430</v>
      </c>
      <c r="CG151" s="6" t="s">
        <v>430</v>
      </c>
      <c r="CH151" s="6" t="s">
        <v>430</v>
      </c>
      <c r="CI151" s="6" t="s">
        <v>430</v>
      </c>
      <c r="CJ151" s="6" t="s">
        <v>486</v>
      </c>
      <c r="CK151" s="6" t="s">
        <v>430</v>
      </c>
      <c r="CL151" s="6" t="s">
        <v>430</v>
      </c>
      <c r="CM151" s="6" t="s">
        <v>486</v>
      </c>
      <c r="CN151" s="6" t="s">
        <v>487</v>
      </c>
      <c r="CO151" s="15" t="s">
        <v>430</v>
      </c>
      <c r="CP151" s="15" t="s">
        <v>636</v>
      </c>
      <c r="CQ151" s="6" t="s">
        <v>686</v>
      </c>
      <c r="CR151" s="15"/>
      <c r="CS151" s="6" t="s">
        <v>426</v>
      </c>
      <c r="CT151" s="6" t="s">
        <v>2682</v>
      </c>
      <c r="CU151" s="6" t="s">
        <v>2683</v>
      </c>
      <c r="CV151" s="6" t="s">
        <v>2684</v>
      </c>
      <c r="CW151" s="6" t="s">
        <v>2685</v>
      </c>
      <c r="CX151" s="15" t="s">
        <v>453</v>
      </c>
      <c r="CY151" s="6"/>
      <c r="CZ151" s="6"/>
      <c r="DA151" s="6"/>
      <c r="DB151" s="6"/>
      <c r="DC151" s="6"/>
      <c r="DD151" s="15"/>
      <c r="DE151" s="15" t="s">
        <v>521</v>
      </c>
      <c r="DF151" s="6" t="s">
        <v>489</v>
      </c>
      <c r="DG151" s="6">
        <v>1</v>
      </c>
      <c r="DH151" s="6">
        <v>1</v>
      </c>
      <c r="DI151" s="6">
        <v>1</v>
      </c>
      <c r="DJ151" s="6">
        <v>0</v>
      </c>
      <c r="DK151" s="6">
        <v>0</v>
      </c>
      <c r="DL151" s="6">
        <v>0</v>
      </c>
      <c r="DM151" s="6"/>
      <c r="DN151" s="6"/>
      <c r="DO151" s="6"/>
      <c r="DP151" s="6"/>
      <c r="DQ151" s="6"/>
      <c r="DR151" s="6"/>
      <c r="DS151" s="6"/>
      <c r="DT151" s="66"/>
      <c r="DU151" s="6" t="s">
        <v>438</v>
      </c>
      <c r="DV151" s="6" t="s">
        <v>426</v>
      </c>
      <c r="DW151" s="6" t="s">
        <v>439</v>
      </c>
      <c r="DX151" s="6" t="s">
        <v>491</v>
      </c>
      <c r="DY151" s="6"/>
      <c r="DZ151" s="6" t="s">
        <v>768</v>
      </c>
      <c r="EA151" s="6">
        <v>1</v>
      </c>
      <c r="EB151" s="6">
        <v>1</v>
      </c>
      <c r="EC151" s="6">
        <v>1</v>
      </c>
      <c r="ED151" s="6">
        <v>1</v>
      </c>
      <c r="EE151" s="6">
        <v>1</v>
      </c>
      <c r="EF151" s="6">
        <v>0</v>
      </c>
      <c r="EG151" s="6">
        <v>0</v>
      </c>
      <c r="EH151" s="6">
        <v>0</v>
      </c>
      <c r="EI151" s="6"/>
      <c r="EJ151" s="6" t="s">
        <v>2686</v>
      </c>
      <c r="EK151" s="6">
        <v>1</v>
      </c>
      <c r="EL151" s="6">
        <v>1</v>
      </c>
      <c r="EM151" s="6">
        <v>1</v>
      </c>
      <c r="EN151" s="6">
        <v>1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/>
      <c r="EU151" s="6" t="s">
        <v>955</v>
      </c>
      <c r="EV151" s="6" t="s">
        <v>554</v>
      </c>
      <c r="EW151" s="6"/>
      <c r="EX151" s="6" t="s">
        <v>2687</v>
      </c>
      <c r="EY151" s="6">
        <v>0</v>
      </c>
      <c r="EZ151" s="6">
        <v>1</v>
      </c>
      <c r="FA151" s="6">
        <v>0</v>
      </c>
      <c r="FB151" s="6">
        <v>1</v>
      </c>
      <c r="FC151" s="6">
        <v>1</v>
      </c>
      <c r="FD151" s="6">
        <v>0</v>
      </c>
      <c r="FE151" s="6">
        <v>0</v>
      </c>
      <c r="FF151" s="6">
        <v>0</v>
      </c>
      <c r="FG151" s="6"/>
      <c r="FH151" s="6" t="s">
        <v>527</v>
      </c>
      <c r="FI151" s="6">
        <v>0</v>
      </c>
      <c r="FJ151" s="6">
        <v>0</v>
      </c>
      <c r="FK151" s="6">
        <v>0</v>
      </c>
      <c r="FL151" s="6">
        <v>1</v>
      </c>
      <c r="FM151" s="6">
        <v>0</v>
      </c>
      <c r="FN151" s="6">
        <v>1</v>
      </c>
      <c r="FO151" s="6">
        <v>0</v>
      </c>
      <c r="FP151" s="6">
        <v>0</v>
      </c>
      <c r="FQ151" s="6">
        <v>0</v>
      </c>
      <c r="FR151" s="6">
        <v>0</v>
      </c>
      <c r="FS151" s="6"/>
      <c r="FT151" s="6" t="s">
        <v>556</v>
      </c>
      <c r="FU151" s="6" t="s">
        <v>448</v>
      </c>
      <c r="FV151" s="6"/>
      <c r="FW151" s="6" t="s">
        <v>449</v>
      </c>
      <c r="FX151" s="15" t="s">
        <v>450</v>
      </c>
      <c r="FY151" s="6" t="s">
        <v>451</v>
      </c>
      <c r="FZ151" s="6"/>
      <c r="GA151" s="6" t="s">
        <v>450</v>
      </c>
      <c r="GB151" s="6" t="s">
        <v>501</v>
      </c>
      <c r="GC151" s="6" t="s">
        <v>453</v>
      </c>
      <c r="GD151" s="6"/>
      <c r="GE151" s="6" t="s">
        <v>642</v>
      </c>
      <c r="GF151" s="6" t="s">
        <v>1074</v>
      </c>
      <c r="GG151" s="6" t="s">
        <v>592</v>
      </c>
      <c r="GH151" s="15" t="s">
        <v>2159</v>
      </c>
      <c r="GI151" s="6" t="s">
        <v>458</v>
      </c>
      <c r="GJ151" s="6" t="s">
        <v>2688</v>
      </c>
      <c r="GK151" s="6" t="s">
        <v>460</v>
      </c>
      <c r="GL151" s="6" t="s">
        <v>461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1</v>
      </c>
      <c r="GS151" s="6">
        <v>0</v>
      </c>
      <c r="GT151" s="6"/>
      <c r="GU151" s="6" t="s">
        <v>534</v>
      </c>
      <c r="GV151" s="6" t="s">
        <v>559</v>
      </c>
      <c r="GW151" s="6" t="s">
        <v>464</v>
      </c>
      <c r="GX151" s="6">
        <v>1</v>
      </c>
      <c r="GY151" s="6">
        <v>0</v>
      </c>
      <c r="GZ151" s="6">
        <v>0</v>
      </c>
      <c r="HA151" s="6">
        <v>0</v>
      </c>
      <c r="HB151" s="6">
        <v>0</v>
      </c>
      <c r="HC151" s="6">
        <v>0</v>
      </c>
      <c r="HD151" s="6"/>
      <c r="HE151" s="6" t="s">
        <v>2689</v>
      </c>
      <c r="HF151" s="6">
        <v>0</v>
      </c>
      <c r="HG151" s="6">
        <v>1</v>
      </c>
      <c r="HH151" s="6">
        <v>1</v>
      </c>
      <c r="HI151" s="6">
        <v>0</v>
      </c>
      <c r="HJ151" s="6">
        <v>1</v>
      </c>
      <c r="HK151" s="6">
        <v>0</v>
      </c>
      <c r="HL151" s="15"/>
      <c r="HM151" s="6" t="s">
        <v>505</v>
      </c>
      <c r="HN151" s="6"/>
      <c r="HO151" s="6" t="s">
        <v>2690</v>
      </c>
      <c r="HP151" s="6" t="s">
        <v>537</v>
      </c>
      <c r="HQ151" s="6" t="s">
        <v>2037</v>
      </c>
      <c r="HR151" s="6" t="s">
        <v>2691</v>
      </c>
      <c r="HS151" s="6" t="s">
        <v>1163</v>
      </c>
      <c r="HT151" s="6">
        <v>0</v>
      </c>
      <c r="HU151" s="6">
        <v>0</v>
      </c>
      <c r="HV151" s="6">
        <v>1</v>
      </c>
      <c r="HW151" s="6">
        <v>0</v>
      </c>
      <c r="HX151" s="6">
        <v>0</v>
      </c>
      <c r="HY151" s="6">
        <v>1</v>
      </c>
      <c r="HZ151" s="6"/>
      <c r="IA151" s="6" t="s">
        <v>726</v>
      </c>
      <c r="IB151" s="6">
        <v>1</v>
      </c>
      <c r="IC151" s="6">
        <v>1</v>
      </c>
      <c r="ID151" s="6">
        <v>1</v>
      </c>
      <c r="IE151" s="6">
        <v>0</v>
      </c>
      <c r="IF151" s="6">
        <v>0</v>
      </c>
      <c r="IG151" s="6">
        <v>0</v>
      </c>
      <c r="IH151" s="15" t="s">
        <v>2692</v>
      </c>
      <c r="II151" s="6" t="s">
        <v>426</v>
      </c>
      <c r="IJ151" s="6" t="s">
        <v>602</v>
      </c>
      <c r="IK151" s="6">
        <v>1</v>
      </c>
      <c r="IL151" s="6">
        <v>1</v>
      </c>
      <c r="IM151" s="6">
        <v>0</v>
      </c>
      <c r="IN151" s="6"/>
      <c r="IO151" s="6" t="s">
        <v>473</v>
      </c>
      <c r="IP151" s="6">
        <v>1</v>
      </c>
      <c r="IQ151" s="6">
        <v>0</v>
      </c>
      <c r="IR151" s="6">
        <v>0</v>
      </c>
      <c r="IS151" s="6">
        <v>0</v>
      </c>
      <c r="IT151" s="6">
        <v>0</v>
      </c>
      <c r="IU151" s="6">
        <v>0</v>
      </c>
      <c r="IV151" s="6"/>
      <c r="IW151" s="6" t="s">
        <v>453</v>
      </c>
      <c r="IX151" s="6"/>
      <c r="IY151" s="6" t="s">
        <v>510</v>
      </c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 t="s">
        <v>426</v>
      </c>
      <c r="JK151" s="6" t="s">
        <v>426</v>
      </c>
      <c r="JL151" s="6" t="s">
        <v>453</v>
      </c>
      <c r="JM151" s="6" t="s">
        <v>1362</v>
      </c>
      <c r="JN151" s="6">
        <v>0</v>
      </c>
      <c r="JO151" s="6">
        <v>0</v>
      </c>
      <c r="JP151" s="6">
        <v>0</v>
      </c>
      <c r="JQ151" s="6">
        <v>0</v>
      </c>
      <c r="JR151" s="6">
        <v>0</v>
      </c>
      <c r="JS151" s="6">
        <v>1</v>
      </c>
      <c r="JT151" s="6" t="s">
        <v>2693</v>
      </c>
      <c r="JU151" s="6" t="s">
        <v>895</v>
      </c>
      <c r="JV151" s="15" t="s">
        <v>896</v>
      </c>
      <c r="JW151" s="94" t="s">
        <v>2694</v>
      </c>
      <c r="JX151" s="6" t="s">
        <v>2695</v>
      </c>
      <c r="JY151" s="6">
        <v>0.8261988</v>
      </c>
      <c r="JZ151" s="6">
        <v>34.8661726</v>
      </c>
      <c r="KA151" s="6">
        <v>1665.804</v>
      </c>
      <c r="KB151" s="15">
        <v>1.478</v>
      </c>
      <c r="KC151" s="15"/>
    </row>
    <row r="152" spans="1:289">
      <c r="A152" s="6" t="s">
        <v>514</v>
      </c>
      <c r="B152" s="6" t="s">
        <v>2503</v>
      </c>
      <c r="C152" s="7" t="s">
        <v>2504</v>
      </c>
      <c r="D152" s="6" t="s">
        <v>2167</v>
      </c>
      <c r="E152" s="6" t="s">
        <v>2696</v>
      </c>
      <c r="F152" s="8" t="s">
        <v>483</v>
      </c>
      <c r="G152" s="6" t="s">
        <v>424</v>
      </c>
      <c r="H152" s="6" t="s">
        <v>425</v>
      </c>
      <c r="I152" s="15"/>
      <c r="J152" s="6" t="s">
        <v>426</v>
      </c>
      <c r="K152" s="6" t="s">
        <v>426</v>
      </c>
      <c r="L152" s="6" t="s">
        <v>426</v>
      </c>
      <c r="M152" s="6" t="s">
        <v>426</v>
      </c>
      <c r="N152" s="6" t="s">
        <v>426</v>
      </c>
      <c r="O152" s="6" t="s">
        <v>426</v>
      </c>
      <c r="P152" s="6" t="s">
        <v>426</v>
      </c>
      <c r="Q152" s="6" t="s">
        <v>426</v>
      </c>
      <c r="R152" s="6" t="s">
        <v>426</v>
      </c>
      <c r="S152" s="6" t="s">
        <v>426</v>
      </c>
      <c r="T152" s="6" t="s">
        <v>426</v>
      </c>
      <c r="U152" s="6" t="s">
        <v>426</v>
      </c>
      <c r="V152" s="6" t="s">
        <v>426</v>
      </c>
      <c r="W152" s="6" t="s">
        <v>426</v>
      </c>
      <c r="X152" s="6" t="s">
        <v>426</v>
      </c>
      <c r="Y152" s="6" t="s">
        <v>426</v>
      </c>
      <c r="Z152" s="6" t="s">
        <v>426</v>
      </c>
      <c r="AA152" s="6" t="s">
        <v>426</v>
      </c>
      <c r="AB152" s="6" t="s">
        <v>426</v>
      </c>
      <c r="AC152" s="15" t="s">
        <v>426</v>
      </c>
      <c r="AD152" s="6" t="s">
        <v>427</v>
      </c>
      <c r="AE152" s="6">
        <v>0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/>
      <c r="AN152" s="15"/>
      <c r="AO152" s="6" t="s">
        <v>426</v>
      </c>
      <c r="AP152" s="6" t="s">
        <v>985</v>
      </c>
      <c r="AQ152" s="6" t="s">
        <v>426</v>
      </c>
      <c r="AR152" s="6" t="s">
        <v>985</v>
      </c>
      <c r="AS152" s="6" t="s">
        <v>426</v>
      </c>
      <c r="AT152" s="6">
        <v>0.2</v>
      </c>
      <c r="AU152" s="6" t="s">
        <v>426</v>
      </c>
      <c r="AV152" s="6">
        <v>0.2</v>
      </c>
      <c r="AW152" s="6" t="s">
        <v>426</v>
      </c>
      <c r="AX152" s="6">
        <v>0.2</v>
      </c>
      <c r="AY152" s="6" t="s">
        <v>426</v>
      </c>
      <c r="AZ152" s="6">
        <v>1</v>
      </c>
      <c r="BA152" s="6" t="s">
        <v>426</v>
      </c>
      <c r="BB152" s="6">
        <v>0.1</v>
      </c>
      <c r="BC152" s="6" t="s">
        <v>426</v>
      </c>
      <c r="BD152" s="6">
        <v>0.1</v>
      </c>
      <c r="BE152" s="6" t="s">
        <v>426</v>
      </c>
      <c r="BF152" s="6">
        <v>3</v>
      </c>
      <c r="BG152" s="6" t="s">
        <v>426</v>
      </c>
      <c r="BH152" s="6">
        <v>0.2</v>
      </c>
      <c r="BI152" s="6" t="s">
        <v>426</v>
      </c>
      <c r="BJ152" s="6">
        <v>0.2</v>
      </c>
      <c r="BK152" s="6" t="s">
        <v>426</v>
      </c>
      <c r="BL152" s="6">
        <v>0.2</v>
      </c>
      <c r="BM152" s="6" t="s">
        <v>426</v>
      </c>
      <c r="BN152" s="6">
        <v>5</v>
      </c>
      <c r="BO152" s="6" t="s">
        <v>426</v>
      </c>
      <c r="BP152" s="6">
        <v>0.2</v>
      </c>
      <c r="BQ152" s="6" t="s">
        <v>426</v>
      </c>
      <c r="BR152" s="6">
        <v>30</v>
      </c>
      <c r="BS152" s="6" t="s">
        <v>426</v>
      </c>
      <c r="BT152" s="6">
        <v>2</v>
      </c>
      <c r="BU152" s="6" t="s">
        <v>426</v>
      </c>
      <c r="BV152" s="15">
        <v>0.2</v>
      </c>
      <c r="BW152" s="15" t="s">
        <v>2263</v>
      </c>
      <c r="BX152" s="15" t="s">
        <v>429</v>
      </c>
      <c r="BY152" s="6" t="s">
        <v>430</v>
      </c>
      <c r="BZ152" s="6" t="s">
        <v>430</v>
      </c>
      <c r="CA152" s="6" t="s">
        <v>430</v>
      </c>
      <c r="CB152" s="6" t="s">
        <v>430</v>
      </c>
      <c r="CC152" s="6" t="s">
        <v>430</v>
      </c>
      <c r="CD152" s="6" t="s">
        <v>430</v>
      </c>
      <c r="CE152" s="6" t="s">
        <v>430</v>
      </c>
      <c r="CF152" s="6" t="s">
        <v>430</v>
      </c>
      <c r="CG152" s="6" t="s">
        <v>430</v>
      </c>
      <c r="CH152" s="6" t="s">
        <v>430</v>
      </c>
      <c r="CI152" s="6" t="s">
        <v>430</v>
      </c>
      <c r="CJ152" s="6" t="s">
        <v>430</v>
      </c>
      <c r="CK152" s="6" t="s">
        <v>430</v>
      </c>
      <c r="CL152" s="6" t="s">
        <v>430</v>
      </c>
      <c r="CM152" s="6" t="s">
        <v>430</v>
      </c>
      <c r="CN152" s="6" t="s">
        <v>430</v>
      </c>
      <c r="CO152" s="15" t="s">
        <v>430</v>
      </c>
      <c r="CP152" s="15" t="s">
        <v>432</v>
      </c>
      <c r="CQ152" s="6" t="s">
        <v>433</v>
      </c>
      <c r="CR152" s="15"/>
      <c r="CS152" s="6" t="s">
        <v>426</v>
      </c>
      <c r="CT152" s="6" t="s">
        <v>2697</v>
      </c>
      <c r="CU152" s="6" t="s">
        <v>737</v>
      </c>
      <c r="CV152" s="6" t="s">
        <v>845</v>
      </c>
      <c r="CW152" s="6" t="s">
        <v>662</v>
      </c>
      <c r="CX152" s="15" t="s">
        <v>426</v>
      </c>
      <c r="CY152" s="6" t="s">
        <v>426</v>
      </c>
      <c r="CZ152" s="6" t="s">
        <v>2698</v>
      </c>
      <c r="DA152" s="6" t="s">
        <v>1678</v>
      </c>
      <c r="DB152" s="6" t="s">
        <v>737</v>
      </c>
      <c r="DC152" s="6" t="s">
        <v>1641</v>
      </c>
      <c r="DD152" s="15" t="s">
        <v>1111</v>
      </c>
      <c r="DE152" s="15" t="s">
        <v>436</v>
      </c>
      <c r="DF152" s="6" t="s">
        <v>522</v>
      </c>
      <c r="DG152" s="6">
        <v>0</v>
      </c>
      <c r="DH152" s="6">
        <v>1</v>
      </c>
      <c r="DI152" s="6">
        <v>0</v>
      </c>
      <c r="DJ152" s="6">
        <v>0</v>
      </c>
      <c r="DK152" s="6">
        <v>0</v>
      </c>
      <c r="DL152" s="6">
        <v>0</v>
      </c>
      <c r="DM152" s="6"/>
      <c r="DN152" s="6"/>
      <c r="DO152" s="6"/>
      <c r="DP152" s="6"/>
      <c r="DQ152" s="6"/>
      <c r="DR152" s="6"/>
      <c r="DS152" s="6"/>
      <c r="DT152" s="66"/>
      <c r="DU152" s="6" t="s">
        <v>438</v>
      </c>
      <c r="DV152" s="6" t="s">
        <v>426</v>
      </c>
      <c r="DW152" s="6" t="s">
        <v>439</v>
      </c>
      <c r="DX152" s="6" t="s">
        <v>440</v>
      </c>
      <c r="DY152" s="6"/>
      <c r="DZ152" s="6" t="s">
        <v>954</v>
      </c>
      <c r="EA152" s="6">
        <v>1</v>
      </c>
      <c r="EB152" s="6">
        <v>0</v>
      </c>
      <c r="EC152" s="6">
        <v>0</v>
      </c>
      <c r="ED152" s="6">
        <v>0</v>
      </c>
      <c r="EE152" s="6">
        <v>1</v>
      </c>
      <c r="EF152" s="6">
        <v>0</v>
      </c>
      <c r="EG152" s="6">
        <v>0</v>
      </c>
      <c r="EH152" s="6">
        <v>0</v>
      </c>
      <c r="EI152" s="6"/>
      <c r="EJ152" s="6" t="s">
        <v>884</v>
      </c>
      <c r="EK152" s="6">
        <v>1</v>
      </c>
      <c r="EL152" s="6">
        <v>0</v>
      </c>
      <c r="EM152" s="6">
        <v>0</v>
      </c>
      <c r="EN152" s="6">
        <v>1</v>
      </c>
      <c r="EO152" s="6">
        <v>1</v>
      </c>
      <c r="EP152" s="6">
        <v>1</v>
      </c>
      <c r="EQ152" s="6">
        <v>0</v>
      </c>
      <c r="ER152" s="6">
        <v>0</v>
      </c>
      <c r="ES152" s="6">
        <v>0</v>
      </c>
      <c r="ET152" s="6"/>
      <c r="EU152" s="6" t="s">
        <v>443</v>
      </c>
      <c r="EV152" s="6" t="s">
        <v>554</v>
      </c>
      <c r="EW152" s="6"/>
      <c r="EX152" s="6" t="s">
        <v>669</v>
      </c>
      <c r="EY152" s="6">
        <v>0</v>
      </c>
      <c r="EZ152" s="6">
        <v>1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/>
      <c r="FH152" s="6" t="s">
        <v>771</v>
      </c>
      <c r="FI152" s="6">
        <v>1</v>
      </c>
      <c r="FJ152" s="6">
        <v>0</v>
      </c>
      <c r="FK152" s="6">
        <v>0</v>
      </c>
      <c r="FL152" s="6">
        <v>1</v>
      </c>
      <c r="FM152" s="6">
        <v>0</v>
      </c>
      <c r="FN152" s="6">
        <v>0</v>
      </c>
      <c r="FO152" s="6">
        <v>0</v>
      </c>
      <c r="FP152" s="6">
        <v>0</v>
      </c>
      <c r="FQ152" s="6">
        <v>0</v>
      </c>
      <c r="FR152" s="6">
        <v>0</v>
      </c>
      <c r="FS152" s="6"/>
      <c r="FT152" s="6" t="s">
        <v>447</v>
      </c>
      <c r="FU152" s="6" t="s">
        <v>499</v>
      </c>
      <c r="FV152" s="6"/>
      <c r="FW152" s="6" t="s">
        <v>449</v>
      </c>
      <c r="FX152" s="15" t="s">
        <v>450</v>
      </c>
      <c r="FY152" s="6" t="s">
        <v>451</v>
      </c>
      <c r="FZ152" s="6"/>
      <c r="GA152" s="6" t="s">
        <v>450</v>
      </c>
      <c r="GB152" s="6" t="s">
        <v>501</v>
      </c>
      <c r="GC152" s="6" t="s">
        <v>453</v>
      </c>
      <c r="GD152" s="6"/>
      <c r="GE152" s="6" t="s">
        <v>642</v>
      </c>
      <c r="GF152" s="6" t="s">
        <v>2143</v>
      </c>
      <c r="GG152" s="6" t="s">
        <v>456</v>
      </c>
      <c r="GH152" s="15" t="s">
        <v>2699</v>
      </c>
      <c r="GI152" s="6" t="s">
        <v>458</v>
      </c>
      <c r="GJ152" s="6" t="s">
        <v>2700</v>
      </c>
      <c r="GK152" s="6" t="s">
        <v>460</v>
      </c>
      <c r="GL152" s="6" t="s">
        <v>720</v>
      </c>
      <c r="GM152" s="6">
        <v>1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/>
      <c r="GU152" s="6" t="s">
        <v>534</v>
      </c>
      <c r="GV152" s="6" t="s">
        <v>463</v>
      </c>
      <c r="GW152" s="6" t="s">
        <v>464</v>
      </c>
      <c r="GX152" s="6">
        <v>1</v>
      </c>
      <c r="GY152" s="6">
        <v>0</v>
      </c>
      <c r="GZ152" s="6">
        <v>0</v>
      </c>
      <c r="HA152" s="6">
        <v>0</v>
      </c>
      <c r="HB152" s="6">
        <v>0</v>
      </c>
      <c r="HC152" s="6">
        <v>0</v>
      </c>
      <c r="HD152" s="6"/>
      <c r="HE152" s="6" t="s">
        <v>465</v>
      </c>
      <c r="HF152" s="6">
        <v>0</v>
      </c>
      <c r="HG152" s="6">
        <v>1</v>
      </c>
      <c r="HH152" s="6">
        <v>0</v>
      </c>
      <c r="HI152" s="6">
        <v>0</v>
      </c>
      <c r="HJ152" s="6">
        <v>0</v>
      </c>
      <c r="HK152" s="6">
        <v>0</v>
      </c>
      <c r="HL152" s="15"/>
      <c r="HM152" s="6" t="s">
        <v>505</v>
      </c>
      <c r="HN152" s="6"/>
      <c r="HO152" s="6" t="s">
        <v>2701</v>
      </c>
      <c r="HP152" s="6" t="s">
        <v>468</v>
      </c>
      <c r="HQ152" s="6"/>
      <c r="HR152" s="6" t="s">
        <v>2702</v>
      </c>
      <c r="HS152" s="6" t="s">
        <v>508</v>
      </c>
      <c r="HT152" s="6">
        <v>0</v>
      </c>
      <c r="HU152" s="6">
        <v>0</v>
      </c>
      <c r="HV152" s="6">
        <v>1</v>
      </c>
      <c r="HW152" s="6">
        <v>0</v>
      </c>
      <c r="HX152" s="6">
        <v>0</v>
      </c>
      <c r="HY152" s="6">
        <v>0</v>
      </c>
      <c r="HZ152" s="6"/>
      <c r="IA152" s="6" t="s">
        <v>112</v>
      </c>
      <c r="IB152" s="6">
        <v>0</v>
      </c>
      <c r="IC152" s="6">
        <v>1</v>
      </c>
      <c r="ID152" s="6">
        <v>0</v>
      </c>
      <c r="IE152" s="6">
        <v>0</v>
      </c>
      <c r="IF152" s="6">
        <v>0</v>
      </c>
      <c r="IG152" s="6">
        <v>0</v>
      </c>
      <c r="IH152" s="15" t="s">
        <v>2703</v>
      </c>
      <c r="II152" s="6" t="s">
        <v>426</v>
      </c>
      <c r="IJ152" s="6" t="s">
        <v>472</v>
      </c>
      <c r="IK152" s="6">
        <v>1</v>
      </c>
      <c r="IL152" s="6">
        <v>0</v>
      </c>
      <c r="IM152" s="6">
        <v>0</v>
      </c>
      <c r="IN152" s="6"/>
      <c r="IO152" s="6" t="s">
        <v>1989</v>
      </c>
      <c r="IP152" s="6">
        <v>0</v>
      </c>
      <c r="IQ152" s="6">
        <v>0</v>
      </c>
      <c r="IR152" s="6">
        <v>0</v>
      </c>
      <c r="IS152" s="6">
        <v>0</v>
      </c>
      <c r="IT152" s="6">
        <v>1</v>
      </c>
      <c r="IU152" s="6">
        <v>0</v>
      </c>
      <c r="IV152" s="6"/>
      <c r="IW152" s="6" t="s">
        <v>453</v>
      </c>
      <c r="IX152" s="6"/>
      <c r="IY152" s="6" t="s">
        <v>510</v>
      </c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 t="s">
        <v>453</v>
      </c>
      <c r="JK152" s="6" t="s">
        <v>453</v>
      </c>
      <c r="JL152" s="6"/>
      <c r="JM152" s="6"/>
      <c r="JN152" s="6"/>
      <c r="JO152" s="6"/>
      <c r="JP152" s="6"/>
      <c r="JQ152" s="6"/>
      <c r="JR152" s="6"/>
      <c r="JS152" s="6"/>
      <c r="JT152" s="6"/>
      <c r="JU152" s="6" t="s">
        <v>477</v>
      </c>
      <c r="JV152" s="15"/>
      <c r="JW152" s="94" t="s">
        <v>2704</v>
      </c>
      <c r="JX152" s="6" t="s">
        <v>2705</v>
      </c>
      <c r="JY152" s="6">
        <v>0.8232622</v>
      </c>
      <c r="JZ152" s="6">
        <v>34.8652434</v>
      </c>
      <c r="KA152" s="6">
        <v>1727.54</v>
      </c>
      <c r="KB152" s="15">
        <v>1.207</v>
      </c>
      <c r="KC152" s="15"/>
    </row>
    <row r="153" spans="1:289">
      <c r="A153" s="6" t="s">
        <v>480</v>
      </c>
      <c r="B153" s="6" t="s">
        <v>2503</v>
      </c>
      <c r="C153" s="7" t="s">
        <v>2504</v>
      </c>
      <c r="D153" s="6" t="s">
        <v>2706</v>
      </c>
      <c r="E153" s="6" t="s">
        <v>2707</v>
      </c>
      <c r="F153" s="8" t="s">
        <v>483</v>
      </c>
      <c r="G153" s="6" t="s">
        <v>567</v>
      </c>
      <c r="H153" s="6" t="s">
        <v>425</v>
      </c>
      <c r="I153" s="15"/>
      <c r="J153" s="6" t="s">
        <v>426</v>
      </c>
      <c r="K153" s="6" t="s">
        <v>426</v>
      </c>
      <c r="L153" s="6" t="s">
        <v>426</v>
      </c>
      <c r="M153" s="6" t="s">
        <v>453</v>
      </c>
      <c r="N153" s="6" t="s">
        <v>426</v>
      </c>
      <c r="O153" s="6" t="s">
        <v>426</v>
      </c>
      <c r="P153" s="6" t="s">
        <v>426</v>
      </c>
      <c r="Q153" s="6" t="s">
        <v>426</v>
      </c>
      <c r="R153" s="6" t="s">
        <v>426</v>
      </c>
      <c r="S153" s="6" t="s">
        <v>426</v>
      </c>
      <c r="T153" s="6" t="s">
        <v>426</v>
      </c>
      <c r="U153" s="6" t="s">
        <v>426</v>
      </c>
      <c r="V153" s="6" t="s">
        <v>426</v>
      </c>
      <c r="W153" s="6" t="s">
        <v>426</v>
      </c>
      <c r="X153" s="6" t="s">
        <v>426</v>
      </c>
      <c r="Y153" s="6" t="s">
        <v>426</v>
      </c>
      <c r="Z153" s="6" t="s">
        <v>426</v>
      </c>
      <c r="AA153" s="6" t="s">
        <v>426</v>
      </c>
      <c r="AB153" s="6" t="s">
        <v>426</v>
      </c>
      <c r="AC153" s="15" t="s">
        <v>426</v>
      </c>
      <c r="AD153" s="6" t="s">
        <v>2184</v>
      </c>
      <c r="AE153" s="6">
        <v>1</v>
      </c>
      <c r="AF153" s="6">
        <v>1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0</v>
      </c>
      <c r="AM153" s="6"/>
      <c r="AN153" s="15"/>
      <c r="AO153" s="6" t="s">
        <v>426</v>
      </c>
      <c r="AP153" s="6" t="s">
        <v>823</v>
      </c>
      <c r="AQ153" s="6" t="s">
        <v>426</v>
      </c>
      <c r="AR153" s="6" t="s">
        <v>1270</v>
      </c>
      <c r="AS153" s="6" t="s">
        <v>426</v>
      </c>
      <c r="AT153" s="6">
        <v>0.4</v>
      </c>
      <c r="AU153" s="6" t="s">
        <v>426</v>
      </c>
      <c r="AV153" s="6">
        <v>0.4</v>
      </c>
      <c r="AW153" s="6" t="s">
        <v>426</v>
      </c>
      <c r="AX153" s="6">
        <v>0.8</v>
      </c>
      <c r="AY153" s="6" t="s">
        <v>426</v>
      </c>
      <c r="AZ153" s="6">
        <v>1</v>
      </c>
      <c r="BA153" s="6" t="s">
        <v>426</v>
      </c>
      <c r="BB153" s="6">
        <v>0.2</v>
      </c>
      <c r="BC153" s="6" t="s">
        <v>453</v>
      </c>
      <c r="BD153" s="6"/>
      <c r="BE153" s="6" t="s">
        <v>426</v>
      </c>
      <c r="BF153" s="6">
        <v>25</v>
      </c>
      <c r="BG153" s="6" t="s">
        <v>426</v>
      </c>
      <c r="BH153" s="6">
        <v>1</v>
      </c>
      <c r="BI153" s="6" t="s">
        <v>426</v>
      </c>
      <c r="BJ153" s="6">
        <v>1</v>
      </c>
      <c r="BK153" s="6" t="s">
        <v>426</v>
      </c>
      <c r="BL153" s="6">
        <v>0.2</v>
      </c>
      <c r="BM153" s="6" t="s">
        <v>426</v>
      </c>
      <c r="BN153" s="6">
        <v>30</v>
      </c>
      <c r="BO153" s="6" t="s">
        <v>426</v>
      </c>
      <c r="BP153" s="6">
        <v>0.4</v>
      </c>
      <c r="BQ153" s="6" t="s">
        <v>426</v>
      </c>
      <c r="BR153" s="6">
        <v>60</v>
      </c>
      <c r="BS153" s="6" t="s">
        <v>426</v>
      </c>
      <c r="BT153" s="6">
        <v>10</v>
      </c>
      <c r="BU153" s="6" t="s">
        <v>426</v>
      </c>
      <c r="BV153" s="15">
        <v>1</v>
      </c>
      <c r="BW153" s="15" t="s">
        <v>2708</v>
      </c>
      <c r="BX153" s="15" t="s">
        <v>429</v>
      </c>
      <c r="BY153" s="6" t="s">
        <v>430</v>
      </c>
      <c r="BZ153" s="6" t="s">
        <v>430</v>
      </c>
      <c r="CA153" s="6" t="s">
        <v>430</v>
      </c>
      <c r="CB153" s="6" t="s">
        <v>486</v>
      </c>
      <c r="CC153" s="6" t="s">
        <v>430</v>
      </c>
      <c r="CD153" s="6" t="s">
        <v>430</v>
      </c>
      <c r="CE153" s="6" t="s">
        <v>430</v>
      </c>
      <c r="CF153" s="6" t="s">
        <v>609</v>
      </c>
      <c r="CG153" s="6" t="s">
        <v>487</v>
      </c>
      <c r="CH153" s="6" t="s">
        <v>430</v>
      </c>
      <c r="CI153" s="6" t="s">
        <v>430</v>
      </c>
      <c r="CJ153" s="6" t="s">
        <v>430</v>
      </c>
      <c r="CK153" s="6" t="s">
        <v>430</v>
      </c>
      <c r="CL153" s="6" t="s">
        <v>430</v>
      </c>
      <c r="CM153" s="6" t="s">
        <v>430</v>
      </c>
      <c r="CN153" s="6" t="s">
        <v>430</v>
      </c>
      <c r="CO153" s="15" t="s">
        <v>486</v>
      </c>
      <c r="CP153" s="15" t="s">
        <v>432</v>
      </c>
      <c r="CQ153" s="6" t="s">
        <v>433</v>
      </c>
      <c r="CR153" s="15"/>
      <c r="CS153" s="6" t="s">
        <v>453</v>
      </c>
      <c r="CT153" s="6"/>
      <c r="CU153" s="6"/>
      <c r="CV153" s="6"/>
      <c r="CW153" s="6"/>
      <c r="CX153" s="15" t="s">
        <v>426</v>
      </c>
      <c r="CY153" s="6" t="s">
        <v>426</v>
      </c>
      <c r="CZ153" s="6" t="s">
        <v>1336</v>
      </c>
      <c r="DA153" s="6" t="s">
        <v>733</v>
      </c>
      <c r="DB153" s="6" t="s">
        <v>2709</v>
      </c>
      <c r="DC153" s="6" t="s">
        <v>2710</v>
      </c>
      <c r="DD153" s="15" t="s">
        <v>1393</v>
      </c>
      <c r="DE153" s="15" t="s">
        <v>436</v>
      </c>
      <c r="DF153" s="6" t="s">
        <v>585</v>
      </c>
      <c r="DG153" s="6">
        <v>0</v>
      </c>
      <c r="DH153" s="6">
        <v>0</v>
      </c>
      <c r="DI153" s="6">
        <v>1</v>
      </c>
      <c r="DJ153" s="6">
        <v>0</v>
      </c>
      <c r="DK153" s="6">
        <v>0</v>
      </c>
      <c r="DL153" s="6">
        <v>0</v>
      </c>
      <c r="DM153" s="6"/>
      <c r="DN153" s="6"/>
      <c r="DO153" s="6"/>
      <c r="DP153" s="6"/>
      <c r="DQ153" s="6"/>
      <c r="DR153" s="6"/>
      <c r="DS153" s="6"/>
      <c r="DT153" s="66"/>
      <c r="DU153" s="6" t="s">
        <v>438</v>
      </c>
      <c r="DV153" s="6" t="s">
        <v>426</v>
      </c>
      <c r="DW153" s="6" t="s">
        <v>490</v>
      </c>
      <c r="DX153" s="6" t="s">
        <v>440</v>
      </c>
      <c r="DY153" s="6"/>
      <c r="DZ153" s="6" t="s">
        <v>2711</v>
      </c>
      <c r="EA153" s="6">
        <v>0</v>
      </c>
      <c r="EB153" s="6">
        <v>0</v>
      </c>
      <c r="EC153" s="6">
        <v>0</v>
      </c>
      <c r="ED153" s="6">
        <v>0</v>
      </c>
      <c r="EE153" s="6">
        <v>1</v>
      </c>
      <c r="EF153" s="6">
        <v>1</v>
      </c>
      <c r="EG153" s="6">
        <v>0</v>
      </c>
      <c r="EH153" s="6">
        <v>0</v>
      </c>
      <c r="EI153" s="6"/>
      <c r="EJ153" s="6" t="s">
        <v>2712</v>
      </c>
      <c r="EK153" s="6">
        <v>1</v>
      </c>
      <c r="EL153" s="6">
        <v>0</v>
      </c>
      <c r="EM153" s="6">
        <v>0</v>
      </c>
      <c r="EN153" s="6">
        <v>0</v>
      </c>
      <c r="EO153" s="6">
        <v>0</v>
      </c>
      <c r="EP153" s="6">
        <v>1</v>
      </c>
      <c r="EQ153" s="6">
        <v>0</v>
      </c>
      <c r="ER153" s="6">
        <v>0</v>
      </c>
      <c r="ES153" s="6">
        <v>0</v>
      </c>
      <c r="ET153" s="6"/>
      <c r="EU153" s="6" t="s">
        <v>443</v>
      </c>
      <c r="EV153" s="6" t="s">
        <v>495</v>
      </c>
      <c r="EW153" s="6"/>
      <c r="EX153" s="6" t="s">
        <v>885</v>
      </c>
      <c r="EY153" s="6">
        <v>0</v>
      </c>
      <c r="EZ153" s="6">
        <v>0</v>
      </c>
      <c r="FA153" s="6">
        <v>0</v>
      </c>
      <c r="FB153" s="6">
        <v>0</v>
      </c>
      <c r="FC153" s="6">
        <v>1</v>
      </c>
      <c r="FD153" s="6">
        <v>0</v>
      </c>
      <c r="FE153" s="6">
        <v>0</v>
      </c>
      <c r="FF153" s="6">
        <v>0</v>
      </c>
      <c r="FG153" s="6"/>
      <c r="FH153" s="6" t="s">
        <v>670</v>
      </c>
      <c r="FI153" s="6">
        <v>0</v>
      </c>
      <c r="FJ153" s="6">
        <v>0</v>
      </c>
      <c r="FK153" s="6">
        <v>0</v>
      </c>
      <c r="FL153" s="6">
        <v>0</v>
      </c>
      <c r="FM153" s="6">
        <v>0</v>
      </c>
      <c r="FN153" s="6">
        <v>1</v>
      </c>
      <c r="FO153" s="6">
        <v>0</v>
      </c>
      <c r="FP153" s="6">
        <v>0</v>
      </c>
      <c r="FQ153" s="6">
        <v>0</v>
      </c>
      <c r="FR153" s="6">
        <v>0</v>
      </c>
      <c r="FS153" s="6"/>
      <c r="FT153" s="6" t="s">
        <v>556</v>
      </c>
      <c r="FU153" s="6" t="s">
        <v>448</v>
      </c>
      <c r="FV153" s="6"/>
      <c r="FW153" s="6" t="s">
        <v>449</v>
      </c>
      <c r="FX153" s="15" t="s">
        <v>450</v>
      </c>
      <c r="FY153" s="6" t="s">
        <v>1012</v>
      </c>
      <c r="FZ153" s="6"/>
      <c r="GA153" s="6" t="s">
        <v>450</v>
      </c>
      <c r="GB153" s="6" t="s">
        <v>501</v>
      </c>
      <c r="GC153" s="6" t="s">
        <v>453</v>
      </c>
      <c r="GD153" s="6"/>
      <c r="GE153" s="6" t="s">
        <v>642</v>
      </c>
      <c r="GF153" s="6" t="s">
        <v>2082</v>
      </c>
      <c r="GG153" s="6" t="s">
        <v>592</v>
      </c>
      <c r="GH153" s="15" t="s">
        <v>2713</v>
      </c>
      <c r="GI153" s="6" t="s">
        <v>458</v>
      </c>
      <c r="GJ153" s="6" t="s">
        <v>2714</v>
      </c>
      <c r="GK153" s="6" t="s">
        <v>460</v>
      </c>
      <c r="GL153" s="6" t="s">
        <v>461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1</v>
      </c>
      <c r="GS153" s="6">
        <v>0</v>
      </c>
      <c r="GT153" s="6"/>
      <c r="GU153" s="6" t="s">
        <v>534</v>
      </c>
      <c r="GV153" s="6" t="s">
        <v>559</v>
      </c>
      <c r="GW153" s="6" t="s">
        <v>2715</v>
      </c>
      <c r="GX153" s="6">
        <v>0</v>
      </c>
      <c r="GY153" s="6">
        <v>1</v>
      </c>
      <c r="GZ153" s="6">
        <v>1</v>
      </c>
      <c r="HA153" s="6">
        <v>0</v>
      </c>
      <c r="HB153" s="6">
        <v>0</v>
      </c>
      <c r="HC153" s="6">
        <v>0</v>
      </c>
      <c r="HD153" s="6"/>
      <c r="HE153" s="6" t="s">
        <v>2716</v>
      </c>
      <c r="HF153" s="6">
        <v>1</v>
      </c>
      <c r="HG153" s="6">
        <v>0</v>
      </c>
      <c r="HH153" s="6">
        <v>1</v>
      </c>
      <c r="HI153" s="6">
        <v>1</v>
      </c>
      <c r="HJ153" s="6">
        <v>1</v>
      </c>
      <c r="HK153" s="6">
        <v>0</v>
      </c>
      <c r="HL153" s="15"/>
      <c r="HM153" s="6" t="s">
        <v>1016</v>
      </c>
      <c r="HN153" s="6"/>
      <c r="HO153" s="6" t="s">
        <v>2717</v>
      </c>
      <c r="HP153" s="6" t="s">
        <v>1668</v>
      </c>
      <c r="HQ153" s="6"/>
      <c r="HR153" s="6" t="s">
        <v>2718</v>
      </c>
      <c r="HS153" s="6" t="s">
        <v>2719</v>
      </c>
      <c r="HT153" s="6">
        <v>0</v>
      </c>
      <c r="HU153" s="6">
        <v>0</v>
      </c>
      <c r="HV153" s="6">
        <v>1</v>
      </c>
      <c r="HW153" s="6">
        <v>1</v>
      </c>
      <c r="HX153" s="6">
        <v>0</v>
      </c>
      <c r="HY153" s="6">
        <v>0</v>
      </c>
      <c r="HZ153" s="6"/>
      <c r="IA153" s="6" t="s">
        <v>2720</v>
      </c>
      <c r="IB153" s="6">
        <v>1</v>
      </c>
      <c r="IC153" s="6">
        <v>0</v>
      </c>
      <c r="ID153" s="6">
        <v>1</v>
      </c>
      <c r="IE153" s="6">
        <v>1</v>
      </c>
      <c r="IF153" s="6">
        <v>1</v>
      </c>
      <c r="IG153" s="6">
        <v>0</v>
      </c>
      <c r="IH153" s="15" t="s">
        <v>2721</v>
      </c>
      <c r="II153" s="6" t="s">
        <v>426</v>
      </c>
      <c r="IJ153" s="6" t="s">
        <v>543</v>
      </c>
      <c r="IK153" s="6">
        <v>0</v>
      </c>
      <c r="IL153" s="6">
        <v>1</v>
      </c>
      <c r="IM153" s="6">
        <v>0</v>
      </c>
      <c r="IN153" s="6"/>
      <c r="IO153" s="6" t="s">
        <v>2722</v>
      </c>
      <c r="IP153" s="6">
        <v>1</v>
      </c>
      <c r="IQ153" s="6">
        <v>0</v>
      </c>
      <c r="IR153" s="6">
        <v>0</v>
      </c>
      <c r="IS153" s="6">
        <v>0</v>
      </c>
      <c r="IT153" s="6">
        <v>1</v>
      </c>
      <c r="IU153" s="6">
        <v>0</v>
      </c>
      <c r="IV153" s="6"/>
      <c r="IW153" s="6" t="s">
        <v>426</v>
      </c>
      <c r="IX153" s="6">
        <v>1</v>
      </c>
      <c r="IY153" s="6" t="s">
        <v>474</v>
      </c>
      <c r="IZ153" s="6" t="s">
        <v>475</v>
      </c>
      <c r="JA153" s="6" t="s">
        <v>426</v>
      </c>
      <c r="JB153" s="6" t="s">
        <v>476</v>
      </c>
      <c r="JC153" s="6"/>
      <c r="JD153" s="6"/>
      <c r="JE153" s="6"/>
      <c r="JF153" s="6"/>
      <c r="JG153" s="6"/>
      <c r="JH153" s="6"/>
      <c r="JI153" s="6"/>
      <c r="JJ153" s="6"/>
      <c r="JK153" s="6" t="s">
        <v>453</v>
      </c>
      <c r="JL153" s="6"/>
      <c r="JM153" s="6"/>
      <c r="JN153" s="6"/>
      <c r="JO153" s="6"/>
      <c r="JP153" s="6"/>
      <c r="JQ153" s="6"/>
      <c r="JR153" s="6"/>
      <c r="JS153" s="6"/>
      <c r="JT153" s="6"/>
      <c r="JU153" s="6" t="s">
        <v>1814</v>
      </c>
      <c r="JV153" s="15"/>
      <c r="JW153" s="94" t="s">
        <v>2723</v>
      </c>
      <c r="JX153" s="6" t="s">
        <v>2724</v>
      </c>
      <c r="JY153" s="6">
        <v>0.8260711</v>
      </c>
      <c r="JZ153" s="6">
        <v>34.8661107</v>
      </c>
      <c r="KA153" s="6">
        <v>1738.2841796875</v>
      </c>
      <c r="KB153" s="15">
        <v>4.208</v>
      </c>
      <c r="KC153" s="15"/>
    </row>
    <row r="154" spans="1:289">
      <c r="A154" s="6" t="s">
        <v>419</v>
      </c>
      <c r="B154" s="6" t="s">
        <v>2503</v>
      </c>
      <c r="C154" s="7" t="s">
        <v>2504</v>
      </c>
      <c r="D154" s="6" t="s">
        <v>2537</v>
      </c>
      <c r="E154" s="6" t="s">
        <v>2725</v>
      </c>
      <c r="F154" s="8" t="s">
        <v>483</v>
      </c>
      <c r="G154" s="6" t="s">
        <v>484</v>
      </c>
      <c r="H154" s="6" t="s">
        <v>425</v>
      </c>
      <c r="I154" s="15"/>
      <c r="J154" s="6" t="s">
        <v>426</v>
      </c>
      <c r="K154" s="6" t="s">
        <v>426</v>
      </c>
      <c r="L154" s="6" t="s">
        <v>426</v>
      </c>
      <c r="M154" s="6" t="s">
        <v>426</v>
      </c>
      <c r="N154" s="6" t="s">
        <v>426</v>
      </c>
      <c r="O154" s="6" t="s">
        <v>426</v>
      </c>
      <c r="P154" s="6" t="s">
        <v>426</v>
      </c>
      <c r="Q154" s="6" t="s">
        <v>426</v>
      </c>
      <c r="R154" s="6" t="s">
        <v>426</v>
      </c>
      <c r="S154" s="6" t="s">
        <v>426</v>
      </c>
      <c r="T154" s="6" t="s">
        <v>426</v>
      </c>
      <c r="U154" s="6" t="s">
        <v>426</v>
      </c>
      <c r="V154" s="6" t="s">
        <v>426</v>
      </c>
      <c r="W154" s="6" t="s">
        <v>426</v>
      </c>
      <c r="X154" s="6" t="s">
        <v>426</v>
      </c>
      <c r="Y154" s="6" t="s">
        <v>426</v>
      </c>
      <c r="Z154" s="6" t="s">
        <v>426</v>
      </c>
      <c r="AA154" s="6" t="s">
        <v>426</v>
      </c>
      <c r="AB154" s="6" t="s">
        <v>426</v>
      </c>
      <c r="AC154" s="15" t="s">
        <v>426</v>
      </c>
      <c r="AD154" s="6" t="s">
        <v>427</v>
      </c>
      <c r="AE154" s="6">
        <v>0</v>
      </c>
      <c r="AF154" s="6">
        <v>0</v>
      </c>
      <c r="AG154" s="6">
        <v>0</v>
      </c>
      <c r="AH154" s="6">
        <v>1</v>
      </c>
      <c r="AI154" s="6">
        <v>0</v>
      </c>
      <c r="AJ154" s="6">
        <v>0</v>
      </c>
      <c r="AK154" s="6">
        <v>0</v>
      </c>
      <c r="AL154" s="6">
        <v>0</v>
      </c>
      <c r="AM154" s="6"/>
      <c r="AN154" s="15"/>
      <c r="AO154" s="6" t="s">
        <v>426</v>
      </c>
      <c r="AP154" s="6" t="s">
        <v>985</v>
      </c>
      <c r="AQ154" s="6" t="s">
        <v>426</v>
      </c>
      <c r="AR154" s="6" t="s">
        <v>985</v>
      </c>
      <c r="AS154" s="6" t="s">
        <v>426</v>
      </c>
      <c r="AT154" s="6">
        <v>0.2</v>
      </c>
      <c r="AU154" s="6" t="s">
        <v>426</v>
      </c>
      <c r="AV154" s="6">
        <v>0.75</v>
      </c>
      <c r="AW154" s="6" t="s">
        <v>426</v>
      </c>
      <c r="AX154" s="6">
        <v>0.2</v>
      </c>
      <c r="AY154" s="6" t="s">
        <v>426</v>
      </c>
      <c r="AZ154" s="6">
        <v>1</v>
      </c>
      <c r="BA154" s="6" t="s">
        <v>426</v>
      </c>
      <c r="BB154" s="6">
        <v>0.75</v>
      </c>
      <c r="BC154" s="6" t="s">
        <v>426</v>
      </c>
      <c r="BD154" s="6">
        <v>0.75</v>
      </c>
      <c r="BE154" s="6" t="s">
        <v>426</v>
      </c>
      <c r="BF154" s="6">
        <v>3</v>
      </c>
      <c r="BG154" s="6" t="s">
        <v>426</v>
      </c>
      <c r="BH154" s="6">
        <v>0.2</v>
      </c>
      <c r="BI154" s="6" t="s">
        <v>426</v>
      </c>
      <c r="BJ154" s="6">
        <v>0.2</v>
      </c>
      <c r="BK154" s="6" t="s">
        <v>426</v>
      </c>
      <c r="BL154" s="6">
        <v>0.75</v>
      </c>
      <c r="BM154" s="6" t="s">
        <v>426</v>
      </c>
      <c r="BN154" s="6">
        <v>20</v>
      </c>
      <c r="BO154" s="6" t="s">
        <v>426</v>
      </c>
      <c r="BP154" s="6">
        <v>0.75</v>
      </c>
      <c r="BQ154" s="6" t="s">
        <v>426</v>
      </c>
      <c r="BR154" s="6">
        <v>7</v>
      </c>
      <c r="BS154" s="6" t="s">
        <v>426</v>
      </c>
      <c r="BT154" s="6">
        <v>7</v>
      </c>
      <c r="BU154" s="6" t="s">
        <v>426</v>
      </c>
      <c r="BV154" s="15">
        <v>0.2</v>
      </c>
      <c r="BW154" s="15" t="s">
        <v>428</v>
      </c>
      <c r="BX154" s="15" t="s">
        <v>429</v>
      </c>
      <c r="BY154" s="6" t="s">
        <v>430</v>
      </c>
      <c r="BZ154" s="6" t="s">
        <v>430</v>
      </c>
      <c r="CA154" s="6" t="s">
        <v>430</v>
      </c>
      <c r="CB154" s="6" t="s">
        <v>431</v>
      </c>
      <c r="CC154" s="6" t="s">
        <v>430</v>
      </c>
      <c r="CD154" s="6" t="s">
        <v>431</v>
      </c>
      <c r="CE154" s="6" t="s">
        <v>431</v>
      </c>
      <c r="CF154" s="6" t="s">
        <v>430</v>
      </c>
      <c r="CG154" s="6" t="s">
        <v>431</v>
      </c>
      <c r="CH154" s="6" t="s">
        <v>431</v>
      </c>
      <c r="CI154" s="6" t="s">
        <v>430</v>
      </c>
      <c r="CJ154" s="6" t="s">
        <v>430</v>
      </c>
      <c r="CK154" s="6" t="s">
        <v>430</v>
      </c>
      <c r="CL154" s="6" t="s">
        <v>430</v>
      </c>
      <c r="CM154" s="6" t="s">
        <v>430</v>
      </c>
      <c r="CN154" s="6" t="s">
        <v>431</v>
      </c>
      <c r="CO154" s="15" t="s">
        <v>431</v>
      </c>
      <c r="CP154" s="15" t="s">
        <v>432</v>
      </c>
      <c r="CQ154" s="6" t="s">
        <v>686</v>
      </c>
      <c r="CR154" s="15"/>
      <c r="CS154" s="6" t="s">
        <v>426</v>
      </c>
      <c r="CT154" s="6" t="s">
        <v>2726</v>
      </c>
      <c r="CU154" s="6" t="s">
        <v>688</v>
      </c>
      <c r="CV154" s="6" t="s">
        <v>733</v>
      </c>
      <c r="CW154" s="6" t="s">
        <v>990</v>
      </c>
      <c r="CX154" s="15" t="s">
        <v>426</v>
      </c>
      <c r="CY154" s="6" t="s">
        <v>426</v>
      </c>
      <c r="CZ154" s="6" t="s">
        <v>2727</v>
      </c>
      <c r="DA154" s="6" t="s">
        <v>689</v>
      </c>
      <c r="DB154" s="6" t="s">
        <v>1024</v>
      </c>
      <c r="DC154" s="6" t="s">
        <v>1225</v>
      </c>
      <c r="DD154" s="15" t="s">
        <v>1090</v>
      </c>
      <c r="DE154" s="15" t="s">
        <v>521</v>
      </c>
      <c r="DF154" s="6" t="s">
        <v>437</v>
      </c>
      <c r="DG154" s="6">
        <v>1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/>
      <c r="DN154" s="6"/>
      <c r="DO154" s="6"/>
      <c r="DP154" s="6"/>
      <c r="DQ154" s="6"/>
      <c r="DR154" s="6"/>
      <c r="DS154" s="6"/>
      <c r="DT154" s="66"/>
      <c r="DU154" s="6" t="s">
        <v>438</v>
      </c>
      <c r="DV154" s="6" t="s">
        <v>426</v>
      </c>
      <c r="DW154" s="6" t="s">
        <v>439</v>
      </c>
      <c r="DX154" s="6" t="s">
        <v>491</v>
      </c>
      <c r="DY154" s="6"/>
      <c r="DZ154" s="6" t="s">
        <v>940</v>
      </c>
      <c r="EA154" s="6">
        <v>1</v>
      </c>
      <c r="EB154" s="6">
        <v>1</v>
      </c>
      <c r="EC154" s="6">
        <v>1</v>
      </c>
      <c r="ED154" s="6">
        <v>1</v>
      </c>
      <c r="EE154" s="6">
        <v>0</v>
      </c>
      <c r="EF154" s="6">
        <v>0</v>
      </c>
      <c r="EG154" s="6">
        <v>0</v>
      </c>
      <c r="EH154" s="6">
        <v>0</v>
      </c>
      <c r="EI154" s="6"/>
      <c r="EJ154" s="6" t="s">
        <v>697</v>
      </c>
      <c r="EK154" s="6">
        <v>1</v>
      </c>
      <c r="EL154" s="6">
        <v>1</v>
      </c>
      <c r="EM154" s="6">
        <v>1</v>
      </c>
      <c r="EN154" s="6">
        <v>1</v>
      </c>
      <c r="EO154" s="6">
        <v>1</v>
      </c>
      <c r="EP154" s="6">
        <v>1</v>
      </c>
      <c r="EQ154" s="6">
        <v>0</v>
      </c>
      <c r="ER154" s="6">
        <v>0</v>
      </c>
      <c r="ES154" s="6">
        <v>0</v>
      </c>
      <c r="ET154" s="6"/>
      <c r="EU154" s="6" t="s">
        <v>494</v>
      </c>
      <c r="EV154" s="6" t="s">
        <v>495</v>
      </c>
      <c r="EW154" s="6"/>
      <c r="EX154" s="6" t="s">
        <v>445</v>
      </c>
      <c r="EY154" s="6">
        <v>0</v>
      </c>
      <c r="EZ154" s="6">
        <v>0</v>
      </c>
      <c r="FA154" s="6">
        <v>1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/>
      <c r="FH154" s="6" t="s">
        <v>812</v>
      </c>
      <c r="FI154" s="6">
        <v>1</v>
      </c>
      <c r="FJ154" s="6">
        <v>0</v>
      </c>
      <c r="FK154" s="6">
        <v>0</v>
      </c>
      <c r="FL154" s="6">
        <v>0</v>
      </c>
      <c r="FM154" s="6">
        <v>0</v>
      </c>
      <c r="FN154" s="6">
        <v>0</v>
      </c>
      <c r="FO154" s="6">
        <v>0</v>
      </c>
      <c r="FP154" s="6">
        <v>0</v>
      </c>
      <c r="FQ154" s="6">
        <v>0</v>
      </c>
      <c r="FR154" s="6">
        <v>0</v>
      </c>
      <c r="FS154" s="6"/>
      <c r="FT154" s="6" t="s">
        <v>447</v>
      </c>
      <c r="FU154" s="6" t="s">
        <v>448</v>
      </c>
      <c r="FV154" s="6"/>
      <c r="FW154" s="6" t="s">
        <v>449</v>
      </c>
      <c r="FX154" s="15" t="s">
        <v>528</v>
      </c>
      <c r="FY154" s="6" t="s">
        <v>451</v>
      </c>
      <c r="FZ154" s="6"/>
      <c r="GA154" s="6" t="s">
        <v>528</v>
      </c>
      <c r="GB154" s="6" t="s">
        <v>452</v>
      </c>
      <c r="GC154" s="6" t="s">
        <v>453</v>
      </c>
      <c r="GD154" s="6"/>
      <c r="GE154" s="6" t="s">
        <v>454</v>
      </c>
      <c r="GF154" s="6" t="s">
        <v>2728</v>
      </c>
      <c r="GG154" s="6" t="s">
        <v>456</v>
      </c>
      <c r="GH154" s="15" t="s">
        <v>2729</v>
      </c>
      <c r="GI154" s="6" t="s">
        <v>701</v>
      </c>
      <c r="GJ154" s="6" t="s">
        <v>2730</v>
      </c>
      <c r="GK154" s="6" t="s">
        <v>703</v>
      </c>
      <c r="GL154" s="6" t="s">
        <v>720</v>
      </c>
      <c r="GM154" s="6">
        <v>1</v>
      </c>
      <c r="GN154" s="6">
        <v>0</v>
      </c>
      <c r="GO154" s="6">
        <v>0</v>
      </c>
      <c r="GP154" s="6">
        <v>0</v>
      </c>
      <c r="GQ154" s="6">
        <v>0</v>
      </c>
      <c r="GR154" s="6">
        <v>0</v>
      </c>
      <c r="GS154" s="6">
        <v>0</v>
      </c>
      <c r="GT154" s="6"/>
      <c r="GU154" s="6" t="s">
        <v>462</v>
      </c>
      <c r="GV154" s="6" t="s">
        <v>463</v>
      </c>
      <c r="GW154" s="6" t="s">
        <v>464</v>
      </c>
      <c r="GX154" s="6">
        <v>1</v>
      </c>
      <c r="GY154" s="6">
        <v>0</v>
      </c>
      <c r="GZ154" s="6">
        <v>0</v>
      </c>
      <c r="HA154" s="6">
        <v>0</v>
      </c>
      <c r="HB154" s="6">
        <v>0</v>
      </c>
      <c r="HC154" s="6">
        <v>0</v>
      </c>
      <c r="HD154" s="6"/>
      <c r="HE154" s="6" t="s">
        <v>535</v>
      </c>
      <c r="HF154" s="6">
        <v>1</v>
      </c>
      <c r="HG154" s="6">
        <v>0</v>
      </c>
      <c r="HH154" s="6">
        <v>0</v>
      </c>
      <c r="HI154" s="6">
        <v>0</v>
      </c>
      <c r="HJ154" s="6">
        <v>0</v>
      </c>
      <c r="HK154" s="6">
        <v>0</v>
      </c>
      <c r="HL154" s="15"/>
      <c r="HM154" s="6" t="s">
        <v>466</v>
      </c>
      <c r="HN154" s="6"/>
      <c r="HO154" s="6" t="s">
        <v>2731</v>
      </c>
      <c r="HP154" s="6" t="s">
        <v>468</v>
      </c>
      <c r="HQ154" s="6"/>
      <c r="HR154" s="6" t="s">
        <v>1297</v>
      </c>
      <c r="HS154" s="6" t="s">
        <v>470</v>
      </c>
      <c r="HT154" s="6">
        <v>0</v>
      </c>
      <c r="HU154" s="6">
        <v>0</v>
      </c>
      <c r="HV154" s="6">
        <v>0</v>
      </c>
      <c r="HW154" s="6">
        <v>0</v>
      </c>
      <c r="HX154" s="6">
        <v>1</v>
      </c>
      <c r="HY154" s="6">
        <v>0</v>
      </c>
      <c r="HZ154" s="6"/>
      <c r="IA154" s="6" t="s">
        <v>541</v>
      </c>
      <c r="IB154" s="6">
        <v>0</v>
      </c>
      <c r="IC154" s="6">
        <v>0</v>
      </c>
      <c r="ID154" s="6">
        <v>1</v>
      </c>
      <c r="IE154" s="6">
        <v>0</v>
      </c>
      <c r="IF154" s="6">
        <v>0</v>
      </c>
      <c r="IG154" s="6">
        <v>0</v>
      </c>
      <c r="IH154" s="15" t="s">
        <v>2732</v>
      </c>
      <c r="II154" s="6" t="s">
        <v>426</v>
      </c>
      <c r="IJ154" s="6" t="s">
        <v>472</v>
      </c>
      <c r="IK154" s="6">
        <v>1</v>
      </c>
      <c r="IL154" s="6">
        <v>0</v>
      </c>
      <c r="IM154" s="6">
        <v>0</v>
      </c>
      <c r="IN154" s="6"/>
      <c r="IO154" s="6" t="s">
        <v>473</v>
      </c>
      <c r="IP154" s="6">
        <v>1</v>
      </c>
      <c r="IQ154" s="6">
        <v>0</v>
      </c>
      <c r="IR154" s="6">
        <v>0</v>
      </c>
      <c r="IS154" s="6">
        <v>0</v>
      </c>
      <c r="IT154" s="6">
        <v>0</v>
      </c>
      <c r="IU154" s="6">
        <v>0</v>
      </c>
      <c r="IV154" s="6"/>
      <c r="IW154" s="6" t="s">
        <v>453</v>
      </c>
      <c r="IX154" s="6"/>
      <c r="IY154" s="6" t="s">
        <v>510</v>
      </c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 t="s">
        <v>426</v>
      </c>
      <c r="JK154" s="6" t="s">
        <v>426</v>
      </c>
      <c r="JL154" s="6" t="s">
        <v>426</v>
      </c>
      <c r="JM154" s="6"/>
      <c r="JN154" s="6"/>
      <c r="JO154" s="6"/>
      <c r="JP154" s="6"/>
      <c r="JQ154" s="6"/>
      <c r="JR154" s="6"/>
      <c r="JS154" s="6"/>
      <c r="JT154" s="6"/>
      <c r="JU154" s="6" t="s">
        <v>477</v>
      </c>
      <c r="JV154" s="15"/>
      <c r="JW154" s="94" t="s">
        <v>2733</v>
      </c>
      <c r="JX154" s="6" t="s">
        <v>2734</v>
      </c>
      <c r="JY154" s="6">
        <v>0.826055</v>
      </c>
      <c r="JZ154" s="6">
        <v>34.8660467</v>
      </c>
      <c r="KA154" s="6">
        <v>1771.2</v>
      </c>
      <c r="KB154" s="15">
        <v>4.3</v>
      </c>
      <c r="KC154" s="15"/>
    </row>
    <row r="155" spans="1:289">
      <c r="A155" s="6" t="s">
        <v>581</v>
      </c>
      <c r="B155" s="6" t="s">
        <v>2503</v>
      </c>
      <c r="C155" s="7" t="s">
        <v>2504</v>
      </c>
      <c r="D155" s="6" t="s">
        <v>2735</v>
      </c>
      <c r="E155" s="6" t="s">
        <v>2736</v>
      </c>
      <c r="F155" s="8" t="s">
        <v>483</v>
      </c>
      <c r="G155" s="6" t="s">
        <v>424</v>
      </c>
      <c r="H155" s="6" t="s">
        <v>425</v>
      </c>
      <c r="I155" s="15"/>
      <c r="J155" s="6" t="s">
        <v>426</v>
      </c>
      <c r="K155" s="6" t="s">
        <v>426</v>
      </c>
      <c r="L155" s="6" t="s">
        <v>426</v>
      </c>
      <c r="M155" s="6" t="s">
        <v>426</v>
      </c>
      <c r="N155" s="6" t="s">
        <v>426</v>
      </c>
      <c r="O155" s="6" t="s">
        <v>426</v>
      </c>
      <c r="P155" s="6" t="s">
        <v>426</v>
      </c>
      <c r="Q155" s="6" t="s">
        <v>426</v>
      </c>
      <c r="R155" s="6" t="s">
        <v>426</v>
      </c>
      <c r="S155" s="6" t="s">
        <v>426</v>
      </c>
      <c r="T155" s="6" t="s">
        <v>426</v>
      </c>
      <c r="U155" s="6" t="s">
        <v>426</v>
      </c>
      <c r="V155" s="6" t="s">
        <v>426</v>
      </c>
      <c r="W155" s="6" t="s">
        <v>426</v>
      </c>
      <c r="X155" s="6" t="s">
        <v>426</v>
      </c>
      <c r="Y155" s="6" t="s">
        <v>426</v>
      </c>
      <c r="Z155" s="6" t="s">
        <v>426</v>
      </c>
      <c r="AA155" s="6" t="s">
        <v>426</v>
      </c>
      <c r="AB155" s="6" t="s">
        <v>426</v>
      </c>
      <c r="AC155" s="15" t="s">
        <v>426</v>
      </c>
      <c r="AD155" s="6" t="s">
        <v>427</v>
      </c>
      <c r="AE155" s="6">
        <v>0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0</v>
      </c>
      <c r="AL155" s="6">
        <v>0</v>
      </c>
      <c r="AM155" s="6"/>
      <c r="AN155" s="15"/>
      <c r="AO155" s="6" t="s">
        <v>426</v>
      </c>
      <c r="AP155" s="6" t="s">
        <v>766</v>
      </c>
      <c r="AQ155" s="6" t="s">
        <v>426</v>
      </c>
      <c r="AR155" s="6" t="s">
        <v>683</v>
      </c>
      <c r="AS155" s="6" t="s">
        <v>426</v>
      </c>
      <c r="AT155" s="6">
        <v>1</v>
      </c>
      <c r="AU155" s="6" t="s">
        <v>426</v>
      </c>
      <c r="AV155" s="6">
        <v>1</v>
      </c>
      <c r="AW155" s="6" t="s">
        <v>426</v>
      </c>
      <c r="AX155" s="6">
        <v>1</v>
      </c>
      <c r="AY155" s="6" t="s">
        <v>426</v>
      </c>
      <c r="AZ155" s="6">
        <v>1</v>
      </c>
      <c r="BA155" s="6" t="s">
        <v>426</v>
      </c>
      <c r="BB155" s="6">
        <v>1</v>
      </c>
      <c r="BC155" s="6" t="s">
        <v>426</v>
      </c>
      <c r="BD155" s="6">
        <v>1</v>
      </c>
      <c r="BE155" s="6" t="s">
        <v>426</v>
      </c>
      <c r="BF155" s="6">
        <v>5</v>
      </c>
      <c r="BG155" s="6" t="s">
        <v>426</v>
      </c>
      <c r="BH155" s="6">
        <v>0.2</v>
      </c>
      <c r="BI155" s="6" t="s">
        <v>426</v>
      </c>
      <c r="BJ155" s="6">
        <v>0.1</v>
      </c>
      <c r="BK155" s="6" t="s">
        <v>426</v>
      </c>
      <c r="BL155" s="6">
        <v>0.3</v>
      </c>
      <c r="BM155" s="6" t="s">
        <v>426</v>
      </c>
      <c r="BN155" s="6">
        <v>20</v>
      </c>
      <c r="BO155" s="6" t="s">
        <v>426</v>
      </c>
      <c r="BP155" s="6">
        <v>0.4</v>
      </c>
      <c r="BQ155" s="6" t="s">
        <v>426</v>
      </c>
      <c r="BR155" s="6">
        <v>50</v>
      </c>
      <c r="BS155" s="6" t="s">
        <v>426</v>
      </c>
      <c r="BT155" s="6">
        <v>20</v>
      </c>
      <c r="BU155" s="6" t="s">
        <v>426</v>
      </c>
      <c r="BV155" s="15">
        <v>0.4</v>
      </c>
      <c r="BW155" s="15" t="s">
        <v>518</v>
      </c>
      <c r="BX155" s="15" t="s">
        <v>429</v>
      </c>
      <c r="BY155" s="6" t="s">
        <v>430</v>
      </c>
      <c r="BZ155" s="6" t="s">
        <v>430</v>
      </c>
      <c r="CA155" s="6" t="s">
        <v>430</v>
      </c>
      <c r="CB155" s="6" t="s">
        <v>430</v>
      </c>
      <c r="CC155" s="6" t="s">
        <v>430</v>
      </c>
      <c r="CD155" s="6" t="s">
        <v>430</v>
      </c>
      <c r="CE155" s="6" t="s">
        <v>430</v>
      </c>
      <c r="CF155" s="6" t="s">
        <v>430</v>
      </c>
      <c r="CG155" s="6" t="s">
        <v>430</v>
      </c>
      <c r="CH155" s="6" t="s">
        <v>430</v>
      </c>
      <c r="CI155" s="6" t="s">
        <v>430</v>
      </c>
      <c r="CJ155" s="6" t="s">
        <v>430</v>
      </c>
      <c r="CK155" s="6" t="s">
        <v>430</v>
      </c>
      <c r="CL155" s="6" t="s">
        <v>430</v>
      </c>
      <c r="CM155" s="6" t="s">
        <v>430</v>
      </c>
      <c r="CN155" s="6" t="s">
        <v>430</v>
      </c>
      <c r="CO155" s="15" t="s">
        <v>430</v>
      </c>
      <c r="CP155" s="15" t="s">
        <v>432</v>
      </c>
      <c r="CQ155" s="6" t="s">
        <v>433</v>
      </c>
      <c r="CR155" s="15"/>
      <c r="CS155" s="6" t="s">
        <v>453</v>
      </c>
      <c r="CT155" s="6"/>
      <c r="CU155" s="6"/>
      <c r="CV155" s="6"/>
      <c r="CW155" s="6"/>
      <c r="CX155" s="15" t="s">
        <v>426</v>
      </c>
      <c r="CY155" s="6" t="s">
        <v>426</v>
      </c>
      <c r="CZ155" s="6" t="s">
        <v>2737</v>
      </c>
      <c r="DA155" s="6" t="s">
        <v>1137</v>
      </c>
      <c r="DB155" s="6" t="s">
        <v>1367</v>
      </c>
      <c r="DC155" s="6" t="s">
        <v>789</v>
      </c>
      <c r="DD155" s="15" t="s">
        <v>664</v>
      </c>
      <c r="DE155" s="15" t="s">
        <v>436</v>
      </c>
      <c r="DF155" s="6" t="s">
        <v>522</v>
      </c>
      <c r="DG155" s="6">
        <v>0</v>
      </c>
      <c r="DH155" s="6">
        <v>1</v>
      </c>
      <c r="DI155" s="6">
        <v>0</v>
      </c>
      <c r="DJ155" s="6">
        <v>0</v>
      </c>
      <c r="DK155" s="6">
        <v>0</v>
      </c>
      <c r="DL155" s="6">
        <v>0</v>
      </c>
      <c r="DM155" s="6"/>
      <c r="DN155" s="6"/>
      <c r="DO155" s="6"/>
      <c r="DP155" s="6"/>
      <c r="DQ155" s="6"/>
      <c r="DR155" s="6"/>
      <c r="DS155" s="6"/>
      <c r="DT155" s="66"/>
      <c r="DU155" s="6" t="s">
        <v>438</v>
      </c>
      <c r="DV155" s="6" t="s">
        <v>426</v>
      </c>
      <c r="DW155" s="6" t="s">
        <v>439</v>
      </c>
      <c r="DX155" s="6" t="s">
        <v>440</v>
      </c>
      <c r="DY155" s="6"/>
      <c r="DZ155" s="6" t="s">
        <v>768</v>
      </c>
      <c r="EA155" s="6">
        <v>1</v>
      </c>
      <c r="EB155" s="6">
        <v>1</v>
      </c>
      <c r="EC155" s="6">
        <v>1</v>
      </c>
      <c r="ED155" s="6">
        <v>1</v>
      </c>
      <c r="EE155" s="6">
        <v>1</v>
      </c>
      <c r="EF155" s="6">
        <v>0</v>
      </c>
      <c r="EG155" s="6">
        <v>0</v>
      </c>
      <c r="EH155" s="6">
        <v>0</v>
      </c>
      <c r="EI155" s="6"/>
      <c r="EJ155" s="6" t="s">
        <v>851</v>
      </c>
      <c r="EK155" s="6">
        <v>1</v>
      </c>
      <c r="EL155" s="6">
        <v>1</v>
      </c>
      <c r="EM155" s="6">
        <v>1</v>
      </c>
      <c r="EN155" s="6">
        <v>1</v>
      </c>
      <c r="EO155" s="6">
        <v>1</v>
      </c>
      <c r="EP155" s="6">
        <v>0</v>
      </c>
      <c r="EQ155" s="6">
        <v>0</v>
      </c>
      <c r="ER155" s="6">
        <v>0</v>
      </c>
      <c r="ES155" s="6">
        <v>0</v>
      </c>
      <c r="ET155" s="6"/>
      <c r="EU155" s="6" t="s">
        <v>443</v>
      </c>
      <c r="EV155" s="6" t="s">
        <v>588</v>
      </c>
      <c r="EW155" s="6"/>
      <c r="EX155" s="6" t="s">
        <v>2738</v>
      </c>
      <c r="EY155" s="6">
        <v>1</v>
      </c>
      <c r="EZ155" s="6">
        <v>1</v>
      </c>
      <c r="FA155" s="6">
        <v>1</v>
      </c>
      <c r="FB155" s="6">
        <v>1</v>
      </c>
      <c r="FC155" s="6">
        <v>0</v>
      </c>
      <c r="FD155" s="6">
        <v>0</v>
      </c>
      <c r="FE155" s="6">
        <v>0</v>
      </c>
      <c r="FF155" s="6">
        <v>0</v>
      </c>
      <c r="FG155" s="6"/>
      <c r="FH155" s="6" t="s">
        <v>2739</v>
      </c>
      <c r="FI155" s="6">
        <v>1</v>
      </c>
      <c r="FJ155" s="6">
        <v>0</v>
      </c>
      <c r="FK155" s="6">
        <v>0</v>
      </c>
      <c r="FL155" s="6">
        <v>0</v>
      </c>
      <c r="FM155" s="6">
        <v>1</v>
      </c>
      <c r="FN155" s="6">
        <v>1</v>
      </c>
      <c r="FO155" s="6">
        <v>0</v>
      </c>
      <c r="FP155" s="6">
        <v>0</v>
      </c>
      <c r="FQ155" s="6">
        <v>1</v>
      </c>
      <c r="FR155" s="6">
        <v>0</v>
      </c>
      <c r="FS155" s="6"/>
      <c r="FT155" s="6" t="s">
        <v>556</v>
      </c>
      <c r="FU155" s="6" t="s">
        <v>448</v>
      </c>
      <c r="FV155" s="6"/>
      <c r="FW155" s="6" t="s">
        <v>449</v>
      </c>
      <c r="FX155" s="15" t="s">
        <v>450</v>
      </c>
      <c r="FY155" s="6" t="s">
        <v>451</v>
      </c>
      <c r="FZ155" s="6"/>
      <c r="GA155" s="6" t="s">
        <v>450</v>
      </c>
      <c r="GB155" s="6" t="s">
        <v>501</v>
      </c>
      <c r="GC155" s="6" t="s">
        <v>453</v>
      </c>
      <c r="GD155" s="6"/>
      <c r="GE155" s="6" t="s">
        <v>454</v>
      </c>
      <c r="GF155" s="6" t="s">
        <v>1176</v>
      </c>
      <c r="GG155" s="6" t="s">
        <v>456</v>
      </c>
      <c r="GH155" s="15" t="s">
        <v>2740</v>
      </c>
      <c r="GI155" s="6" t="s">
        <v>458</v>
      </c>
      <c r="GJ155" s="6" t="s">
        <v>2741</v>
      </c>
      <c r="GK155" s="6" t="s">
        <v>460</v>
      </c>
      <c r="GL155" s="6" t="s">
        <v>461</v>
      </c>
      <c r="GM155" s="6">
        <v>0</v>
      </c>
      <c r="GN155" s="6">
        <v>0</v>
      </c>
      <c r="GO155" s="6">
        <v>0</v>
      </c>
      <c r="GP155" s="6">
        <v>0</v>
      </c>
      <c r="GQ155" s="6">
        <v>0</v>
      </c>
      <c r="GR155" s="6">
        <v>1</v>
      </c>
      <c r="GS155" s="6">
        <v>0</v>
      </c>
      <c r="GT155" s="6"/>
      <c r="GU155" s="6" t="s">
        <v>534</v>
      </c>
      <c r="GV155" s="6" t="s">
        <v>595</v>
      </c>
      <c r="GW155" s="6" t="s">
        <v>464</v>
      </c>
      <c r="GX155" s="6">
        <v>1</v>
      </c>
      <c r="GY155" s="6">
        <v>0</v>
      </c>
      <c r="GZ155" s="6">
        <v>0</v>
      </c>
      <c r="HA155" s="6">
        <v>0</v>
      </c>
      <c r="HB155" s="6">
        <v>0</v>
      </c>
      <c r="HC155" s="6">
        <v>0</v>
      </c>
      <c r="HD155" s="6"/>
      <c r="HE155" s="6" t="s">
        <v>1076</v>
      </c>
      <c r="HF155" s="6">
        <v>1</v>
      </c>
      <c r="HG155" s="6">
        <v>1</v>
      </c>
      <c r="HH155" s="6">
        <v>1</v>
      </c>
      <c r="HI155" s="6">
        <v>0</v>
      </c>
      <c r="HJ155" s="6">
        <v>0</v>
      </c>
      <c r="HK155" s="6">
        <v>0</v>
      </c>
      <c r="HL155" s="15"/>
      <c r="HM155" s="6" t="s">
        <v>466</v>
      </c>
      <c r="HN155" s="6"/>
      <c r="HO155" s="6" t="s">
        <v>2742</v>
      </c>
      <c r="HP155" s="6" t="s">
        <v>561</v>
      </c>
      <c r="HQ155" s="6"/>
      <c r="HR155" s="6" t="s">
        <v>2743</v>
      </c>
      <c r="HS155" s="6" t="s">
        <v>1039</v>
      </c>
      <c r="HT155" s="6">
        <v>1</v>
      </c>
      <c r="HU155" s="6">
        <v>0</v>
      </c>
      <c r="HV155" s="6">
        <v>1</v>
      </c>
      <c r="HW155" s="6">
        <v>0</v>
      </c>
      <c r="HX155" s="6">
        <v>0</v>
      </c>
      <c r="HY155" s="6">
        <v>0</v>
      </c>
      <c r="HZ155" s="6"/>
      <c r="IA155" s="6" t="s">
        <v>1284</v>
      </c>
      <c r="IB155" s="6">
        <v>1</v>
      </c>
      <c r="IC155" s="6">
        <v>1</v>
      </c>
      <c r="ID155" s="6">
        <v>1</v>
      </c>
      <c r="IE155" s="6">
        <v>1</v>
      </c>
      <c r="IF155" s="6">
        <v>0</v>
      </c>
      <c r="IG155" s="6">
        <v>0</v>
      </c>
      <c r="IH155" s="15" t="s">
        <v>2744</v>
      </c>
      <c r="II155" s="6" t="s">
        <v>426</v>
      </c>
      <c r="IJ155" s="6" t="s">
        <v>602</v>
      </c>
      <c r="IK155" s="6">
        <v>1</v>
      </c>
      <c r="IL155" s="6">
        <v>1</v>
      </c>
      <c r="IM155" s="6">
        <v>0</v>
      </c>
      <c r="IN155" s="6"/>
      <c r="IO155" s="6" t="s">
        <v>473</v>
      </c>
      <c r="IP155" s="6">
        <v>1</v>
      </c>
      <c r="IQ155" s="6">
        <v>0</v>
      </c>
      <c r="IR155" s="6">
        <v>0</v>
      </c>
      <c r="IS155" s="6">
        <v>0</v>
      </c>
      <c r="IT155" s="6">
        <v>0</v>
      </c>
      <c r="IU155" s="6">
        <v>0</v>
      </c>
      <c r="IV155" s="6"/>
      <c r="IW155" s="6" t="s">
        <v>426</v>
      </c>
      <c r="IX155" s="6">
        <v>1</v>
      </c>
      <c r="IY155" s="6" t="s">
        <v>474</v>
      </c>
      <c r="IZ155" s="6" t="s">
        <v>475</v>
      </c>
      <c r="JA155" s="6" t="s">
        <v>426</v>
      </c>
      <c r="JB155" s="6" t="s">
        <v>476</v>
      </c>
      <c r="JC155" s="6"/>
      <c r="JD155" s="6"/>
      <c r="JE155" s="6"/>
      <c r="JF155" s="6"/>
      <c r="JG155" s="6"/>
      <c r="JH155" s="6"/>
      <c r="JI155" s="6"/>
      <c r="JJ155" s="6"/>
      <c r="JK155" s="6" t="s">
        <v>426</v>
      </c>
      <c r="JL155" s="6" t="s">
        <v>426</v>
      </c>
      <c r="JM155" s="6"/>
      <c r="JN155" s="6"/>
      <c r="JO155" s="6"/>
      <c r="JP155" s="6"/>
      <c r="JQ155" s="6"/>
      <c r="JR155" s="6"/>
      <c r="JS155" s="6"/>
      <c r="JT155" s="6"/>
      <c r="JU155" s="6" t="s">
        <v>895</v>
      </c>
      <c r="JV155" s="15" t="s">
        <v>1422</v>
      </c>
      <c r="JW155" s="94" t="s">
        <v>2745</v>
      </c>
      <c r="JX155" s="6" t="s">
        <v>2746</v>
      </c>
      <c r="JY155" s="6">
        <v>0.831745</v>
      </c>
      <c r="JZ155" s="6">
        <v>34.8652785</v>
      </c>
      <c r="KA155" s="6">
        <v>1755.5</v>
      </c>
      <c r="KB155" s="15">
        <v>4.72</v>
      </c>
      <c r="KC155" s="15"/>
    </row>
    <row r="156" spans="1:289">
      <c r="A156" s="6" t="s">
        <v>547</v>
      </c>
      <c r="B156" s="6" t="s">
        <v>2503</v>
      </c>
      <c r="C156" s="7" t="s">
        <v>2504</v>
      </c>
      <c r="D156" s="6" t="s">
        <v>2167</v>
      </c>
      <c r="E156" s="6" t="s">
        <v>2747</v>
      </c>
      <c r="F156" s="8" t="s">
        <v>483</v>
      </c>
      <c r="G156" s="6" t="s">
        <v>424</v>
      </c>
      <c r="H156" s="6" t="s">
        <v>517</v>
      </c>
      <c r="I156" s="15"/>
      <c r="J156" s="6" t="s">
        <v>426</v>
      </c>
      <c r="K156" s="6" t="s">
        <v>426</v>
      </c>
      <c r="L156" s="6" t="s">
        <v>426</v>
      </c>
      <c r="M156" s="6" t="s">
        <v>426</v>
      </c>
      <c r="N156" s="6" t="s">
        <v>426</v>
      </c>
      <c r="O156" s="6" t="s">
        <v>426</v>
      </c>
      <c r="P156" s="6" t="s">
        <v>426</v>
      </c>
      <c r="Q156" s="6" t="s">
        <v>426</v>
      </c>
      <c r="R156" s="6" t="s">
        <v>426</v>
      </c>
      <c r="S156" s="6" t="s">
        <v>426</v>
      </c>
      <c r="T156" s="6" t="s">
        <v>426</v>
      </c>
      <c r="U156" s="6" t="s">
        <v>426</v>
      </c>
      <c r="V156" s="6" t="s">
        <v>453</v>
      </c>
      <c r="W156" s="6" t="s">
        <v>453</v>
      </c>
      <c r="X156" s="6" t="s">
        <v>426</v>
      </c>
      <c r="Y156" s="6" t="s">
        <v>426</v>
      </c>
      <c r="Z156" s="6" t="s">
        <v>426</v>
      </c>
      <c r="AA156" s="6" t="s">
        <v>426</v>
      </c>
      <c r="AB156" s="6" t="s">
        <v>426</v>
      </c>
      <c r="AC156" s="15" t="s">
        <v>426</v>
      </c>
      <c r="AD156" s="6" t="s">
        <v>427</v>
      </c>
      <c r="AE156" s="6">
        <v>0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/>
      <c r="AN156" s="15"/>
      <c r="AO156" s="6" t="s">
        <v>426</v>
      </c>
      <c r="AP156" s="6" t="s">
        <v>683</v>
      </c>
      <c r="AQ156" s="6" t="s">
        <v>426</v>
      </c>
      <c r="AR156" s="6" t="s">
        <v>823</v>
      </c>
      <c r="AS156" s="6" t="s">
        <v>426</v>
      </c>
      <c r="AT156" s="6">
        <v>0.2</v>
      </c>
      <c r="AU156" s="6" t="s">
        <v>453</v>
      </c>
      <c r="AV156" s="6"/>
      <c r="AW156" s="6" t="s">
        <v>426</v>
      </c>
      <c r="AX156" s="6">
        <v>0.8</v>
      </c>
      <c r="AY156" s="6" t="s">
        <v>426</v>
      </c>
      <c r="AZ156" s="6">
        <v>1</v>
      </c>
      <c r="BA156" s="6" t="s">
        <v>453</v>
      </c>
      <c r="BB156" s="6"/>
      <c r="BC156" s="6" t="s">
        <v>426</v>
      </c>
      <c r="BD156" s="6">
        <v>0.2</v>
      </c>
      <c r="BE156" s="6" t="s">
        <v>426</v>
      </c>
      <c r="BF156" s="6">
        <v>4</v>
      </c>
      <c r="BG156" s="6" t="s">
        <v>426</v>
      </c>
      <c r="BH156" s="6">
        <v>0.4</v>
      </c>
      <c r="BI156" s="6" t="s">
        <v>426</v>
      </c>
      <c r="BJ156" s="6">
        <v>0.4</v>
      </c>
      <c r="BK156" s="6" t="s">
        <v>426</v>
      </c>
      <c r="BL156" s="6">
        <v>0.8</v>
      </c>
      <c r="BM156" s="6" t="s">
        <v>426</v>
      </c>
      <c r="BN156" s="6">
        <v>16</v>
      </c>
      <c r="BO156" s="6" t="s">
        <v>426</v>
      </c>
      <c r="BP156" s="6">
        <v>0.4</v>
      </c>
      <c r="BQ156" s="6" t="s">
        <v>426</v>
      </c>
      <c r="BR156" s="6">
        <v>50</v>
      </c>
      <c r="BS156" s="6" t="s">
        <v>426</v>
      </c>
      <c r="BT156" s="6">
        <v>15</v>
      </c>
      <c r="BU156" s="6" t="s">
        <v>426</v>
      </c>
      <c r="BV156" s="15">
        <v>0.8</v>
      </c>
      <c r="BW156" s="15" t="s">
        <v>880</v>
      </c>
      <c r="BX156" s="15" t="s">
        <v>429</v>
      </c>
      <c r="BY156" s="6" t="s">
        <v>430</v>
      </c>
      <c r="BZ156" s="6" t="s">
        <v>430</v>
      </c>
      <c r="CA156" s="6" t="s">
        <v>430</v>
      </c>
      <c r="CB156" s="6" t="s">
        <v>487</v>
      </c>
      <c r="CC156" s="6" t="s">
        <v>430</v>
      </c>
      <c r="CD156" s="6" t="s">
        <v>430</v>
      </c>
      <c r="CE156" s="6" t="s">
        <v>487</v>
      </c>
      <c r="CF156" s="6" t="s">
        <v>430</v>
      </c>
      <c r="CG156" s="6" t="s">
        <v>430</v>
      </c>
      <c r="CH156" s="6" t="s">
        <v>430</v>
      </c>
      <c r="CI156" s="6" t="s">
        <v>430</v>
      </c>
      <c r="CJ156" s="6" t="s">
        <v>430</v>
      </c>
      <c r="CK156" s="6" t="s">
        <v>430</v>
      </c>
      <c r="CL156" s="6" t="s">
        <v>430</v>
      </c>
      <c r="CM156" s="6" t="s">
        <v>430</v>
      </c>
      <c r="CN156" s="6" t="s">
        <v>430</v>
      </c>
      <c r="CO156" s="15" t="s">
        <v>430</v>
      </c>
      <c r="CP156" s="15" t="s">
        <v>432</v>
      </c>
      <c r="CQ156" s="6" t="s">
        <v>433</v>
      </c>
      <c r="CR156" s="15"/>
      <c r="CS156" s="6" t="s">
        <v>426</v>
      </c>
      <c r="CT156" s="6" t="s">
        <v>2047</v>
      </c>
      <c r="CU156" s="6" t="s">
        <v>809</v>
      </c>
      <c r="CV156" s="6" t="s">
        <v>734</v>
      </c>
      <c r="CW156" s="6" t="s">
        <v>662</v>
      </c>
      <c r="CX156" s="15" t="s">
        <v>453</v>
      </c>
      <c r="CY156" s="6"/>
      <c r="CZ156" s="6"/>
      <c r="DA156" s="6"/>
      <c r="DB156" s="6"/>
      <c r="DC156" s="6"/>
      <c r="DD156" s="15"/>
      <c r="DE156" s="15" t="s">
        <v>436</v>
      </c>
      <c r="DF156" s="6" t="s">
        <v>522</v>
      </c>
      <c r="DG156" s="6">
        <v>0</v>
      </c>
      <c r="DH156" s="6">
        <v>1</v>
      </c>
      <c r="DI156" s="6">
        <v>0</v>
      </c>
      <c r="DJ156" s="6">
        <v>0</v>
      </c>
      <c r="DK156" s="6">
        <v>0</v>
      </c>
      <c r="DL156" s="6">
        <v>0</v>
      </c>
      <c r="DM156" s="6"/>
      <c r="DN156" s="6"/>
      <c r="DO156" s="6"/>
      <c r="DP156" s="6"/>
      <c r="DQ156" s="6"/>
      <c r="DR156" s="6"/>
      <c r="DS156" s="6"/>
      <c r="DT156" s="66"/>
      <c r="DU156" s="6" t="s">
        <v>438</v>
      </c>
      <c r="DV156" s="6" t="s">
        <v>426</v>
      </c>
      <c r="DW156" s="6" t="s">
        <v>490</v>
      </c>
      <c r="DX156" s="6" t="s">
        <v>440</v>
      </c>
      <c r="DY156" s="6"/>
      <c r="DZ156" s="6" t="s">
        <v>441</v>
      </c>
      <c r="EA156" s="6">
        <v>1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/>
      <c r="EJ156" s="6" t="s">
        <v>811</v>
      </c>
      <c r="EK156" s="6">
        <v>1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/>
      <c r="EU156" s="6" t="s">
        <v>443</v>
      </c>
      <c r="EV156" s="6" t="s">
        <v>495</v>
      </c>
      <c r="EW156" s="6"/>
      <c r="EX156" s="6" t="s">
        <v>1123</v>
      </c>
      <c r="EY156" s="6">
        <v>1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/>
      <c r="FH156" s="6" t="s">
        <v>812</v>
      </c>
      <c r="FI156" s="6">
        <v>1</v>
      </c>
      <c r="FJ156" s="6">
        <v>0</v>
      </c>
      <c r="FK156" s="6">
        <v>0</v>
      </c>
      <c r="FL156" s="6">
        <v>0</v>
      </c>
      <c r="FM156" s="6">
        <v>0</v>
      </c>
      <c r="FN156" s="6">
        <v>0</v>
      </c>
      <c r="FO156" s="6">
        <v>0</v>
      </c>
      <c r="FP156" s="6">
        <v>0</v>
      </c>
      <c r="FQ156" s="6">
        <v>0</v>
      </c>
      <c r="FR156" s="6">
        <v>0</v>
      </c>
      <c r="FS156" s="6"/>
      <c r="FT156" s="6" t="s">
        <v>556</v>
      </c>
      <c r="FU156" s="6" t="s">
        <v>499</v>
      </c>
      <c r="FV156" s="6"/>
      <c r="FW156" s="6" t="s">
        <v>449</v>
      </c>
      <c r="FX156" s="15" t="s">
        <v>450</v>
      </c>
      <c r="FY156" s="6" t="s">
        <v>529</v>
      </c>
      <c r="FZ156" s="6"/>
      <c r="GA156" s="6" t="s">
        <v>450</v>
      </c>
      <c r="GB156" s="6" t="s">
        <v>501</v>
      </c>
      <c r="GC156" s="6" t="s">
        <v>453</v>
      </c>
      <c r="GD156" s="6"/>
      <c r="GE156" s="6" t="s">
        <v>454</v>
      </c>
      <c r="GF156" s="6" t="s">
        <v>2748</v>
      </c>
      <c r="GG156" s="6" t="s">
        <v>456</v>
      </c>
      <c r="GH156" s="15" t="s">
        <v>2749</v>
      </c>
      <c r="GI156" s="6" t="s">
        <v>458</v>
      </c>
      <c r="GJ156" s="6" t="s">
        <v>815</v>
      </c>
      <c r="GK156" s="6" t="s">
        <v>460</v>
      </c>
      <c r="GL156" s="6" t="s">
        <v>461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1</v>
      </c>
      <c r="GS156" s="6">
        <v>0</v>
      </c>
      <c r="GT156" s="6"/>
      <c r="GU156" s="6" t="s">
        <v>534</v>
      </c>
      <c r="GV156" s="6" t="s">
        <v>595</v>
      </c>
      <c r="GW156" s="6" t="s">
        <v>464</v>
      </c>
      <c r="GX156" s="6">
        <v>1</v>
      </c>
      <c r="GY156" s="6">
        <v>0</v>
      </c>
      <c r="GZ156" s="6">
        <v>0</v>
      </c>
      <c r="HA156" s="6">
        <v>0</v>
      </c>
      <c r="HB156" s="6">
        <v>0</v>
      </c>
      <c r="HC156" s="6">
        <v>0</v>
      </c>
      <c r="HD156" s="6"/>
      <c r="HE156" s="6" t="s">
        <v>646</v>
      </c>
      <c r="HF156" s="6">
        <v>0</v>
      </c>
      <c r="HG156" s="6">
        <v>0</v>
      </c>
      <c r="HH156" s="6">
        <v>1</v>
      </c>
      <c r="HI156" s="6">
        <v>0</v>
      </c>
      <c r="HJ156" s="6">
        <v>0</v>
      </c>
      <c r="HK156" s="6">
        <v>0</v>
      </c>
      <c r="HL156" s="15"/>
      <c r="HM156" s="6" t="s">
        <v>505</v>
      </c>
      <c r="HN156" s="6"/>
      <c r="HO156" s="6" t="s">
        <v>2750</v>
      </c>
      <c r="HP156" s="6" t="s">
        <v>561</v>
      </c>
      <c r="HQ156" s="6"/>
      <c r="HR156" s="6" t="s">
        <v>2751</v>
      </c>
      <c r="HS156" s="6" t="s">
        <v>508</v>
      </c>
      <c r="HT156" s="6">
        <v>0</v>
      </c>
      <c r="HU156" s="6">
        <v>0</v>
      </c>
      <c r="HV156" s="6">
        <v>1</v>
      </c>
      <c r="HW156" s="6">
        <v>0</v>
      </c>
      <c r="HX156" s="6">
        <v>0</v>
      </c>
      <c r="HY156" s="6">
        <v>0</v>
      </c>
      <c r="HZ156" s="6"/>
      <c r="IA156" s="6" t="s">
        <v>112</v>
      </c>
      <c r="IB156" s="6">
        <v>0</v>
      </c>
      <c r="IC156" s="6">
        <v>1</v>
      </c>
      <c r="ID156" s="6">
        <v>0</v>
      </c>
      <c r="IE156" s="6">
        <v>0</v>
      </c>
      <c r="IF156" s="6">
        <v>0</v>
      </c>
      <c r="IG156" s="6">
        <v>0</v>
      </c>
      <c r="IH156" s="15" t="s">
        <v>2752</v>
      </c>
      <c r="II156" s="6" t="s">
        <v>426</v>
      </c>
      <c r="IJ156" s="6" t="s">
        <v>472</v>
      </c>
      <c r="IK156" s="6">
        <v>1</v>
      </c>
      <c r="IL156" s="6">
        <v>0</v>
      </c>
      <c r="IM156" s="6">
        <v>0</v>
      </c>
      <c r="IN156" s="6"/>
      <c r="IO156" s="6" t="s">
        <v>473</v>
      </c>
      <c r="IP156" s="6">
        <v>1</v>
      </c>
      <c r="IQ156" s="6">
        <v>0</v>
      </c>
      <c r="IR156" s="6">
        <v>0</v>
      </c>
      <c r="IS156" s="6">
        <v>0</v>
      </c>
      <c r="IT156" s="6">
        <v>0</v>
      </c>
      <c r="IU156" s="6">
        <v>0</v>
      </c>
      <c r="IV156" s="6"/>
      <c r="IW156" s="6" t="s">
        <v>426</v>
      </c>
      <c r="IX156" s="6">
        <v>1</v>
      </c>
      <c r="IY156" s="6" t="s">
        <v>474</v>
      </c>
      <c r="IZ156" s="6" t="s">
        <v>475</v>
      </c>
      <c r="JA156" s="6" t="s">
        <v>426</v>
      </c>
      <c r="JB156" s="6" t="s">
        <v>476</v>
      </c>
      <c r="JC156" s="6"/>
      <c r="JD156" s="6"/>
      <c r="JE156" s="6"/>
      <c r="JF156" s="6"/>
      <c r="JG156" s="6"/>
      <c r="JH156" s="6"/>
      <c r="JI156" s="6"/>
      <c r="JJ156" s="6"/>
      <c r="JK156" s="6" t="s">
        <v>426</v>
      </c>
      <c r="JL156" s="6" t="s">
        <v>426</v>
      </c>
      <c r="JM156" s="6"/>
      <c r="JN156" s="6"/>
      <c r="JO156" s="6"/>
      <c r="JP156" s="6"/>
      <c r="JQ156" s="6"/>
      <c r="JR156" s="6"/>
      <c r="JS156" s="6"/>
      <c r="JT156" s="6"/>
      <c r="JU156" s="6" t="s">
        <v>895</v>
      </c>
      <c r="JV156" s="15" t="s">
        <v>2753</v>
      </c>
      <c r="JW156" s="94" t="s">
        <v>2754</v>
      </c>
      <c r="JX156" s="6" t="s">
        <v>2755</v>
      </c>
      <c r="JY156" s="6">
        <v>0.8230956</v>
      </c>
      <c r="JZ156" s="6">
        <v>34.8650022</v>
      </c>
      <c r="KA156" s="6">
        <v>1744.8</v>
      </c>
      <c r="KB156" s="15">
        <v>4.5</v>
      </c>
      <c r="KC156" s="15"/>
    </row>
    <row r="157" spans="1:289">
      <c r="A157" s="6" t="s">
        <v>514</v>
      </c>
      <c r="B157" s="6" t="s">
        <v>2503</v>
      </c>
      <c r="C157" s="7" t="s">
        <v>2504</v>
      </c>
      <c r="D157" s="6" t="s">
        <v>2167</v>
      </c>
      <c r="E157" s="6" t="s">
        <v>2756</v>
      </c>
      <c r="F157" s="8" t="s">
        <v>483</v>
      </c>
      <c r="G157" s="6" t="s">
        <v>424</v>
      </c>
      <c r="H157" s="6" t="s">
        <v>425</v>
      </c>
      <c r="I157" s="15"/>
      <c r="J157" s="6" t="s">
        <v>426</v>
      </c>
      <c r="K157" s="6" t="s">
        <v>426</v>
      </c>
      <c r="L157" s="6" t="s">
        <v>453</v>
      </c>
      <c r="M157" s="6" t="s">
        <v>453</v>
      </c>
      <c r="N157" s="6" t="s">
        <v>426</v>
      </c>
      <c r="O157" s="6" t="s">
        <v>426</v>
      </c>
      <c r="P157" s="6" t="s">
        <v>453</v>
      </c>
      <c r="Q157" s="6" t="s">
        <v>453</v>
      </c>
      <c r="R157" s="6" t="s">
        <v>426</v>
      </c>
      <c r="S157" s="6" t="s">
        <v>426</v>
      </c>
      <c r="T157" s="6" t="s">
        <v>426</v>
      </c>
      <c r="U157" s="6" t="s">
        <v>426</v>
      </c>
      <c r="V157" s="6" t="s">
        <v>453</v>
      </c>
      <c r="W157" s="6" t="s">
        <v>453</v>
      </c>
      <c r="X157" s="6" t="s">
        <v>426</v>
      </c>
      <c r="Y157" s="6" t="s">
        <v>426</v>
      </c>
      <c r="Z157" s="6" t="s">
        <v>426</v>
      </c>
      <c r="AA157" s="6" t="s">
        <v>426</v>
      </c>
      <c r="AB157" s="6" t="s">
        <v>426</v>
      </c>
      <c r="AC157" s="15" t="s">
        <v>426</v>
      </c>
      <c r="AD157" s="6" t="s">
        <v>427</v>
      </c>
      <c r="AE157" s="6">
        <v>0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/>
      <c r="AN157" s="15"/>
      <c r="AO157" s="6" t="s">
        <v>426</v>
      </c>
      <c r="AP157" s="6" t="s">
        <v>920</v>
      </c>
      <c r="AQ157" s="6" t="s">
        <v>426</v>
      </c>
      <c r="AR157" s="6" t="s">
        <v>823</v>
      </c>
      <c r="AS157" s="6" t="s">
        <v>453</v>
      </c>
      <c r="AT157" s="6"/>
      <c r="AU157" s="6" t="s">
        <v>453</v>
      </c>
      <c r="AV157" s="6"/>
      <c r="AW157" s="6" t="s">
        <v>453</v>
      </c>
      <c r="AX157" s="6"/>
      <c r="AY157" s="6" t="s">
        <v>426</v>
      </c>
      <c r="AZ157" s="6">
        <v>1</v>
      </c>
      <c r="BA157" s="6" t="s">
        <v>453</v>
      </c>
      <c r="BB157" s="6"/>
      <c r="BC157" s="6" t="s">
        <v>453</v>
      </c>
      <c r="BD157" s="6"/>
      <c r="BE157" s="6" t="s">
        <v>453</v>
      </c>
      <c r="BF157" s="6"/>
      <c r="BG157" s="6" t="s">
        <v>453</v>
      </c>
      <c r="BH157" s="6"/>
      <c r="BI157" s="6" t="s">
        <v>426</v>
      </c>
      <c r="BJ157" s="6">
        <v>0.2</v>
      </c>
      <c r="BK157" s="6" t="s">
        <v>426</v>
      </c>
      <c r="BL157" s="6">
        <v>0.2</v>
      </c>
      <c r="BM157" s="6" t="s">
        <v>426</v>
      </c>
      <c r="BN157" s="6">
        <v>2</v>
      </c>
      <c r="BO157" s="6" t="s">
        <v>426</v>
      </c>
      <c r="BP157" s="6">
        <v>0.1</v>
      </c>
      <c r="BQ157" s="6" t="s">
        <v>426</v>
      </c>
      <c r="BR157" s="6">
        <v>10</v>
      </c>
      <c r="BS157" s="6" t="s">
        <v>453</v>
      </c>
      <c r="BT157" s="6"/>
      <c r="BU157" s="6" t="s">
        <v>426</v>
      </c>
      <c r="BV157" s="15">
        <v>0.1</v>
      </c>
      <c r="BW157" s="15" t="s">
        <v>518</v>
      </c>
      <c r="BX157" s="15" t="s">
        <v>429</v>
      </c>
      <c r="BY157" s="6" t="s">
        <v>430</v>
      </c>
      <c r="BZ157" s="6" t="s">
        <v>430</v>
      </c>
      <c r="CA157" s="6" t="s">
        <v>430</v>
      </c>
      <c r="CB157" s="6" t="s">
        <v>487</v>
      </c>
      <c r="CC157" s="6" t="s">
        <v>487</v>
      </c>
      <c r="CD157" s="6" t="s">
        <v>430</v>
      </c>
      <c r="CE157" s="6" t="s">
        <v>487</v>
      </c>
      <c r="CF157" s="6" t="s">
        <v>609</v>
      </c>
      <c r="CG157" s="6" t="s">
        <v>487</v>
      </c>
      <c r="CH157" s="6" t="s">
        <v>431</v>
      </c>
      <c r="CI157" s="6" t="s">
        <v>431</v>
      </c>
      <c r="CJ157" s="6" t="s">
        <v>487</v>
      </c>
      <c r="CK157" s="6" t="s">
        <v>430</v>
      </c>
      <c r="CL157" s="6" t="s">
        <v>431</v>
      </c>
      <c r="CM157" s="6" t="s">
        <v>430</v>
      </c>
      <c r="CN157" s="6" t="s">
        <v>430</v>
      </c>
      <c r="CO157" s="15" t="s">
        <v>430</v>
      </c>
      <c r="CP157" s="15" t="s">
        <v>902</v>
      </c>
      <c r="CQ157" s="6" t="s">
        <v>433</v>
      </c>
      <c r="CR157" s="15"/>
      <c r="CS157" s="6" t="s">
        <v>426</v>
      </c>
      <c r="CT157" s="6" t="s">
        <v>2757</v>
      </c>
      <c r="CU157" s="6" t="s">
        <v>660</v>
      </c>
      <c r="CV157" s="6" t="s">
        <v>938</v>
      </c>
      <c r="CW157" s="6" t="s">
        <v>2758</v>
      </c>
      <c r="CX157" s="15" t="s">
        <v>426</v>
      </c>
      <c r="CY157" s="6" t="s">
        <v>426</v>
      </c>
      <c r="CZ157" s="6" t="s">
        <v>2759</v>
      </c>
      <c r="DA157" s="6" t="s">
        <v>733</v>
      </c>
      <c r="DB157" s="6" t="s">
        <v>737</v>
      </c>
      <c r="DC157" s="6" t="s">
        <v>1225</v>
      </c>
      <c r="DD157" s="15" t="s">
        <v>1090</v>
      </c>
      <c r="DE157" s="15" t="s">
        <v>436</v>
      </c>
      <c r="DF157" s="6" t="s">
        <v>437</v>
      </c>
      <c r="DG157" s="6">
        <v>1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/>
      <c r="DN157" s="6"/>
      <c r="DO157" s="6"/>
      <c r="DP157" s="6"/>
      <c r="DQ157" s="6"/>
      <c r="DR157" s="6"/>
      <c r="DS157" s="6"/>
      <c r="DT157" s="66"/>
      <c r="DU157" s="6" t="s">
        <v>438</v>
      </c>
      <c r="DV157" s="6" t="s">
        <v>426</v>
      </c>
      <c r="DW157" s="6" t="s">
        <v>439</v>
      </c>
      <c r="DX157" s="6" t="s">
        <v>440</v>
      </c>
      <c r="DY157" s="6"/>
      <c r="DZ157" s="6" t="s">
        <v>1196</v>
      </c>
      <c r="EA157" s="6">
        <v>1</v>
      </c>
      <c r="EB157" s="6">
        <v>0</v>
      </c>
      <c r="EC157" s="6">
        <v>1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/>
      <c r="EJ157" s="6" t="s">
        <v>1382</v>
      </c>
      <c r="EK157" s="6">
        <v>1</v>
      </c>
      <c r="EL157" s="6">
        <v>0</v>
      </c>
      <c r="EM157" s="6">
        <v>0</v>
      </c>
      <c r="EN157" s="6">
        <v>1</v>
      </c>
      <c r="EO157" s="6">
        <v>1</v>
      </c>
      <c r="EP157" s="6">
        <v>0</v>
      </c>
      <c r="EQ157" s="6">
        <v>0</v>
      </c>
      <c r="ER157" s="6">
        <v>0</v>
      </c>
      <c r="ES157" s="6">
        <v>0</v>
      </c>
      <c r="ET157" s="6"/>
      <c r="EU157" s="6" t="s">
        <v>443</v>
      </c>
      <c r="EV157" s="6" t="s">
        <v>554</v>
      </c>
      <c r="EW157" s="6"/>
      <c r="EX157" s="6" t="s">
        <v>669</v>
      </c>
      <c r="EY157" s="6">
        <v>0</v>
      </c>
      <c r="EZ157" s="6">
        <v>1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/>
      <c r="FH157" s="6" t="s">
        <v>618</v>
      </c>
      <c r="FI157" s="6">
        <v>0</v>
      </c>
      <c r="FJ157" s="6">
        <v>0</v>
      </c>
      <c r="FK157" s="6">
        <v>0</v>
      </c>
      <c r="FL157" s="6">
        <v>1</v>
      </c>
      <c r="FM157" s="6">
        <v>0</v>
      </c>
      <c r="FN157" s="6">
        <v>0</v>
      </c>
      <c r="FO157" s="6">
        <v>0</v>
      </c>
      <c r="FP157" s="6">
        <v>0</v>
      </c>
      <c r="FQ157" s="6">
        <v>0</v>
      </c>
      <c r="FR157" s="6">
        <v>0</v>
      </c>
      <c r="FS157" s="6"/>
      <c r="FT157" s="6" t="s">
        <v>447</v>
      </c>
      <c r="FU157" s="6" t="s">
        <v>499</v>
      </c>
      <c r="FV157" s="6"/>
      <c r="FW157" s="6" t="s">
        <v>449</v>
      </c>
      <c r="FX157" s="15" t="s">
        <v>450</v>
      </c>
      <c r="FY157" s="6" t="s">
        <v>451</v>
      </c>
      <c r="FZ157" s="6"/>
      <c r="GA157" s="6" t="s">
        <v>450</v>
      </c>
      <c r="GB157" s="6" t="s">
        <v>501</v>
      </c>
      <c r="GC157" s="6" t="s">
        <v>453</v>
      </c>
      <c r="GD157" s="6"/>
      <c r="GE157" s="6" t="s">
        <v>642</v>
      </c>
      <c r="GF157" s="6" t="s">
        <v>2760</v>
      </c>
      <c r="GG157" s="6" t="s">
        <v>592</v>
      </c>
      <c r="GH157" s="15" t="s">
        <v>1907</v>
      </c>
      <c r="GI157" s="6" t="s">
        <v>458</v>
      </c>
      <c r="GJ157" s="6" t="s">
        <v>2761</v>
      </c>
      <c r="GK157" s="6" t="s">
        <v>460</v>
      </c>
      <c r="GL157" s="6" t="s">
        <v>461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1</v>
      </c>
      <c r="GS157" s="6">
        <v>0</v>
      </c>
      <c r="GT157" s="6"/>
      <c r="GU157" s="6" t="s">
        <v>462</v>
      </c>
      <c r="GV157" s="6" t="s">
        <v>463</v>
      </c>
      <c r="GW157" s="6" t="s">
        <v>464</v>
      </c>
      <c r="GX157" s="6">
        <v>1</v>
      </c>
      <c r="GY157" s="6">
        <v>0</v>
      </c>
      <c r="GZ157" s="6">
        <v>0</v>
      </c>
      <c r="HA157" s="6">
        <v>0</v>
      </c>
      <c r="HB157" s="6">
        <v>0</v>
      </c>
      <c r="HC157" s="6">
        <v>0</v>
      </c>
      <c r="HD157" s="6"/>
      <c r="HE157" s="6" t="s">
        <v>535</v>
      </c>
      <c r="HF157" s="6">
        <v>1</v>
      </c>
      <c r="HG157" s="6">
        <v>0</v>
      </c>
      <c r="HH157" s="6">
        <v>0</v>
      </c>
      <c r="HI157" s="6">
        <v>0</v>
      </c>
      <c r="HJ157" s="6">
        <v>0</v>
      </c>
      <c r="HK157" s="6">
        <v>0</v>
      </c>
      <c r="HL157" s="15"/>
      <c r="HM157" s="6" t="s">
        <v>505</v>
      </c>
      <c r="HN157" s="6"/>
      <c r="HO157" s="6" t="s">
        <v>2762</v>
      </c>
      <c r="HP157" s="6" t="s">
        <v>537</v>
      </c>
      <c r="HQ157" s="6" t="s">
        <v>538</v>
      </c>
      <c r="HR157" s="6" t="s">
        <v>539</v>
      </c>
      <c r="HS157" s="6" t="s">
        <v>540</v>
      </c>
      <c r="HT157" s="6">
        <v>1</v>
      </c>
      <c r="HU157" s="6">
        <v>0</v>
      </c>
      <c r="HV157" s="6">
        <v>0</v>
      </c>
      <c r="HW157" s="6">
        <v>0</v>
      </c>
      <c r="HX157" s="6">
        <v>0</v>
      </c>
      <c r="HY157" s="6">
        <v>0</v>
      </c>
      <c r="HZ157" s="6"/>
      <c r="IA157" s="6" t="s">
        <v>111</v>
      </c>
      <c r="IB157" s="6">
        <v>1</v>
      </c>
      <c r="IC157" s="6">
        <v>0</v>
      </c>
      <c r="ID157" s="6">
        <v>0</v>
      </c>
      <c r="IE157" s="6">
        <v>0</v>
      </c>
      <c r="IF157" s="6">
        <v>0</v>
      </c>
      <c r="IG157" s="6">
        <v>0</v>
      </c>
      <c r="IH157" s="15" t="s">
        <v>2763</v>
      </c>
      <c r="II157" s="6" t="s">
        <v>426</v>
      </c>
      <c r="IJ157" s="6" t="s">
        <v>472</v>
      </c>
      <c r="IK157" s="6">
        <v>1</v>
      </c>
      <c r="IL157" s="6">
        <v>0</v>
      </c>
      <c r="IM157" s="6">
        <v>0</v>
      </c>
      <c r="IN157" s="6"/>
      <c r="IO157" s="6" t="s">
        <v>473</v>
      </c>
      <c r="IP157" s="6">
        <v>1</v>
      </c>
      <c r="IQ157" s="6">
        <v>0</v>
      </c>
      <c r="IR157" s="6">
        <v>0</v>
      </c>
      <c r="IS157" s="6">
        <v>0</v>
      </c>
      <c r="IT157" s="6">
        <v>0</v>
      </c>
      <c r="IU157" s="6">
        <v>0</v>
      </c>
      <c r="IV157" s="6"/>
      <c r="IW157" s="6" t="s">
        <v>453</v>
      </c>
      <c r="IX157" s="6"/>
      <c r="IY157" s="6" t="s">
        <v>510</v>
      </c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 t="s">
        <v>453</v>
      </c>
      <c r="JK157" s="6" t="s">
        <v>453</v>
      </c>
      <c r="JL157" s="6"/>
      <c r="JM157" s="6"/>
      <c r="JN157" s="6"/>
      <c r="JO157" s="6"/>
      <c r="JP157" s="6"/>
      <c r="JQ157" s="6"/>
      <c r="JR157" s="6"/>
      <c r="JS157" s="6"/>
      <c r="JT157" s="6"/>
      <c r="JU157" s="6" t="s">
        <v>477</v>
      </c>
      <c r="JV157" s="15"/>
      <c r="JW157" s="94" t="s">
        <v>2764</v>
      </c>
      <c r="JX157" s="6" t="s">
        <v>2765</v>
      </c>
      <c r="JY157" s="6">
        <v>0.8231625</v>
      </c>
      <c r="JZ157" s="6">
        <v>34.8651488</v>
      </c>
      <c r="KA157" s="6">
        <v>1762.842</v>
      </c>
      <c r="KB157" s="15">
        <v>1.296</v>
      </c>
      <c r="KC157" s="15"/>
    </row>
    <row r="158" spans="1:289">
      <c r="A158" s="6" t="s">
        <v>633</v>
      </c>
      <c r="B158" s="6" t="s">
        <v>2503</v>
      </c>
      <c r="C158" s="7" t="s">
        <v>2504</v>
      </c>
      <c r="D158" s="6" t="s">
        <v>2599</v>
      </c>
      <c r="E158" s="6" t="s">
        <v>2766</v>
      </c>
      <c r="F158" s="8" t="s">
        <v>483</v>
      </c>
      <c r="G158" s="6" t="s">
        <v>567</v>
      </c>
      <c r="H158" s="6" t="s">
        <v>425</v>
      </c>
      <c r="I158" s="15"/>
      <c r="J158" s="6" t="s">
        <v>426</v>
      </c>
      <c r="K158" s="6" t="s">
        <v>426</v>
      </c>
      <c r="L158" s="6" t="s">
        <v>426</v>
      </c>
      <c r="M158" s="6" t="s">
        <v>426</v>
      </c>
      <c r="N158" s="6" t="s">
        <v>426</v>
      </c>
      <c r="O158" s="6" t="s">
        <v>426</v>
      </c>
      <c r="P158" s="6" t="s">
        <v>453</v>
      </c>
      <c r="Q158" s="6" t="s">
        <v>453</v>
      </c>
      <c r="R158" s="6" t="s">
        <v>426</v>
      </c>
      <c r="S158" s="6" t="s">
        <v>453</v>
      </c>
      <c r="T158" s="6" t="s">
        <v>426</v>
      </c>
      <c r="U158" s="6" t="s">
        <v>426</v>
      </c>
      <c r="V158" s="6" t="s">
        <v>426</v>
      </c>
      <c r="W158" s="6" t="s">
        <v>426</v>
      </c>
      <c r="X158" s="6" t="s">
        <v>426</v>
      </c>
      <c r="Y158" s="6" t="s">
        <v>426</v>
      </c>
      <c r="Z158" s="6" t="s">
        <v>453</v>
      </c>
      <c r="AA158" s="6" t="s">
        <v>453</v>
      </c>
      <c r="AB158" s="6" t="s">
        <v>453</v>
      </c>
      <c r="AC158" s="15" t="s">
        <v>453</v>
      </c>
      <c r="AD158" s="6" t="s">
        <v>427</v>
      </c>
      <c r="AE158" s="6">
        <v>0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/>
      <c r="AN158" s="15"/>
      <c r="AO158" s="6" t="s">
        <v>453</v>
      </c>
      <c r="AP158" s="6"/>
      <c r="AQ158" s="6" t="s">
        <v>453</v>
      </c>
      <c r="AR158" s="6"/>
      <c r="AS158" s="6" t="s">
        <v>453</v>
      </c>
      <c r="AT158" s="6"/>
      <c r="AU158" s="6" t="s">
        <v>426</v>
      </c>
      <c r="AV158" s="6">
        <v>0.5</v>
      </c>
      <c r="AW158" s="6" t="s">
        <v>453</v>
      </c>
      <c r="AX158" s="6"/>
      <c r="AY158" s="6" t="s">
        <v>426</v>
      </c>
      <c r="AZ158" s="6">
        <v>1</v>
      </c>
      <c r="BA158" s="6" t="s">
        <v>426</v>
      </c>
      <c r="BB158" s="6">
        <v>0.08</v>
      </c>
      <c r="BC158" s="6" t="s">
        <v>453</v>
      </c>
      <c r="BD158" s="6"/>
      <c r="BE158" s="6" t="s">
        <v>453</v>
      </c>
      <c r="BF158" s="6"/>
      <c r="BG158" s="6" t="s">
        <v>426</v>
      </c>
      <c r="BH158" s="6">
        <v>0.08</v>
      </c>
      <c r="BI158" s="6" t="s">
        <v>426</v>
      </c>
      <c r="BJ158" s="6">
        <v>0.08</v>
      </c>
      <c r="BK158" s="6" t="s">
        <v>426</v>
      </c>
      <c r="BL158" s="6">
        <v>0.2</v>
      </c>
      <c r="BM158" s="6" t="s">
        <v>426</v>
      </c>
      <c r="BN158" s="6">
        <v>10</v>
      </c>
      <c r="BO158" s="6" t="s">
        <v>453</v>
      </c>
      <c r="BP158" s="6"/>
      <c r="BQ158" s="6" t="s">
        <v>426</v>
      </c>
      <c r="BR158" s="6">
        <v>3</v>
      </c>
      <c r="BS158" s="6" t="s">
        <v>453</v>
      </c>
      <c r="BT158" s="6"/>
      <c r="BU158" s="6" t="s">
        <v>453</v>
      </c>
      <c r="BV158" s="15"/>
      <c r="BW158" s="15" t="s">
        <v>2076</v>
      </c>
      <c r="BX158" s="15" t="s">
        <v>429</v>
      </c>
      <c r="BY158" s="6" t="s">
        <v>1152</v>
      </c>
      <c r="BZ158" s="6" t="s">
        <v>486</v>
      </c>
      <c r="CA158" s="6" t="s">
        <v>486</v>
      </c>
      <c r="CB158" s="6" t="s">
        <v>486</v>
      </c>
      <c r="CC158" s="6" t="s">
        <v>486</v>
      </c>
      <c r="CD158" s="6" t="s">
        <v>430</v>
      </c>
      <c r="CE158" s="6" t="s">
        <v>430</v>
      </c>
      <c r="CF158" s="6" t="s">
        <v>486</v>
      </c>
      <c r="CG158" s="6" t="s">
        <v>486</v>
      </c>
      <c r="CH158" s="6" t="s">
        <v>430</v>
      </c>
      <c r="CI158" s="6" t="s">
        <v>430</v>
      </c>
      <c r="CJ158" s="6" t="s">
        <v>430</v>
      </c>
      <c r="CK158" s="6" t="s">
        <v>486</v>
      </c>
      <c r="CL158" s="6" t="s">
        <v>486</v>
      </c>
      <c r="CM158" s="6" t="s">
        <v>431</v>
      </c>
      <c r="CN158" s="6" t="s">
        <v>486</v>
      </c>
      <c r="CO158" s="15" t="s">
        <v>486</v>
      </c>
      <c r="CP158" s="15" t="s">
        <v>636</v>
      </c>
      <c r="CQ158" s="6" t="s">
        <v>975</v>
      </c>
      <c r="CR158" s="15"/>
      <c r="CS158" s="6" t="s">
        <v>453</v>
      </c>
      <c r="CT158" s="6"/>
      <c r="CU158" s="6"/>
      <c r="CV158" s="6"/>
      <c r="CW158" s="6"/>
      <c r="CX158" s="15" t="s">
        <v>453</v>
      </c>
      <c r="CY158" s="6"/>
      <c r="CZ158" s="6"/>
      <c r="DA158" s="6"/>
      <c r="DB158" s="6"/>
      <c r="DC158" s="6"/>
      <c r="DD158" s="15"/>
      <c r="DE158" s="15" t="s">
        <v>975</v>
      </c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6"/>
      <c r="DU158" s="6" t="s">
        <v>523</v>
      </c>
      <c r="DV158" s="6" t="s">
        <v>426</v>
      </c>
      <c r="DW158" s="6" t="s">
        <v>1195</v>
      </c>
      <c r="DX158" s="6" t="s">
        <v>1069</v>
      </c>
      <c r="DY158" s="6"/>
      <c r="DZ158" s="6" t="s">
        <v>991</v>
      </c>
      <c r="EA158" s="6">
        <v>1</v>
      </c>
      <c r="EB158" s="6">
        <v>1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/>
      <c r="EJ158" s="6" t="s">
        <v>811</v>
      </c>
      <c r="EK158" s="6">
        <v>1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/>
      <c r="EU158" s="6" t="s">
        <v>955</v>
      </c>
      <c r="EV158" s="6" t="s">
        <v>444</v>
      </c>
      <c r="EW158" s="6"/>
      <c r="EX158" s="6" t="s">
        <v>537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1</v>
      </c>
      <c r="FG158" s="6" t="s">
        <v>2767</v>
      </c>
      <c r="FH158" s="6" t="s">
        <v>537</v>
      </c>
      <c r="FI158" s="6">
        <v>0</v>
      </c>
      <c r="FJ158" s="6">
        <v>0</v>
      </c>
      <c r="FK158" s="6">
        <v>0</v>
      </c>
      <c r="FL158" s="6">
        <v>0</v>
      </c>
      <c r="FM158" s="6">
        <v>0</v>
      </c>
      <c r="FN158" s="6">
        <v>0</v>
      </c>
      <c r="FO158" s="6">
        <v>0</v>
      </c>
      <c r="FP158" s="6">
        <v>0</v>
      </c>
      <c r="FQ158" s="6">
        <v>0</v>
      </c>
      <c r="FR158" s="6">
        <v>1</v>
      </c>
      <c r="FS158" s="6" t="s">
        <v>2767</v>
      </c>
      <c r="FT158" s="6" t="s">
        <v>498</v>
      </c>
      <c r="FU158" s="6" t="s">
        <v>743</v>
      </c>
      <c r="FV158" s="6" t="s">
        <v>2768</v>
      </c>
      <c r="FW158" s="6" t="s">
        <v>449</v>
      </c>
      <c r="FX158" s="15" t="s">
        <v>886</v>
      </c>
      <c r="FY158" s="6" t="s">
        <v>500</v>
      </c>
      <c r="FZ158" s="6"/>
      <c r="GA158" s="6" t="s">
        <v>886</v>
      </c>
      <c r="GB158" s="6" t="s">
        <v>452</v>
      </c>
      <c r="GC158" s="6" t="s">
        <v>453</v>
      </c>
      <c r="GD158" s="6"/>
      <c r="GE158" s="6" t="s">
        <v>453</v>
      </c>
      <c r="GF158" s="6"/>
      <c r="GG158" s="6" t="s">
        <v>502</v>
      </c>
      <c r="GH158" s="15"/>
      <c r="GI158" s="6" t="s">
        <v>2769</v>
      </c>
      <c r="GJ158" s="6"/>
      <c r="GK158" s="6" t="s">
        <v>703</v>
      </c>
      <c r="GL158" s="6" t="s">
        <v>2770</v>
      </c>
      <c r="GM158" s="6">
        <v>1</v>
      </c>
      <c r="GN158" s="6">
        <v>1</v>
      </c>
      <c r="GO158" s="6">
        <v>1</v>
      </c>
      <c r="GP158" s="6">
        <v>0</v>
      </c>
      <c r="GQ158" s="6">
        <v>0</v>
      </c>
      <c r="GR158" s="6">
        <v>1</v>
      </c>
      <c r="GS158" s="6">
        <v>0</v>
      </c>
      <c r="GT158" s="6"/>
      <c r="GU158" s="6" t="s">
        <v>534</v>
      </c>
      <c r="GV158" s="6" t="s">
        <v>595</v>
      </c>
      <c r="GW158" s="6" t="s">
        <v>2020</v>
      </c>
      <c r="GX158" s="6">
        <v>0</v>
      </c>
      <c r="GY158" s="6">
        <v>1</v>
      </c>
      <c r="GZ158" s="6">
        <v>0</v>
      </c>
      <c r="HA158" s="6">
        <v>0</v>
      </c>
      <c r="HB158" s="6">
        <v>0</v>
      </c>
      <c r="HC158" s="6">
        <v>1</v>
      </c>
      <c r="HD158" s="6" t="s">
        <v>1102</v>
      </c>
      <c r="HE158" s="6" t="s">
        <v>646</v>
      </c>
      <c r="HF158" s="6">
        <v>0</v>
      </c>
      <c r="HG158" s="6">
        <v>0</v>
      </c>
      <c r="HH158" s="6">
        <v>1</v>
      </c>
      <c r="HI158" s="6">
        <v>0</v>
      </c>
      <c r="HJ158" s="6">
        <v>0</v>
      </c>
      <c r="HK158" s="6">
        <v>0</v>
      </c>
      <c r="HL158" s="15"/>
      <c r="HM158" s="6" t="s">
        <v>466</v>
      </c>
      <c r="HN158" s="6"/>
      <c r="HO158" s="6" t="s">
        <v>2771</v>
      </c>
      <c r="HP158" s="6" t="s">
        <v>1668</v>
      </c>
      <c r="HQ158" s="6"/>
      <c r="HR158" s="6" t="s">
        <v>2772</v>
      </c>
      <c r="HS158" s="6" t="s">
        <v>508</v>
      </c>
      <c r="HT158" s="6">
        <v>0</v>
      </c>
      <c r="HU158" s="6">
        <v>0</v>
      </c>
      <c r="HV158" s="6">
        <v>1</v>
      </c>
      <c r="HW158" s="6">
        <v>0</v>
      </c>
      <c r="HX158" s="6">
        <v>0</v>
      </c>
      <c r="HY158" s="6">
        <v>0</v>
      </c>
      <c r="HZ158" s="6"/>
      <c r="IA158" s="6" t="s">
        <v>112</v>
      </c>
      <c r="IB158" s="6">
        <v>0</v>
      </c>
      <c r="IC158" s="6">
        <v>1</v>
      </c>
      <c r="ID158" s="6">
        <v>0</v>
      </c>
      <c r="IE158" s="6">
        <v>0</v>
      </c>
      <c r="IF158" s="6">
        <v>0</v>
      </c>
      <c r="IG158" s="6">
        <v>0</v>
      </c>
      <c r="IH158" s="15" t="s">
        <v>2178</v>
      </c>
      <c r="II158" s="6" t="s">
        <v>426</v>
      </c>
      <c r="IJ158" s="6" t="s">
        <v>543</v>
      </c>
      <c r="IK158" s="6">
        <v>0</v>
      </c>
      <c r="IL158" s="6">
        <v>1</v>
      </c>
      <c r="IM158" s="6">
        <v>0</v>
      </c>
      <c r="IN158" s="6"/>
      <c r="IO158" s="6" t="s">
        <v>473</v>
      </c>
      <c r="IP158" s="6">
        <v>1</v>
      </c>
      <c r="IQ158" s="6">
        <v>0</v>
      </c>
      <c r="IR158" s="6">
        <v>0</v>
      </c>
      <c r="IS158" s="6">
        <v>0</v>
      </c>
      <c r="IT158" s="6">
        <v>0</v>
      </c>
      <c r="IU158" s="6">
        <v>0</v>
      </c>
      <c r="IV158" s="6"/>
      <c r="IW158" s="6" t="s">
        <v>453</v>
      </c>
      <c r="IX158" s="6"/>
      <c r="IY158" s="6" t="s">
        <v>510</v>
      </c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 t="s">
        <v>453</v>
      </c>
      <c r="JK158" s="6" t="s">
        <v>453</v>
      </c>
      <c r="JL158" s="6"/>
      <c r="JM158" s="6"/>
      <c r="JN158" s="6"/>
      <c r="JO158" s="6"/>
      <c r="JP158" s="6"/>
      <c r="JQ158" s="6"/>
      <c r="JR158" s="6"/>
      <c r="JS158" s="6"/>
      <c r="JT158" s="6"/>
      <c r="JU158" s="6" t="s">
        <v>477</v>
      </c>
      <c r="JV158" s="15"/>
      <c r="JW158" s="94" t="s">
        <v>2773</v>
      </c>
      <c r="JX158" s="6" t="s">
        <v>2774</v>
      </c>
      <c r="JY158" s="6">
        <v>0.8233483</v>
      </c>
      <c r="JZ158" s="6">
        <v>34.864933</v>
      </c>
      <c r="KA158" s="6">
        <v>1741</v>
      </c>
      <c r="KB158" s="15">
        <v>5</v>
      </c>
      <c r="KC158" s="15"/>
    </row>
    <row r="159" spans="1:289">
      <c r="A159" s="6" t="s">
        <v>480</v>
      </c>
      <c r="B159" s="6" t="s">
        <v>2503</v>
      </c>
      <c r="C159" s="7" t="s">
        <v>2504</v>
      </c>
      <c r="D159" s="6" t="s">
        <v>2706</v>
      </c>
      <c r="E159" s="6" t="s">
        <v>2775</v>
      </c>
      <c r="F159" s="8" t="s">
        <v>483</v>
      </c>
      <c r="G159" s="6" t="s">
        <v>567</v>
      </c>
      <c r="H159" s="6" t="s">
        <v>425</v>
      </c>
      <c r="I159" s="15"/>
      <c r="J159" s="6" t="s">
        <v>426</v>
      </c>
      <c r="K159" s="6" t="s">
        <v>426</v>
      </c>
      <c r="L159" s="6" t="s">
        <v>453</v>
      </c>
      <c r="M159" s="6" t="s">
        <v>453</v>
      </c>
      <c r="N159" s="6" t="s">
        <v>426</v>
      </c>
      <c r="O159" s="6" t="s">
        <v>426</v>
      </c>
      <c r="P159" s="6" t="s">
        <v>426</v>
      </c>
      <c r="Q159" s="6" t="s">
        <v>426</v>
      </c>
      <c r="R159" s="6" t="s">
        <v>426</v>
      </c>
      <c r="S159" s="6" t="s">
        <v>426</v>
      </c>
      <c r="T159" s="6" t="s">
        <v>426</v>
      </c>
      <c r="U159" s="6" t="s">
        <v>426</v>
      </c>
      <c r="V159" s="6" t="s">
        <v>426</v>
      </c>
      <c r="W159" s="6" t="s">
        <v>426</v>
      </c>
      <c r="X159" s="6" t="s">
        <v>426</v>
      </c>
      <c r="Y159" s="6" t="s">
        <v>426</v>
      </c>
      <c r="Z159" s="6" t="s">
        <v>426</v>
      </c>
      <c r="AA159" s="6" t="s">
        <v>426</v>
      </c>
      <c r="AB159" s="6" t="s">
        <v>426</v>
      </c>
      <c r="AC159" s="15" t="s">
        <v>426</v>
      </c>
      <c r="AD159" s="6" t="s">
        <v>952</v>
      </c>
      <c r="AE159" s="6">
        <v>0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1</v>
      </c>
      <c r="AL159" s="6">
        <v>0</v>
      </c>
      <c r="AM159" s="6"/>
      <c r="AN159" s="15"/>
      <c r="AO159" s="6" t="s">
        <v>426</v>
      </c>
      <c r="AP159" s="6" t="s">
        <v>656</v>
      </c>
      <c r="AQ159" s="6" t="s">
        <v>426</v>
      </c>
      <c r="AR159" s="6" t="s">
        <v>656</v>
      </c>
      <c r="AS159" s="6" t="s">
        <v>426</v>
      </c>
      <c r="AT159" s="6">
        <v>1</v>
      </c>
      <c r="AU159" s="6" t="s">
        <v>426</v>
      </c>
      <c r="AV159" s="6">
        <v>0.2</v>
      </c>
      <c r="AW159" s="6" t="s">
        <v>426</v>
      </c>
      <c r="AX159" s="6">
        <v>1</v>
      </c>
      <c r="AY159" s="6" t="s">
        <v>426</v>
      </c>
      <c r="AZ159" s="6">
        <v>1</v>
      </c>
      <c r="BA159" s="6" t="s">
        <v>426</v>
      </c>
      <c r="BB159" s="6">
        <v>0.4</v>
      </c>
      <c r="BC159" s="6" t="s">
        <v>426</v>
      </c>
      <c r="BD159" s="6">
        <v>0.2</v>
      </c>
      <c r="BE159" s="6" t="s">
        <v>453</v>
      </c>
      <c r="BF159" s="6"/>
      <c r="BG159" s="6" t="s">
        <v>453</v>
      </c>
      <c r="BH159" s="6"/>
      <c r="BI159" s="6" t="s">
        <v>426</v>
      </c>
      <c r="BJ159" s="6">
        <v>0.4</v>
      </c>
      <c r="BK159" s="6" t="s">
        <v>426</v>
      </c>
      <c r="BL159" s="6">
        <v>0.4</v>
      </c>
      <c r="BM159" s="6" t="s">
        <v>426</v>
      </c>
      <c r="BN159" s="6">
        <v>5</v>
      </c>
      <c r="BO159" s="6" t="s">
        <v>426</v>
      </c>
      <c r="BP159" s="6">
        <v>0.8</v>
      </c>
      <c r="BQ159" s="6" t="s">
        <v>426</v>
      </c>
      <c r="BR159" s="6">
        <v>3</v>
      </c>
      <c r="BS159" s="6" t="s">
        <v>426</v>
      </c>
      <c r="BT159" s="6">
        <v>5</v>
      </c>
      <c r="BU159" s="6" t="s">
        <v>453</v>
      </c>
      <c r="BV159" s="15"/>
      <c r="BW159" s="15" t="s">
        <v>518</v>
      </c>
      <c r="BX159" s="15" t="s">
        <v>786</v>
      </c>
      <c r="BY159" s="6" t="s">
        <v>430</v>
      </c>
      <c r="BZ159" s="6" t="s">
        <v>430</v>
      </c>
      <c r="CA159" s="6" t="s">
        <v>431</v>
      </c>
      <c r="CB159" s="6" t="s">
        <v>1189</v>
      </c>
      <c r="CC159" s="6" t="s">
        <v>430</v>
      </c>
      <c r="CD159" s="6" t="s">
        <v>431</v>
      </c>
      <c r="CE159" s="6" t="s">
        <v>430</v>
      </c>
      <c r="CF159" s="6" t="s">
        <v>759</v>
      </c>
      <c r="CG159" s="6" t="s">
        <v>487</v>
      </c>
      <c r="CH159" s="6" t="s">
        <v>486</v>
      </c>
      <c r="CI159" s="6" t="s">
        <v>430</v>
      </c>
      <c r="CJ159" s="6" t="s">
        <v>430</v>
      </c>
      <c r="CK159" s="6" t="s">
        <v>430</v>
      </c>
      <c r="CL159" s="6" t="s">
        <v>430</v>
      </c>
      <c r="CM159" s="6" t="s">
        <v>759</v>
      </c>
      <c r="CN159" s="6" t="s">
        <v>430</v>
      </c>
      <c r="CO159" s="15" t="s">
        <v>487</v>
      </c>
      <c r="CP159" s="15" t="s">
        <v>488</v>
      </c>
      <c r="CQ159" s="6" t="s">
        <v>433</v>
      </c>
      <c r="CR159" s="15"/>
      <c r="CS159" s="6" t="s">
        <v>453</v>
      </c>
      <c r="CT159" s="6"/>
      <c r="CU159" s="6"/>
      <c r="CV159" s="6"/>
      <c r="CW159" s="6"/>
      <c r="CX159" s="15" t="s">
        <v>453</v>
      </c>
      <c r="CY159" s="6"/>
      <c r="CZ159" s="6"/>
      <c r="DA159" s="6"/>
      <c r="DB159" s="6"/>
      <c r="DC159" s="6"/>
      <c r="DD159" s="15"/>
      <c r="DE159" s="15" t="s">
        <v>521</v>
      </c>
      <c r="DF159" s="6" t="s">
        <v>695</v>
      </c>
      <c r="DG159" s="6">
        <v>0</v>
      </c>
      <c r="DH159" s="6">
        <v>0</v>
      </c>
      <c r="DI159" s="6">
        <v>0</v>
      </c>
      <c r="DJ159" s="6">
        <v>0</v>
      </c>
      <c r="DK159" s="6">
        <v>1</v>
      </c>
      <c r="DL159" s="6">
        <v>0</v>
      </c>
      <c r="DM159" s="6"/>
      <c r="DN159" s="6"/>
      <c r="DO159" s="6"/>
      <c r="DP159" s="6"/>
      <c r="DQ159" s="6"/>
      <c r="DR159" s="6"/>
      <c r="DS159" s="6"/>
      <c r="DT159" s="66"/>
      <c r="DU159" s="6" t="s">
        <v>523</v>
      </c>
      <c r="DV159" s="6" t="s">
        <v>426</v>
      </c>
      <c r="DW159" s="6" t="s">
        <v>439</v>
      </c>
      <c r="DX159" s="6" t="s">
        <v>1069</v>
      </c>
      <c r="DY159" s="6"/>
      <c r="DZ159" s="6" t="s">
        <v>2776</v>
      </c>
      <c r="EA159" s="6">
        <v>0</v>
      </c>
      <c r="EB159" s="6">
        <v>0</v>
      </c>
      <c r="EC159" s="6">
        <v>0</v>
      </c>
      <c r="ED159" s="6">
        <v>0</v>
      </c>
      <c r="EE159" s="6">
        <v>1</v>
      </c>
      <c r="EF159" s="6">
        <v>1</v>
      </c>
      <c r="EG159" s="6">
        <v>0</v>
      </c>
      <c r="EH159" s="6">
        <v>0</v>
      </c>
      <c r="EI159" s="6"/>
      <c r="EJ159" s="6" t="s">
        <v>2777</v>
      </c>
      <c r="EK159" s="6">
        <v>1</v>
      </c>
      <c r="EL159" s="6">
        <v>0</v>
      </c>
      <c r="EM159" s="6">
        <v>0</v>
      </c>
      <c r="EN159" s="6">
        <v>0</v>
      </c>
      <c r="EO159" s="6">
        <v>0</v>
      </c>
      <c r="EP159" s="6">
        <v>1</v>
      </c>
      <c r="EQ159" s="6">
        <v>1</v>
      </c>
      <c r="ER159" s="6">
        <v>0</v>
      </c>
      <c r="ES159" s="6">
        <v>0</v>
      </c>
      <c r="ET159" s="6"/>
      <c r="EU159" s="6" t="s">
        <v>443</v>
      </c>
      <c r="EV159" s="6" t="s">
        <v>444</v>
      </c>
      <c r="EW159" s="6"/>
      <c r="EX159" s="6" t="s">
        <v>2778</v>
      </c>
      <c r="EY159" s="6">
        <v>0</v>
      </c>
      <c r="EZ159" s="6">
        <v>1</v>
      </c>
      <c r="FA159" s="6">
        <v>0</v>
      </c>
      <c r="FB159" s="6">
        <v>1</v>
      </c>
      <c r="FC159" s="6">
        <v>0</v>
      </c>
      <c r="FD159" s="6">
        <v>1</v>
      </c>
      <c r="FE159" s="6">
        <v>0</v>
      </c>
      <c r="FF159" s="6">
        <v>0</v>
      </c>
      <c r="FG159" s="6"/>
      <c r="FH159" s="6" t="s">
        <v>670</v>
      </c>
      <c r="FI159" s="6">
        <v>0</v>
      </c>
      <c r="FJ159" s="6">
        <v>0</v>
      </c>
      <c r="FK159" s="6">
        <v>0</v>
      </c>
      <c r="FL159" s="6">
        <v>0</v>
      </c>
      <c r="FM159" s="6">
        <v>0</v>
      </c>
      <c r="FN159" s="6">
        <v>1</v>
      </c>
      <c r="FO159" s="6">
        <v>0</v>
      </c>
      <c r="FP159" s="6">
        <v>0</v>
      </c>
      <c r="FQ159" s="6">
        <v>0</v>
      </c>
      <c r="FR159" s="6">
        <v>0</v>
      </c>
      <c r="FS159" s="6"/>
      <c r="FT159" s="6" t="s">
        <v>447</v>
      </c>
      <c r="FU159" s="6" t="s">
        <v>448</v>
      </c>
      <c r="FV159" s="6"/>
      <c r="FW159" s="6" t="s">
        <v>449</v>
      </c>
      <c r="FX159" s="15" t="s">
        <v>450</v>
      </c>
      <c r="FY159" s="6" t="s">
        <v>529</v>
      </c>
      <c r="FZ159" s="6"/>
      <c r="GA159" s="6" t="s">
        <v>450</v>
      </c>
      <c r="GB159" s="6" t="s">
        <v>452</v>
      </c>
      <c r="GC159" s="6" t="s">
        <v>453</v>
      </c>
      <c r="GD159" s="6"/>
      <c r="GE159" s="6" t="s">
        <v>454</v>
      </c>
      <c r="GF159" s="6" t="s">
        <v>2779</v>
      </c>
      <c r="GG159" s="6" t="s">
        <v>502</v>
      </c>
      <c r="GH159" s="15"/>
      <c r="GI159" s="6" t="s">
        <v>458</v>
      </c>
      <c r="GJ159" s="6" t="s">
        <v>2780</v>
      </c>
      <c r="GK159" s="6" t="s">
        <v>460</v>
      </c>
      <c r="GL159" s="6" t="s">
        <v>461</v>
      </c>
      <c r="GM159" s="6">
        <v>0</v>
      </c>
      <c r="GN159" s="6">
        <v>0</v>
      </c>
      <c r="GO159" s="6">
        <v>0</v>
      </c>
      <c r="GP159" s="6">
        <v>0</v>
      </c>
      <c r="GQ159" s="6">
        <v>0</v>
      </c>
      <c r="GR159" s="6">
        <v>1</v>
      </c>
      <c r="GS159" s="6">
        <v>0</v>
      </c>
      <c r="GT159" s="6"/>
      <c r="GU159" s="6" t="s">
        <v>534</v>
      </c>
      <c r="GV159" s="6" t="s">
        <v>595</v>
      </c>
      <c r="GW159" s="6" t="s">
        <v>721</v>
      </c>
      <c r="GX159" s="6">
        <v>1</v>
      </c>
      <c r="GY159" s="6">
        <v>0</v>
      </c>
      <c r="GZ159" s="6">
        <v>0</v>
      </c>
      <c r="HA159" s="6">
        <v>1</v>
      </c>
      <c r="HB159" s="6">
        <v>0</v>
      </c>
      <c r="HC159" s="6">
        <v>0</v>
      </c>
      <c r="HD159" s="6"/>
      <c r="HE159" s="6" t="s">
        <v>2470</v>
      </c>
      <c r="HF159" s="6">
        <v>0</v>
      </c>
      <c r="HG159" s="6">
        <v>0</v>
      </c>
      <c r="HH159" s="6">
        <v>0</v>
      </c>
      <c r="HI159" s="6">
        <v>0</v>
      </c>
      <c r="HJ159" s="6">
        <v>1</v>
      </c>
      <c r="HK159" s="6">
        <v>0</v>
      </c>
      <c r="HL159" s="15"/>
      <c r="HM159" s="6" t="s">
        <v>676</v>
      </c>
      <c r="HN159" s="6"/>
      <c r="HO159" s="6" t="s">
        <v>2781</v>
      </c>
      <c r="HP159" s="6" t="s">
        <v>648</v>
      </c>
      <c r="HQ159" s="6"/>
      <c r="HR159" s="6" t="s">
        <v>2328</v>
      </c>
      <c r="HS159" s="6" t="s">
        <v>2719</v>
      </c>
      <c r="HT159" s="6">
        <v>0</v>
      </c>
      <c r="HU159" s="6">
        <v>0</v>
      </c>
      <c r="HV159" s="6">
        <v>1</v>
      </c>
      <c r="HW159" s="6">
        <v>1</v>
      </c>
      <c r="HX159" s="6">
        <v>0</v>
      </c>
      <c r="HY159" s="6">
        <v>0</v>
      </c>
      <c r="HZ159" s="6"/>
      <c r="IA159" s="6" t="s">
        <v>2782</v>
      </c>
      <c r="IB159" s="6">
        <v>1</v>
      </c>
      <c r="IC159" s="6">
        <v>0</v>
      </c>
      <c r="ID159" s="6">
        <v>0</v>
      </c>
      <c r="IE159" s="6">
        <v>0</v>
      </c>
      <c r="IF159" s="6">
        <v>1</v>
      </c>
      <c r="IG159" s="6">
        <v>0</v>
      </c>
      <c r="IH159" s="15" t="s">
        <v>2783</v>
      </c>
      <c r="II159" s="6" t="s">
        <v>426</v>
      </c>
      <c r="IJ159" s="6" t="s">
        <v>602</v>
      </c>
      <c r="IK159" s="6">
        <v>1</v>
      </c>
      <c r="IL159" s="6">
        <v>1</v>
      </c>
      <c r="IM159" s="6">
        <v>0</v>
      </c>
      <c r="IN159" s="6"/>
      <c r="IO159" s="6" t="s">
        <v>473</v>
      </c>
      <c r="IP159" s="6">
        <v>1</v>
      </c>
      <c r="IQ159" s="6">
        <v>0</v>
      </c>
      <c r="IR159" s="6">
        <v>0</v>
      </c>
      <c r="IS159" s="6">
        <v>0</v>
      </c>
      <c r="IT159" s="6">
        <v>0</v>
      </c>
      <c r="IU159" s="6">
        <v>0</v>
      </c>
      <c r="IV159" s="6"/>
      <c r="IW159" s="6" t="s">
        <v>426</v>
      </c>
      <c r="IX159" s="6">
        <v>1</v>
      </c>
      <c r="IY159" s="6" t="s">
        <v>474</v>
      </c>
      <c r="IZ159" s="6" t="s">
        <v>475</v>
      </c>
      <c r="JA159" s="6" t="s">
        <v>426</v>
      </c>
      <c r="JB159" s="6" t="s">
        <v>476</v>
      </c>
      <c r="JC159" s="6"/>
      <c r="JD159" s="6"/>
      <c r="JE159" s="6"/>
      <c r="JF159" s="6"/>
      <c r="JG159" s="6"/>
      <c r="JH159" s="6"/>
      <c r="JI159" s="6"/>
      <c r="JJ159" s="6"/>
      <c r="JK159" s="6" t="s">
        <v>453</v>
      </c>
      <c r="JL159" s="6"/>
      <c r="JM159" s="6"/>
      <c r="JN159" s="6"/>
      <c r="JO159" s="6"/>
      <c r="JP159" s="6"/>
      <c r="JQ159" s="6"/>
      <c r="JR159" s="6"/>
      <c r="JS159" s="6"/>
      <c r="JT159" s="6"/>
      <c r="JU159" s="6" t="s">
        <v>477</v>
      </c>
      <c r="JV159" s="15"/>
      <c r="JW159" s="94" t="s">
        <v>2784</v>
      </c>
      <c r="JX159" s="6" t="s">
        <v>2785</v>
      </c>
      <c r="JY159" s="6">
        <v>0.8260739</v>
      </c>
      <c r="JZ159" s="6">
        <v>34.8661132</v>
      </c>
      <c r="KA159" s="6">
        <v>1720.88525390625</v>
      </c>
      <c r="KB159" s="15">
        <v>4.108</v>
      </c>
      <c r="KC159" s="15"/>
    </row>
    <row r="160" spans="1:289">
      <c r="A160" s="6" t="s">
        <v>2115</v>
      </c>
      <c r="B160" s="6" t="s">
        <v>2503</v>
      </c>
      <c r="C160" s="7" t="s">
        <v>2504</v>
      </c>
      <c r="D160" s="6" t="s">
        <v>2505</v>
      </c>
      <c r="E160" s="6" t="s">
        <v>2786</v>
      </c>
      <c r="F160" s="8" t="s">
        <v>483</v>
      </c>
      <c r="G160" s="6" t="s">
        <v>484</v>
      </c>
      <c r="H160" s="6" t="s">
        <v>425</v>
      </c>
      <c r="I160" s="15"/>
      <c r="J160" s="6" t="s">
        <v>426</v>
      </c>
      <c r="K160" s="6" t="s">
        <v>426</v>
      </c>
      <c r="L160" s="6" t="s">
        <v>426</v>
      </c>
      <c r="M160" s="6" t="s">
        <v>426</v>
      </c>
      <c r="N160" s="6" t="s">
        <v>426</v>
      </c>
      <c r="O160" s="6" t="s">
        <v>426</v>
      </c>
      <c r="P160" s="6" t="s">
        <v>426</v>
      </c>
      <c r="Q160" s="6" t="s">
        <v>426</v>
      </c>
      <c r="R160" s="6" t="s">
        <v>426</v>
      </c>
      <c r="S160" s="6" t="s">
        <v>426</v>
      </c>
      <c r="T160" s="6" t="s">
        <v>426</v>
      </c>
      <c r="U160" s="6" t="s">
        <v>426</v>
      </c>
      <c r="V160" s="6" t="s">
        <v>426</v>
      </c>
      <c r="W160" s="6" t="s">
        <v>426</v>
      </c>
      <c r="X160" s="6" t="s">
        <v>426</v>
      </c>
      <c r="Y160" s="6" t="s">
        <v>426</v>
      </c>
      <c r="Z160" s="6" t="s">
        <v>426</v>
      </c>
      <c r="AA160" s="6" t="s">
        <v>426</v>
      </c>
      <c r="AB160" s="6" t="s">
        <v>426</v>
      </c>
      <c r="AC160" s="15" t="s">
        <v>426</v>
      </c>
      <c r="AD160" s="6" t="s">
        <v>427</v>
      </c>
      <c r="AE160" s="6">
        <v>0</v>
      </c>
      <c r="AF160" s="6">
        <v>0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0</v>
      </c>
      <c r="AM160" s="6"/>
      <c r="AN160" s="15"/>
      <c r="AO160" s="6" t="s">
        <v>426</v>
      </c>
      <c r="AP160" s="6" t="s">
        <v>823</v>
      </c>
      <c r="AQ160" s="6" t="s">
        <v>426</v>
      </c>
      <c r="AR160" s="6" t="s">
        <v>901</v>
      </c>
      <c r="AS160" s="6" t="s">
        <v>426</v>
      </c>
      <c r="AT160" s="6">
        <v>0.5</v>
      </c>
      <c r="AU160" s="6" t="s">
        <v>426</v>
      </c>
      <c r="AV160" s="6">
        <v>0.5</v>
      </c>
      <c r="AW160" s="6" t="s">
        <v>426</v>
      </c>
      <c r="AX160" s="6">
        <v>0.5</v>
      </c>
      <c r="AY160" s="6" t="s">
        <v>426</v>
      </c>
      <c r="AZ160" s="6">
        <v>1</v>
      </c>
      <c r="BA160" s="6" t="s">
        <v>426</v>
      </c>
      <c r="BB160" s="6">
        <v>0.3</v>
      </c>
      <c r="BC160" s="6" t="s">
        <v>426</v>
      </c>
      <c r="BD160" s="6">
        <v>0.5</v>
      </c>
      <c r="BE160" s="6" t="s">
        <v>426</v>
      </c>
      <c r="BF160" s="6">
        <v>3</v>
      </c>
      <c r="BG160" s="6" t="s">
        <v>426</v>
      </c>
      <c r="BH160" s="6">
        <v>0.125</v>
      </c>
      <c r="BI160" s="6" t="s">
        <v>426</v>
      </c>
      <c r="BJ160" s="6">
        <v>0.125</v>
      </c>
      <c r="BK160" s="6" t="s">
        <v>426</v>
      </c>
      <c r="BL160" s="6">
        <v>0.5</v>
      </c>
      <c r="BM160" s="6" t="s">
        <v>426</v>
      </c>
      <c r="BN160" s="6">
        <v>25</v>
      </c>
      <c r="BO160" s="6" t="s">
        <v>426</v>
      </c>
      <c r="BP160" s="6">
        <v>0.1</v>
      </c>
      <c r="BQ160" s="6" t="s">
        <v>426</v>
      </c>
      <c r="BR160" s="6">
        <v>8</v>
      </c>
      <c r="BS160" s="6" t="s">
        <v>426</v>
      </c>
      <c r="BT160" s="6">
        <v>1</v>
      </c>
      <c r="BU160" s="6" t="s">
        <v>426</v>
      </c>
      <c r="BV160" s="15">
        <v>0.25</v>
      </c>
      <c r="BW160" s="15" t="s">
        <v>2263</v>
      </c>
      <c r="BX160" s="15" t="s">
        <v>786</v>
      </c>
      <c r="BY160" s="6" t="s">
        <v>430</v>
      </c>
      <c r="BZ160" s="6" t="s">
        <v>430</v>
      </c>
      <c r="CA160" s="6" t="s">
        <v>430</v>
      </c>
      <c r="CB160" s="6" t="s">
        <v>430</v>
      </c>
      <c r="CC160" s="6" t="s">
        <v>430</v>
      </c>
      <c r="CD160" s="6" t="s">
        <v>430</v>
      </c>
      <c r="CE160" s="6" t="s">
        <v>430</v>
      </c>
      <c r="CF160" s="6" t="s">
        <v>430</v>
      </c>
      <c r="CG160" s="6" t="s">
        <v>430</v>
      </c>
      <c r="CH160" s="6" t="s">
        <v>430</v>
      </c>
      <c r="CI160" s="6" t="s">
        <v>430</v>
      </c>
      <c r="CJ160" s="6" t="s">
        <v>430</v>
      </c>
      <c r="CK160" s="6" t="s">
        <v>430</v>
      </c>
      <c r="CL160" s="6" t="s">
        <v>430</v>
      </c>
      <c r="CM160" s="6" t="s">
        <v>430</v>
      </c>
      <c r="CN160" s="6" t="s">
        <v>430</v>
      </c>
      <c r="CO160" s="15" t="s">
        <v>430</v>
      </c>
      <c r="CP160" s="15" t="s">
        <v>432</v>
      </c>
      <c r="CQ160" s="6" t="s">
        <v>433</v>
      </c>
      <c r="CR160" s="15"/>
      <c r="CS160" s="6" t="s">
        <v>426</v>
      </c>
      <c r="CT160" s="6" t="s">
        <v>2787</v>
      </c>
      <c r="CU160" s="6" t="s">
        <v>683</v>
      </c>
      <c r="CV160" s="6" t="s">
        <v>1273</v>
      </c>
      <c r="CW160" s="6" t="s">
        <v>1088</v>
      </c>
      <c r="CX160" s="15" t="s">
        <v>453</v>
      </c>
      <c r="CY160" s="6"/>
      <c r="CZ160" s="6"/>
      <c r="DA160" s="6"/>
      <c r="DB160" s="6"/>
      <c r="DC160" s="6"/>
      <c r="DD160" s="15"/>
      <c r="DE160" s="15" t="s">
        <v>436</v>
      </c>
      <c r="DF160" s="6" t="s">
        <v>522</v>
      </c>
      <c r="DG160" s="6">
        <v>0</v>
      </c>
      <c r="DH160" s="6">
        <v>1</v>
      </c>
      <c r="DI160" s="6">
        <v>0</v>
      </c>
      <c r="DJ160" s="6">
        <v>0</v>
      </c>
      <c r="DK160" s="6">
        <v>0</v>
      </c>
      <c r="DL160" s="6">
        <v>0</v>
      </c>
      <c r="DM160" s="6"/>
      <c r="DN160" s="6"/>
      <c r="DO160" s="6"/>
      <c r="DP160" s="6"/>
      <c r="DQ160" s="6"/>
      <c r="DR160" s="6"/>
      <c r="DS160" s="6"/>
      <c r="DT160" s="66"/>
      <c r="DU160" s="6" t="s">
        <v>438</v>
      </c>
      <c r="DV160" s="6" t="s">
        <v>426</v>
      </c>
      <c r="DW160" s="6" t="s">
        <v>439</v>
      </c>
      <c r="DX160" s="6" t="s">
        <v>440</v>
      </c>
      <c r="DY160" s="6"/>
      <c r="DZ160" s="6" t="s">
        <v>441</v>
      </c>
      <c r="EA160" s="6">
        <v>1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/>
      <c r="EJ160" s="6" t="s">
        <v>811</v>
      </c>
      <c r="EK160" s="6">
        <v>1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/>
      <c r="EU160" s="6" t="s">
        <v>443</v>
      </c>
      <c r="EV160" s="6" t="s">
        <v>588</v>
      </c>
      <c r="EW160" s="6"/>
      <c r="EX160" s="6" t="s">
        <v>1123</v>
      </c>
      <c r="EY160" s="6">
        <v>1</v>
      </c>
      <c r="EZ160" s="6">
        <v>0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/>
      <c r="FH160" s="6" t="s">
        <v>555</v>
      </c>
      <c r="FI160" s="6">
        <v>0</v>
      </c>
      <c r="FJ160" s="6">
        <v>0</v>
      </c>
      <c r="FK160" s="6">
        <v>0</v>
      </c>
      <c r="FL160" s="6">
        <v>0</v>
      </c>
      <c r="FM160" s="6">
        <v>0</v>
      </c>
      <c r="FN160" s="6">
        <v>0</v>
      </c>
      <c r="FO160" s="6">
        <v>0</v>
      </c>
      <c r="FP160" s="6">
        <v>0</v>
      </c>
      <c r="FQ160" s="6">
        <v>1</v>
      </c>
      <c r="FR160" s="6">
        <v>0</v>
      </c>
      <c r="FS160" s="6"/>
      <c r="FT160" s="6" t="s">
        <v>447</v>
      </c>
      <c r="FU160" s="6" t="s">
        <v>499</v>
      </c>
      <c r="FV160" s="6"/>
      <c r="FW160" s="6" t="s">
        <v>449</v>
      </c>
      <c r="FX160" s="15" t="s">
        <v>450</v>
      </c>
      <c r="FY160" s="6" t="s">
        <v>537</v>
      </c>
      <c r="FZ160" s="6" t="s">
        <v>2788</v>
      </c>
      <c r="GA160" s="6" t="s">
        <v>450</v>
      </c>
      <c r="GB160" s="6" t="s">
        <v>501</v>
      </c>
      <c r="GC160" s="6" t="s">
        <v>453</v>
      </c>
      <c r="GD160" s="6"/>
      <c r="GE160" s="6" t="s">
        <v>454</v>
      </c>
      <c r="GF160" s="6" t="s">
        <v>2508</v>
      </c>
      <c r="GG160" s="6" t="s">
        <v>456</v>
      </c>
      <c r="GH160" s="15" t="s">
        <v>2508</v>
      </c>
      <c r="GI160" s="6" t="s">
        <v>458</v>
      </c>
      <c r="GJ160" s="6" t="s">
        <v>2226</v>
      </c>
      <c r="GK160" s="6" t="s">
        <v>460</v>
      </c>
      <c r="GL160" s="6" t="s">
        <v>461</v>
      </c>
      <c r="GM160" s="6">
        <v>0</v>
      </c>
      <c r="GN160" s="6">
        <v>0</v>
      </c>
      <c r="GO160" s="6">
        <v>0</v>
      </c>
      <c r="GP160" s="6">
        <v>0</v>
      </c>
      <c r="GQ160" s="6">
        <v>0</v>
      </c>
      <c r="GR160" s="6">
        <v>1</v>
      </c>
      <c r="GS160" s="6">
        <v>0</v>
      </c>
      <c r="GT160" s="6"/>
      <c r="GU160" s="6" t="s">
        <v>534</v>
      </c>
      <c r="GV160" s="6" t="s">
        <v>595</v>
      </c>
      <c r="GW160" s="6" t="s">
        <v>464</v>
      </c>
      <c r="GX160" s="6">
        <v>1</v>
      </c>
      <c r="GY160" s="6">
        <v>0</v>
      </c>
      <c r="GZ160" s="6">
        <v>0</v>
      </c>
      <c r="HA160" s="6">
        <v>0</v>
      </c>
      <c r="HB160" s="6">
        <v>0</v>
      </c>
      <c r="HC160" s="6">
        <v>0</v>
      </c>
      <c r="HD160" s="6"/>
      <c r="HE160" s="6" t="s">
        <v>111</v>
      </c>
      <c r="HF160" s="6">
        <v>0</v>
      </c>
      <c r="HG160" s="6">
        <v>0</v>
      </c>
      <c r="HH160" s="6">
        <v>0</v>
      </c>
      <c r="HI160" s="6">
        <v>1</v>
      </c>
      <c r="HJ160" s="6">
        <v>0</v>
      </c>
      <c r="HK160" s="6">
        <v>0</v>
      </c>
      <c r="HL160" s="15"/>
      <c r="HM160" s="6" t="s">
        <v>505</v>
      </c>
      <c r="HN160" s="6"/>
      <c r="HO160" s="6" t="s">
        <v>2226</v>
      </c>
      <c r="HP160" s="6" t="s">
        <v>1668</v>
      </c>
      <c r="HQ160" s="6"/>
      <c r="HR160" s="6" t="s">
        <v>2789</v>
      </c>
      <c r="HS160" s="6" t="s">
        <v>540</v>
      </c>
      <c r="HT160" s="6">
        <v>1</v>
      </c>
      <c r="HU160" s="6">
        <v>0</v>
      </c>
      <c r="HV160" s="6">
        <v>0</v>
      </c>
      <c r="HW160" s="6">
        <v>0</v>
      </c>
      <c r="HX160" s="6">
        <v>0</v>
      </c>
      <c r="HY160" s="6">
        <v>0</v>
      </c>
      <c r="HZ160" s="6"/>
      <c r="IA160" s="6" t="s">
        <v>111</v>
      </c>
      <c r="IB160" s="6">
        <v>1</v>
      </c>
      <c r="IC160" s="6">
        <v>0</v>
      </c>
      <c r="ID160" s="6">
        <v>0</v>
      </c>
      <c r="IE160" s="6">
        <v>0</v>
      </c>
      <c r="IF160" s="6">
        <v>0</v>
      </c>
      <c r="IG160" s="6">
        <v>0</v>
      </c>
      <c r="IH160" s="15" t="s">
        <v>2790</v>
      </c>
      <c r="II160" s="6" t="s">
        <v>426</v>
      </c>
      <c r="IJ160" s="6" t="s">
        <v>543</v>
      </c>
      <c r="IK160" s="6">
        <v>0</v>
      </c>
      <c r="IL160" s="6">
        <v>1</v>
      </c>
      <c r="IM160" s="6">
        <v>0</v>
      </c>
      <c r="IN160" s="6"/>
      <c r="IO160" s="6" t="s">
        <v>473</v>
      </c>
      <c r="IP160" s="6">
        <v>1</v>
      </c>
      <c r="IQ160" s="6">
        <v>0</v>
      </c>
      <c r="IR160" s="6">
        <v>0</v>
      </c>
      <c r="IS160" s="6">
        <v>0</v>
      </c>
      <c r="IT160" s="6">
        <v>0</v>
      </c>
      <c r="IU160" s="6">
        <v>0</v>
      </c>
      <c r="IV160" s="6"/>
      <c r="IW160" s="6" t="s">
        <v>453</v>
      </c>
      <c r="IX160" s="6"/>
      <c r="IY160" s="6" t="s">
        <v>510</v>
      </c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 t="s">
        <v>426</v>
      </c>
      <c r="JK160" s="6" t="s">
        <v>426</v>
      </c>
      <c r="JL160" s="6" t="s">
        <v>426</v>
      </c>
      <c r="JM160" s="6"/>
      <c r="JN160" s="6"/>
      <c r="JO160" s="6"/>
      <c r="JP160" s="6"/>
      <c r="JQ160" s="6"/>
      <c r="JR160" s="6"/>
      <c r="JS160" s="6"/>
      <c r="JT160" s="6"/>
      <c r="JU160" s="6" t="s">
        <v>544</v>
      </c>
      <c r="JV160" s="15"/>
      <c r="JW160" s="94" t="s">
        <v>2791</v>
      </c>
      <c r="JX160" s="6" t="s">
        <v>2792</v>
      </c>
      <c r="JY160" s="6">
        <v>0.831704</v>
      </c>
      <c r="JZ160" s="6">
        <v>34.865174</v>
      </c>
      <c r="KA160" s="6">
        <v>1717.592</v>
      </c>
      <c r="KB160" s="15">
        <v>1.854</v>
      </c>
      <c r="KC160" s="15"/>
    </row>
    <row r="161" spans="1:289">
      <c r="A161" s="6" t="s">
        <v>419</v>
      </c>
      <c r="B161" s="6" t="s">
        <v>2503</v>
      </c>
      <c r="C161" s="7" t="s">
        <v>2504</v>
      </c>
      <c r="D161" s="6" t="s">
        <v>2537</v>
      </c>
      <c r="E161" s="6" t="s">
        <v>2793</v>
      </c>
      <c r="F161" s="8" t="s">
        <v>483</v>
      </c>
      <c r="G161" s="6" t="s">
        <v>424</v>
      </c>
      <c r="H161" s="6" t="s">
        <v>425</v>
      </c>
      <c r="I161" s="15"/>
      <c r="J161" s="6" t="s">
        <v>426</v>
      </c>
      <c r="K161" s="6" t="s">
        <v>426</v>
      </c>
      <c r="L161" s="6" t="s">
        <v>426</v>
      </c>
      <c r="M161" s="6" t="s">
        <v>426</v>
      </c>
      <c r="N161" s="6" t="s">
        <v>426</v>
      </c>
      <c r="O161" s="6" t="s">
        <v>426</v>
      </c>
      <c r="P161" s="6" t="s">
        <v>426</v>
      </c>
      <c r="Q161" s="6" t="s">
        <v>426</v>
      </c>
      <c r="R161" s="6" t="s">
        <v>426</v>
      </c>
      <c r="S161" s="6" t="s">
        <v>426</v>
      </c>
      <c r="T161" s="6" t="s">
        <v>426</v>
      </c>
      <c r="U161" s="6" t="s">
        <v>426</v>
      </c>
      <c r="V161" s="6" t="s">
        <v>426</v>
      </c>
      <c r="W161" s="6" t="s">
        <v>426</v>
      </c>
      <c r="X161" s="6" t="s">
        <v>426</v>
      </c>
      <c r="Y161" s="6" t="s">
        <v>426</v>
      </c>
      <c r="Z161" s="6" t="s">
        <v>426</v>
      </c>
      <c r="AA161" s="6" t="s">
        <v>426</v>
      </c>
      <c r="AB161" s="6" t="s">
        <v>426</v>
      </c>
      <c r="AC161" s="15" t="s">
        <v>426</v>
      </c>
      <c r="AD161" s="6" t="s">
        <v>427</v>
      </c>
      <c r="AE161" s="6">
        <v>0</v>
      </c>
      <c r="AF161" s="6">
        <v>0</v>
      </c>
      <c r="AG161" s="6">
        <v>0</v>
      </c>
      <c r="AH161" s="6">
        <v>1</v>
      </c>
      <c r="AI161" s="6">
        <v>0</v>
      </c>
      <c r="AJ161" s="6">
        <v>0</v>
      </c>
      <c r="AK161" s="6">
        <v>0</v>
      </c>
      <c r="AL161" s="6">
        <v>0</v>
      </c>
      <c r="AM161" s="6"/>
      <c r="AN161" s="15"/>
      <c r="AO161" s="6" t="s">
        <v>426</v>
      </c>
      <c r="AP161" s="6" t="s">
        <v>656</v>
      </c>
      <c r="AQ161" s="6" t="s">
        <v>426</v>
      </c>
      <c r="AR161" s="6" t="s">
        <v>656</v>
      </c>
      <c r="AS161" s="6" t="s">
        <v>426</v>
      </c>
      <c r="AT161" s="6">
        <v>0.75</v>
      </c>
      <c r="AU161" s="6" t="s">
        <v>453</v>
      </c>
      <c r="AV161" s="6"/>
      <c r="AW161" s="6" t="s">
        <v>426</v>
      </c>
      <c r="AX161" s="6">
        <v>0.75</v>
      </c>
      <c r="AY161" s="6" t="s">
        <v>426</v>
      </c>
      <c r="AZ161" s="6">
        <v>1</v>
      </c>
      <c r="BA161" s="6" t="s">
        <v>426</v>
      </c>
      <c r="BB161" s="6">
        <v>0.75</v>
      </c>
      <c r="BC161" s="6" t="s">
        <v>426</v>
      </c>
      <c r="BD161" s="6">
        <v>0.2</v>
      </c>
      <c r="BE161" s="6" t="s">
        <v>426</v>
      </c>
      <c r="BF161" s="6">
        <v>5</v>
      </c>
      <c r="BG161" s="6" t="s">
        <v>426</v>
      </c>
      <c r="BH161" s="6">
        <v>0.75</v>
      </c>
      <c r="BI161" s="6" t="s">
        <v>426</v>
      </c>
      <c r="BJ161" s="6">
        <v>0.75</v>
      </c>
      <c r="BK161" s="6" t="s">
        <v>426</v>
      </c>
      <c r="BL161" s="6">
        <v>0.2</v>
      </c>
      <c r="BM161" s="6" t="s">
        <v>426</v>
      </c>
      <c r="BN161" s="6">
        <v>10</v>
      </c>
      <c r="BO161" s="6" t="s">
        <v>426</v>
      </c>
      <c r="BP161" s="6">
        <v>0.75</v>
      </c>
      <c r="BQ161" s="6" t="s">
        <v>426</v>
      </c>
      <c r="BR161" s="6">
        <v>20</v>
      </c>
      <c r="BS161" s="6" t="s">
        <v>426</v>
      </c>
      <c r="BT161" s="6">
        <v>7</v>
      </c>
      <c r="BU161" s="6" t="s">
        <v>426</v>
      </c>
      <c r="BV161" s="15">
        <v>0.2</v>
      </c>
      <c r="BW161" s="15" t="s">
        <v>428</v>
      </c>
      <c r="BX161" s="15" t="s">
        <v>429</v>
      </c>
      <c r="BY161" s="6" t="s">
        <v>430</v>
      </c>
      <c r="BZ161" s="6" t="s">
        <v>430</v>
      </c>
      <c r="CA161" s="6" t="s">
        <v>430</v>
      </c>
      <c r="CB161" s="6" t="s">
        <v>487</v>
      </c>
      <c r="CC161" s="6" t="s">
        <v>430</v>
      </c>
      <c r="CD161" s="6" t="s">
        <v>431</v>
      </c>
      <c r="CE161" s="6" t="s">
        <v>431</v>
      </c>
      <c r="CF161" s="6" t="s">
        <v>430</v>
      </c>
      <c r="CG161" s="6" t="s">
        <v>431</v>
      </c>
      <c r="CH161" s="6" t="s">
        <v>431</v>
      </c>
      <c r="CI161" s="6" t="s">
        <v>430</v>
      </c>
      <c r="CJ161" s="6" t="s">
        <v>430</v>
      </c>
      <c r="CK161" s="6" t="s">
        <v>430</v>
      </c>
      <c r="CL161" s="6" t="s">
        <v>430</v>
      </c>
      <c r="CM161" s="6" t="s">
        <v>430</v>
      </c>
      <c r="CN161" s="6" t="s">
        <v>431</v>
      </c>
      <c r="CO161" s="15" t="s">
        <v>431</v>
      </c>
      <c r="CP161" s="15" t="s">
        <v>432</v>
      </c>
      <c r="CQ161" s="6" t="s">
        <v>686</v>
      </c>
      <c r="CR161" s="15"/>
      <c r="CS161" s="6" t="s">
        <v>426</v>
      </c>
      <c r="CT161" s="6" t="s">
        <v>2794</v>
      </c>
      <c r="CU161" s="6" t="s">
        <v>809</v>
      </c>
      <c r="CV161" s="6" t="s">
        <v>1091</v>
      </c>
      <c r="CW161" s="6" t="s">
        <v>2795</v>
      </c>
      <c r="CX161" s="15" t="s">
        <v>426</v>
      </c>
      <c r="CY161" s="6" t="s">
        <v>426</v>
      </c>
      <c r="CZ161" s="6" t="s">
        <v>2796</v>
      </c>
      <c r="DA161" s="6" t="s">
        <v>1111</v>
      </c>
      <c r="DB161" s="6" t="s">
        <v>693</v>
      </c>
      <c r="DC161" s="6" t="s">
        <v>734</v>
      </c>
      <c r="DD161" s="15" t="s">
        <v>2797</v>
      </c>
      <c r="DE161" s="15" t="s">
        <v>521</v>
      </c>
      <c r="DF161" s="6" t="s">
        <v>437</v>
      </c>
      <c r="DG161" s="6">
        <v>1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/>
      <c r="DN161" s="6"/>
      <c r="DO161" s="6"/>
      <c r="DP161" s="6"/>
      <c r="DQ161" s="6"/>
      <c r="DR161" s="6"/>
      <c r="DS161" s="6"/>
      <c r="DT161" s="66"/>
      <c r="DU161" s="6" t="s">
        <v>438</v>
      </c>
      <c r="DV161" s="6" t="s">
        <v>426</v>
      </c>
      <c r="DW161" s="6" t="s">
        <v>439</v>
      </c>
      <c r="DX161" s="6" t="s">
        <v>491</v>
      </c>
      <c r="DY161" s="6"/>
      <c r="DZ161" s="6" t="s">
        <v>940</v>
      </c>
      <c r="EA161" s="6">
        <v>1</v>
      </c>
      <c r="EB161" s="6">
        <v>1</v>
      </c>
      <c r="EC161" s="6">
        <v>1</v>
      </c>
      <c r="ED161" s="6">
        <v>1</v>
      </c>
      <c r="EE161" s="6">
        <v>0</v>
      </c>
      <c r="EF161" s="6">
        <v>0</v>
      </c>
      <c r="EG161" s="6">
        <v>0</v>
      </c>
      <c r="EH161" s="6">
        <v>0</v>
      </c>
      <c r="EI161" s="6"/>
      <c r="EJ161" s="6" t="s">
        <v>697</v>
      </c>
      <c r="EK161" s="6">
        <v>1</v>
      </c>
      <c r="EL161" s="6">
        <v>1</v>
      </c>
      <c r="EM161" s="6">
        <v>1</v>
      </c>
      <c r="EN161" s="6">
        <v>1</v>
      </c>
      <c r="EO161" s="6">
        <v>1</v>
      </c>
      <c r="EP161" s="6">
        <v>1</v>
      </c>
      <c r="EQ161" s="6">
        <v>0</v>
      </c>
      <c r="ER161" s="6">
        <v>0</v>
      </c>
      <c r="ES161" s="6">
        <v>0</v>
      </c>
      <c r="ET161" s="6"/>
      <c r="EU161" s="6" t="s">
        <v>494</v>
      </c>
      <c r="EV161" s="6" t="s">
        <v>495</v>
      </c>
      <c r="EW161" s="6"/>
      <c r="EX161" s="6" t="s">
        <v>445</v>
      </c>
      <c r="EY161" s="6">
        <v>0</v>
      </c>
      <c r="EZ161" s="6">
        <v>0</v>
      </c>
      <c r="FA161" s="6">
        <v>1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/>
      <c r="FH161" s="6" t="s">
        <v>812</v>
      </c>
      <c r="FI161" s="6">
        <v>1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/>
      <c r="FT161" s="6" t="s">
        <v>447</v>
      </c>
      <c r="FU161" s="6" t="s">
        <v>448</v>
      </c>
      <c r="FV161" s="6"/>
      <c r="FW161" s="6" t="s">
        <v>449</v>
      </c>
      <c r="FX161" s="15" t="s">
        <v>528</v>
      </c>
      <c r="FY161" s="6" t="s">
        <v>451</v>
      </c>
      <c r="FZ161" s="6"/>
      <c r="GA161" s="6" t="s">
        <v>528</v>
      </c>
      <c r="GB161" s="6" t="s">
        <v>452</v>
      </c>
      <c r="GC161" s="6" t="s">
        <v>453</v>
      </c>
      <c r="GD161" s="6"/>
      <c r="GE161" s="6" t="s">
        <v>454</v>
      </c>
      <c r="GF161" s="6" t="s">
        <v>2798</v>
      </c>
      <c r="GG161" s="6" t="s">
        <v>456</v>
      </c>
      <c r="GH161" s="15" t="s">
        <v>2799</v>
      </c>
      <c r="GI161" s="6" t="s">
        <v>701</v>
      </c>
      <c r="GJ161" s="6" t="s">
        <v>2800</v>
      </c>
      <c r="GK161" s="6" t="s">
        <v>703</v>
      </c>
      <c r="GL161" s="6" t="s">
        <v>704</v>
      </c>
      <c r="GM161" s="6">
        <v>0</v>
      </c>
      <c r="GN161" s="6">
        <v>0</v>
      </c>
      <c r="GO161" s="6">
        <v>0</v>
      </c>
      <c r="GP161" s="6">
        <v>1</v>
      </c>
      <c r="GQ161" s="6">
        <v>0</v>
      </c>
      <c r="GR161" s="6">
        <v>0</v>
      </c>
      <c r="GS161" s="6">
        <v>0</v>
      </c>
      <c r="GT161" s="6"/>
      <c r="GU161" s="6" t="s">
        <v>462</v>
      </c>
      <c r="GV161" s="6" t="s">
        <v>463</v>
      </c>
      <c r="GW161" s="6" t="s">
        <v>464</v>
      </c>
      <c r="GX161" s="6">
        <v>1</v>
      </c>
      <c r="GY161" s="6">
        <v>0</v>
      </c>
      <c r="GZ161" s="6">
        <v>0</v>
      </c>
      <c r="HA161" s="6">
        <v>0</v>
      </c>
      <c r="HB161" s="6">
        <v>0</v>
      </c>
      <c r="HC161" s="6">
        <v>0</v>
      </c>
      <c r="HD161" s="6"/>
      <c r="HE161" s="6" t="s">
        <v>535</v>
      </c>
      <c r="HF161" s="6">
        <v>1</v>
      </c>
      <c r="HG161" s="6">
        <v>0</v>
      </c>
      <c r="HH161" s="6">
        <v>0</v>
      </c>
      <c r="HI161" s="6">
        <v>0</v>
      </c>
      <c r="HJ161" s="6">
        <v>0</v>
      </c>
      <c r="HK161" s="6">
        <v>0</v>
      </c>
      <c r="HL161" s="15"/>
      <c r="HM161" s="6" t="s">
        <v>466</v>
      </c>
      <c r="HN161" s="6"/>
      <c r="HO161" s="6" t="s">
        <v>2801</v>
      </c>
      <c r="HP161" s="6" t="s">
        <v>468</v>
      </c>
      <c r="HQ161" s="6"/>
      <c r="HR161" s="6" t="s">
        <v>1297</v>
      </c>
      <c r="HS161" s="6" t="s">
        <v>470</v>
      </c>
      <c r="HT161" s="6">
        <v>0</v>
      </c>
      <c r="HU161" s="6">
        <v>0</v>
      </c>
      <c r="HV161" s="6">
        <v>0</v>
      </c>
      <c r="HW161" s="6">
        <v>0</v>
      </c>
      <c r="HX161" s="6">
        <v>1</v>
      </c>
      <c r="HY161" s="6">
        <v>0</v>
      </c>
      <c r="HZ161" s="6"/>
      <c r="IA161" s="6" t="s">
        <v>541</v>
      </c>
      <c r="IB161" s="6">
        <v>0</v>
      </c>
      <c r="IC161" s="6">
        <v>0</v>
      </c>
      <c r="ID161" s="6">
        <v>1</v>
      </c>
      <c r="IE161" s="6">
        <v>0</v>
      </c>
      <c r="IF161" s="6">
        <v>0</v>
      </c>
      <c r="IG161" s="6">
        <v>0</v>
      </c>
      <c r="IH161" s="15" t="s">
        <v>2802</v>
      </c>
      <c r="II161" s="6" t="s">
        <v>426</v>
      </c>
      <c r="IJ161" s="6" t="s">
        <v>472</v>
      </c>
      <c r="IK161" s="6">
        <v>1</v>
      </c>
      <c r="IL161" s="6">
        <v>0</v>
      </c>
      <c r="IM161" s="6">
        <v>0</v>
      </c>
      <c r="IN161" s="6"/>
      <c r="IO161" s="6" t="s">
        <v>473</v>
      </c>
      <c r="IP161" s="6">
        <v>1</v>
      </c>
      <c r="IQ161" s="6">
        <v>0</v>
      </c>
      <c r="IR161" s="6">
        <v>0</v>
      </c>
      <c r="IS161" s="6">
        <v>0</v>
      </c>
      <c r="IT161" s="6">
        <v>0</v>
      </c>
      <c r="IU161" s="6">
        <v>0</v>
      </c>
      <c r="IV161" s="6"/>
      <c r="IW161" s="6" t="s">
        <v>453</v>
      </c>
      <c r="IX161" s="6"/>
      <c r="IY161" s="6" t="s">
        <v>510</v>
      </c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 t="s">
        <v>426</v>
      </c>
      <c r="JK161" s="6" t="s">
        <v>426</v>
      </c>
      <c r="JL161" s="6" t="s">
        <v>426</v>
      </c>
      <c r="JM161" s="6"/>
      <c r="JN161" s="6"/>
      <c r="JO161" s="6"/>
      <c r="JP161" s="6"/>
      <c r="JQ161" s="6"/>
      <c r="JR161" s="6"/>
      <c r="JS161" s="6"/>
      <c r="JT161" s="6"/>
      <c r="JU161" s="6" t="s">
        <v>477</v>
      </c>
      <c r="JV161" s="15"/>
      <c r="JW161" s="94" t="s">
        <v>2803</v>
      </c>
      <c r="JX161" s="6" t="s">
        <v>2804</v>
      </c>
      <c r="JY161" s="6">
        <v>0.8260783</v>
      </c>
      <c r="JZ161" s="6">
        <v>34.8661233</v>
      </c>
      <c r="KA161" s="6">
        <v>1760.7</v>
      </c>
      <c r="KB161" s="15">
        <v>2.3</v>
      </c>
      <c r="KC161" s="15"/>
    </row>
    <row r="162" spans="1:289">
      <c r="A162" s="6" t="s">
        <v>864</v>
      </c>
      <c r="B162" s="6" t="s">
        <v>2503</v>
      </c>
      <c r="C162" s="7" t="s">
        <v>2504</v>
      </c>
      <c r="D162" s="6" t="s">
        <v>2599</v>
      </c>
      <c r="E162" s="6" t="s">
        <v>2805</v>
      </c>
      <c r="F162" s="8" t="s">
        <v>483</v>
      </c>
      <c r="G162" s="6" t="s">
        <v>567</v>
      </c>
      <c r="H162" s="6" t="s">
        <v>517</v>
      </c>
      <c r="I162" s="15"/>
      <c r="J162" s="6" t="s">
        <v>426</v>
      </c>
      <c r="K162" s="6" t="s">
        <v>426</v>
      </c>
      <c r="L162" s="6" t="s">
        <v>453</v>
      </c>
      <c r="M162" s="6" t="s">
        <v>453</v>
      </c>
      <c r="N162" s="6" t="s">
        <v>426</v>
      </c>
      <c r="O162" s="6" t="s">
        <v>426</v>
      </c>
      <c r="P162" s="6" t="s">
        <v>426</v>
      </c>
      <c r="Q162" s="6" t="s">
        <v>453</v>
      </c>
      <c r="R162" s="6" t="s">
        <v>426</v>
      </c>
      <c r="S162" s="6" t="s">
        <v>426</v>
      </c>
      <c r="T162" s="6" t="s">
        <v>426</v>
      </c>
      <c r="U162" s="6" t="s">
        <v>426</v>
      </c>
      <c r="V162" s="6" t="s">
        <v>426</v>
      </c>
      <c r="W162" s="6" t="s">
        <v>453</v>
      </c>
      <c r="X162" s="6" t="s">
        <v>426</v>
      </c>
      <c r="Y162" s="6" t="s">
        <v>426</v>
      </c>
      <c r="Z162" s="6" t="s">
        <v>426</v>
      </c>
      <c r="AA162" s="6" t="s">
        <v>426</v>
      </c>
      <c r="AB162" s="6" t="s">
        <v>426</v>
      </c>
      <c r="AC162" s="15" t="s">
        <v>426</v>
      </c>
      <c r="AD162" s="6" t="s">
        <v>427</v>
      </c>
      <c r="AE162" s="6">
        <v>0</v>
      </c>
      <c r="AF162" s="6">
        <v>0</v>
      </c>
      <c r="AG162" s="6">
        <v>0</v>
      </c>
      <c r="AH162" s="6">
        <v>1</v>
      </c>
      <c r="AI162" s="6">
        <v>0</v>
      </c>
      <c r="AJ162" s="6">
        <v>0</v>
      </c>
      <c r="AK162" s="6">
        <v>0</v>
      </c>
      <c r="AL162" s="6">
        <v>0</v>
      </c>
      <c r="AM162" s="6"/>
      <c r="AN162" s="15"/>
      <c r="AO162" s="6" t="s">
        <v>426</v>
      </c>
      <c r="AP162" s="6" t="s">
        <v>683</v>
      </c>
      <c r="AQ162" s="6" t="s">
        <v>426</v>
      </c>
      <c r="AR162" s="6" t="s">
        <v>823</v>
      </c>
      <c r="AS162" s="6" t="s">
        <v>426</v>
      </c>
      <c r="AT162" s="6">
        <v>0.1</v>
      </c>
      <c r="AU162" s="6" t="s">
        <v>426</v>
      </c>
      <c r="AV162" s="6">
        <v>0.1</v>
      </c>
      <c r="AW162" s="6" t="s">
        <v>426</v>
      </c>
      <c r="AX162" s="6">
        <v>0.1</v>
      </c>
      <c r="AY162" s="6" t="s">
        <v>426</v>
      </c>
      <c r="AZ162" s="6">
        <v>1</v>
      </c>
      <c r="BA162" s="6" t="s">
        <v>453</v>
      </c>
      <c r="BB162" s="6"/>
      <c r="BC162" s="6" t="s">
        <v>453</v>
      </c>
      <c r="BD162" s="6"/>
      <c r="BE162" s="6" t="s">
        <v>426</v>
      </c>
      <c r="BF162" s="6">
        <v>9</v>
      </c>
      <c r="BG162" s="6" t="s">
        <v>426</v>
      </c>
      <c r="BH162" s="6">
        <v>0.1</v>
      </c>
      <c r="BI162" s="6" t="s">
        <v>426</v>
      </c>
      <c r="BJ162" s="6">
        <v>0.1</v>
      </c>
      <c r="BK162" s="6" t="s">
        <v>426</v>
      </c>
      <c r="BL162" s="6">
        <v>0.2</v>
      </c>
      <c r="BM162" s="6" t="s">
        <v>426</v>
      </c>
      <c r="BN162" s="6">
        <v>20</v>
      </c>
      <c r="BO162" s="6" t="s">
        <v>426</v>
      </c>
      <c r="BP162" s="6">
        <v>0.1</v>
      </c>
      <c r="BQ162" s="6" t="s">
        <v>426</v>
      </c>
      <c r="BR162" s="6">
        <v>7</v>
      </c>
      <c r="BS162" s="6" t="s">
        <v>453</v>
      </c>
      <c r="BT162" s="6"/>
      <c r="BU162" s="6" t="s">
        <v>426</v>
      </c>
      <c r="BV162" s="15">
        <v>0.1</v>
      </c>
      <c r="BW162" s="15" t="s">
        <v>428</v>
      </c>
      <c r="BX162" s="15" t="s">
        <v>429</v>
      </c>
      <c r="BY162" s="6" t="s">
        <v>430</v>
      </c>
      <c r="BZ162" s="6" t="s">
        <v>430</v>
      </c>
      <c r="CA162" s="6" t="s">
        <v>431</v>
      </c>
      <c r="CB162" s="6" t="s">
        <v>430</v>
      </c>
      <c r="CC162" s="6" t="s">
        <v>430</v>
      </c>
      <c r="CD162" s="6" t="s">
        <v>430</v>
      </c>
      <c r="CE162" s="6" t="s">
        <v>487</v>
      </c>
      <c r="CF162" s="6" t="s">
        <v>609</v>
      </c>
      <c r="CG162" s="6" t="s">
        <v>430</v>
      </c>
      <c r="CH162" s="6" t="s">
        <v>486</v>
      </c>
      <c r="CI162" s="6" t="s">
        <v>430</v>
      </c>
      <c r="CJ162" s="6" t="s">
        <v>486</v>
      </c>
      <c r="CK162" s="6" t="s">
        <v>430</v>
      </c>
      <c r="CL162" s="6" t="s">
        <v>430</v>
      </c>
      <c r="CM162" s="6" t="s">
        <v>431</v>
      </c>
      <c r="CN162" s="6" t="s">
        <v>487</v>
      </c>
      <c r="CO162" s="15" t="s">
        <v>430</v>
      </c>
      <c r="CP162" s="15" t="s">
        <v>432</v>
      </c>
      <c r="CQ162" s="6" t="s">
        <v>433</v>
      </c>
      <c r="CR162" s="15"/>
      <c r="CS162" s="6" t="s">
        <v>426</v>
      </c>
      <c r="CT162" s="6" t="s">
        <v>2806</v>
      </c>
      <c r="CU162" s="6" t="s">
        <v>789</v>
      </c>
      <c r="CV162" s="6" t="s">
        <v>2807</v>
      </c>
      <c r="CW162" s="6" t="s">
        <v>2808</v>
      </c>
      <c r="CX162" s="15" t="s">
        <v>453</v>
      </c>
      <c r="CY162" s="6"/>
      <c r="CZ162" s="6"/>
      <c r="DA162" s="6"/>
      <c r="DB162" s="6"/>
      <c r="DC162" s="6"/>
      <c r="DD162" s="15"/>
      <c r="DE162" s="15" t="s">
        <v>521</v>
      </c>
      <c r="DF162" s="6" t="s">
        <v>2809</v>
      </c>
      <c r="DG162" s="6">
        <v>1</v>
      </c>
      <c r="DH162" s="6">
        <v>1</v>
      </c>
      <c r="DI162" s="6">
        <v>0</v>
      </c>
      <c r="DJ162" s="6">
        <v>0</v>
      </c>
      <c r="DK162" s="6">
        <v>1</v>
      </c>
      <c r="DL162" s="6">
        <v>0</v>
      </c>
      <c r="DM162" s="6"/>
      <c r="DN162" s="6"/>
      <c r="DO162" s="6"/>
      <c r="DP162" s="6"/>
      <c r="DQ162" s="6"/>
      <c r="DR162" s="6"/>
      <c r="DS162" s="6"/>
      <c r="DT162" s="66"/>
      <c r="DU162" s="6" t="s">
        <v>438</v>
      </c>
      <c r="DV162" s="6" t="s">
        <v>426</v>
      </c>
      <c r="DW162" s="6" t="s">
        <v>1212</v>
      </c>
      <c r="DX162" s="6" t="s">
        <v>491</v>
      </c>
      <c r="DY162" s="6"/>
      <c r="DZ162" s="6" t="s">
        <v>2810</v>
      </c>
      <c r="EA162" s="6">
        <v>1</v>
      </c>
      <c r="EB162" s="6">
        <v>1</v>
      </c>
      <c r="EC162" s="6">
        <v>1</v>
      </c>
      <c r="ED162" s="6">
        <v>0</v>
      </c>
      <c r="EE162" s="6">
        <v>1</v>
      </c>
      <c r="EF162" s="6">
        <v>0</v>
      </c>
      <c r="EG162" s="6">
        <v>0</v>
      </c>
      <c r="EH162" s="6">
        <v>0</v>
      </c>
      <c r="EI162" s="6"/>
      <c r="EJ162" s="6" t="s">
        <v>697</v>
      </c>
      <c r="EK162" s="6">
        <v>1</v>
      </c>
      <c r="EL162" s="6">
        <v>1</v>
      </c>
      <c r="EM162" s="6">
        <v>1</v>
      </c>
      <c r="EN162" s="6">
        <v>1</v>
      </c>
      <c r="EO162" s="6">
        <v>1</v>
      </c>
      <c r="EP162" s="6">
        <v>1</v>
      </c>
      <c r="EQ162" s="6">
        <v>0</v>
      </c>
      <c r="ER162" s="6">
        <v>0</v>
      </c>
      <c r="ES162" s="6">
        <v>0</v>
      </c>
      <c r="ET162" s="6"/>
      <c r="EU162" s="6" t="s">
        <v>443</v>
      </c>
      <c r="EV162" s="6" t="s">
        <v>554</v>
      </c>
      <c r="EW162" s="6"/>
      <c r="EX162" s="6" t="s">
        <v>2811</v>
      </c>
      <c r="EY162" s="6">
        <v>1</v>
      </c>
      <c r="EZ162" s="6">
        <v>1</v>
      </c>
      <c r="FA162" s="6">
        <v>1</v>
      </c>
      <c r="FB162" s="6">
        <v>1</v>
      </c>
      <c r="FC162" s="6">
        <v>1</v>
      </c>
      <c r="FD162" s="6">
        <v>0</v>
      </c>
      <c r="FE162" s="6">
        <v>0</v>
      </c>
      <c r="FF162" s="6">
        <v>0</v>
      </c>
      <c r="FG162" s="6"/>
      <c r="FH162" s="6" t="s">
        <v>2812</v>
      </c>
      <c r="FI162" s="6">
        <v>0</v>
      </c>
      <c r="FJ162" s="6">
        <v>0</v>
      </c>
      <c r="FK162" s="6">
        <v>0</v>
      </c>
      <c r="FL162" s="6">
        <v>1</v>
      </c>
      <c r="FM162" s="6">
        <v>0</v>
      </c>
      <c r="FN162" s="6">
        <v>1</v>
      </c>
      <c r="FO162" s="6">
        <v>0</v>
      </c>
      <c r="FP162" s="6">
        <v>0</v>
      </c>
      <c r="FQ162" s="6">
        <v>0</v>
      </c>
      <c r="FR162" s="6">
        <v>0</v>
      </c>
      <c r="FS162" s="6"/>
      <c r="FT162" s="6" t="s">
        <v>556</v>
      </c>
      <c r="FU162" s="6" t="s">
        <v>448</v>
      </c>
      <c r="FV162" s="6"/>
      <c r="FW162" s="6" t="s">
        <v>449</v>
      </c>
      <c r="FX162" s="15" t="s">
        <v>528</v>
      </c>
      <c r="FY162" s="6" t="s">
        <v>619</v>
      </c>
      <c r="FZ162" s="6"/>
      <c r="GA162" s="6" t="s">
        <v>450</v>
      </c>
      <c r="GB162" s="6" t="s">
        <v>501</v>
      </c>
      <c r="GC162" s="6" t="s">
        <v>453</v>
      </c>
      <c r="GD162" s="6"/>
      <c r="GE162" s="6" t="s">
        <v>642</v>
      </c>
      <c r="GF162" s="6" t="s">
        <v>2813</v>
      </c>
      <c r="GG162" s="6" t="s">
        <v>592</v>
      </c>
      <c r="GH162" s="15" t="s">
        <v>1074</v>
      </c>
      <c r="GI162" s="6" t="s">
        <v>458</v>
      </c>
      <c r="GJ162" s="6" t="s">
        <v>2814</v>
      </c>
      <c r="GK162" s="6" t="s">
        <v>460</v>
      </c>
      <c r="GL162" s="6" t="s">
        <v>2815</v>
      </c>
      <c r="GM162" s="6">
        <v>0</v>
      </c>
      <c r="GN162" s="6">
        <v>1</v>
      </c>
      <c r="GO162" s="6">
        <v>0</v>
      </c>
      <c r="GP162" s="6">
        <v>1</v>
      </c>
      <c r="GQ162" s="6">
        <v>0</v>
      </c>
      <c r="GR162" s="6">
        <v>0</v>
      </c>
      <c r="GS162" s="6">
        <v>0</v>
      </c>
      <c r="GT162" s="6"/>
      <c r="GU162" s="6" t="s">
        <v>534</v>
      </c>
      <c r="GV162" s="6" t="s">
        <v>595</v>
      </c>
      <c r="GW162" s="6" t="s">
        <v>464</v>
      </c>
      <c r="GX162" s="6">
        <v>1</v>
      </c>
      <c r="GY162" s="6">
        <v>0</v>
      </c>
      <c r="GZ162" s="6">
        <v>0</v>
      </c>
      <c r="HA162" s="6">
        <v>0</v>
      </c>
      <c r="HB162" s="6">
        <v>0</v>
      </c>
      <c r="HC162" s="6">
        <v>0</v>
      </c>
      <c r="HD162" s="6"/>
      <c r="HE162" s="6" t="s">
        <v>2816</v>
      </c>
      <c r="HF162" s="6">
        <v>0</v>
      </c>
      <c r="HG162" s="6">
        <v>1</v>
      </c>
      <c r="HH162" s="6">
        <v>1</v>
      </c>
      <c r="HI162" s="6">
        <v>0</v>
      </c>
      <c r="HJ162" s="6">
        <v>0</v>
      </c>
      <c r="HK162" s="6">
        <v>0</v>
      </c>
      <c r="HL162" s="15"/>
      <c r="HM162" s="6" t="s">
        <v>505</v>
      </c>
      <c r="HN162" s="6"/>
      <c r="HO162" s="6" t="s">
        <v>2817</v>
      </c>
      <c r="HP162" s="6" t="s">
        <v>537</v>
      </c>
      <c r="HQ162" s="6" t="s">
        <v>1201</v>
      </c>
      <c r="HR162" s="6" t="s">
        <v>2818</v>
      </c>
      <c r="HS162" s="6" t="s">
        <v>1163</v>
      </c>
      <c r="HT162" s="6">
        <v>0</v>
      </c>
      <c r="HU162" s="6">
        <v>0</v>
      </c>
      <c r="HV162" s="6">
        <v>1</v>
      </c>
      <c r="HW162" s="6">
        <v>0</v>
      </c>
      <c r="HX162" s="6">
        <v>0</v>
      </c>
      <c r="HY162" s="6">
        <v>1</v>
      </c>
      <c r="HZ162" s="6"/>
      <c r="IA162" s="6" t="s">
        <v>2819</v>
      </c>
      <c r="IB162" s="6">
        <v>1</v>
      </c>
      <c r="IC162" s="6">
        <v>1</v>
      </c>
      <c r="ID162" s="6">
        <v>1</v>
      </c>
      <c r="IE162" s="6">
        <v>0</v>
      </c>
      <c r="IF162" s="6">
        <v>0</v>
      </c>
      <c r="IG162" s="6">
        <v>0</v>
      </c>
      <c r="IH162" s="15" t="s">
        <v>2820</v>
      </c>
      <c r="II162" s="6" t="s">
        <v>426</v>
      </c>
      <c r="IJ162" s="6" t="s">
        <v>602</v>
      </c>
      <c r="IK162" s="6">
        <v>1</v>
      </c>
      <c r="IL162" s="6">
        <v>1</v>
      </c>
      <c r="IM162" s="6">
        <v>0</v>
      </c>
      <c r="IN162" s="6"/>
      <c r="IO162" s="6" t="s">
        <v>473</v>
      </c>
      <c r="IP162" s="6">
        <v>1</v>
      </c>
      <c r="IQ162" s="6">
        <v>0</v>
      </c>
      <c r="IR162" s="6">
        <v>0</v>
      </c>
      <c r="IS162" s="6">
        <v>0</v>
      </c>
      <c r="IT162" s="6">
        <v>0</v>
      </c>
      <c r="IU162" s="6">
        <v>0</v>
      </c>
      <c r="IV162" s="6"/>
      <c r="IW162" s="6" t="s">
        <v>426</v>
      </c>
      <c r="IX162" s="6">
        <v>1</v>
      </c>
      <c r="IY162" s="6" t="s">
        <v>510</v>
      </c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 t="s">
        <v>426</v>
      </c>
      <c r="JL162" s="6" t="s">
        <v>453</v>
      </c>
      <c r="JM162" s="6" t="s">
        <v>2821</v>
      </c>
      <c r="JN162" s="6">
        <v>1</v>
      </c>
      <c r="JO162" s="6">
        <v>0</v>
      </c>
      <c r="JP162" s="6">
        <v>1</v>
      </c>
      <c r="JQ162" s="6">
        <v>0</v>
      </c>
      <c r="JR162" s="6">
        <v>0</v>
      </c>
      <c r="JS162" s="6">
        <v>0</v>
      </c>
      <c r="JT162" s="6"/>
      <c r="JU162" s="6" t="s">
        <v>895</v>
      </c>
      <c r="JV162" s="15" t="s">
        <v>1948</v>
      </c>
      <c r="JW162" s="94" t="s">
        <v>2822</v>
      </c>
      <c r="JX162" s="6" t="s">
        <v>2823</v>
      </c>
      <c r="JY162" s="6">
        <v>0.826143</v>
      </c>
      <c r="JZ162" s="6">
        <v>34.8661473</v>
      </c>
      <c r="KA162" s="6">
        <v>1776.31</v>
      </c>
      <c r="KB162" s="15">
        <v>3.129</v>
      </c>
      <c r="KC162" s="15"/>
    </row>
    <row r="163" spans="1:289">
      <c r="A163" s="6" t="s">
        <v>633</v>
      </c>
      <c r="B163" s="6" t="s">
        <v>2503</v>
      </c>
      <c r="C163" s="7" t="s">
        <v>2504</v>
      </c>
      <c r="D163" s="6" t="s">
        <v>2167</v>
      </c>
      <c r="E163" s="6" t="s">
        <v>2824</v>
      </c>
      <c r="F163" s="8" t="s">
        <v>483</v>
      </c>
      <c r="G163" s="6" t="s">
        <v>567</v>
      </c>
      <c r="H163" s="6" t="s">
        <v>517</v>
      </c>
      <c r="I163" s="15"/>
      <c r="J163" s="6" t="s">
        <v>426</v>
      </c>
      <c r="K163" s="6" t="s">
        <v>426</v>
      </c>
      <c r="L163" s="6" t="s">
        <v>426</v>
      </c>
      <c r="M163" s="6" t="s">
        <v>426</v>
      </c>
      <c r="N163" s="6" t="s">
        <v>426</v>
      </c>
      <c r="O163" s="6" t="s">
        <v>426</v>
      </c>
      <c r="P163" s="6" t="s">
        <v>426</v>
      </c>
      <c r="Q163" s="6" t="s">
        <v>426</v>
      </c>
      <c r="R163" s="6" t="s">
        <v>426</v>
      </c>
      <c r="S163" s="6" t="s">
        <v>426</v>
      </c>
      <c r="T163" s="6" t="s">
        <v>426</v>
      </c>
      <c r="U163" s="6" t="s">
        <v>426</v>
      </c>
      <c r="V163" s="6" t="s">
        <v>426</v>
      </c>
      <c r="W163" s="6" t="s">
        <v>426</v>
      </c>
      <c r="X163" s="6" t="s">
        <v>426</v>
      </c>
      <c r="Y163" s="6" t="s">
        <v>426</v>
      </c>
      <c r="Z163" s="6" t="s">
        <v>426</v>
      </c>
      <c r="AA163" s="6" t="s">
        <v>426</v>
      </c>
      <c r="AB163" s="6" t="s">
        <v>426</v>
      </c>
      <c r="AC163" s="15" t="s">
        <v>426</v>
      </c>
      <c r="AD163" s="6" t="s">
        <v>427</v>
      </c>
      <c r="AE163" s="6">
        <v>0</v>
      </c>
      <c r="AF163" s="6">
        <v>0</v>
      </c>
      <c r="AG163" s="6">
        <v>0</v>
      </c>
      <c r="AH163" s="6">
        <v>1</v>
      </c>
      <c r="AI163" s="6">
        <v>0</v>
      </c>
      <c r="AJ163" s="6">
        <v>0</v>
      </c>
      <c r="AK163" s="6">
        <v>0</v>
      </c>
      <c r="AL163" s="6">
        <v>0</v>
      </c>
      <c r="AM163" s="6"/>
      <c r="AN163" s="15"/>
      <c r="AO163" s="6" t="s">
        <v>426</v>
      </c>
      <c r="AP163" s="6" t="s">
        <v>656</v>
      </c>
      <c r="AQ163" s="6" t="s">
        <v>453</v>
      </c>
      <c r="AR163" s="6"/>
      <c r="AS163" s="6" t="s">
        <v>426</v>
      </c>
      <c r="AT163" s="6">
        <v>0.1</v>
      </c>
      <c r="AU163" s="6" t="s">
        <v>426</v>
      </c>
      <c r="AV163" s="6">
        <v>0.1</v>
      </c>
      <c r="AW163" s="6" t="s">
        <v>426</v>
      </c>
      <c r="AX163" s="6">
        <v>0.1</v>
      </c>
      <c r="AY163" s="6" t="s">
        <v>426</v>
      </c>
      <c r="AZ163" s="6">
        <v>1</v>
      </c>
      <c r="BA163" s="6" t="s">
        <v>426</v>
      </c>
      <c r="BB163" s="6">
        <v>0.1</v>
      </c>
      <c r="BC163" s="6" t="s">
        <v>426</v>
      </c>
      <c r="BD163" s="6">
        <v>0.1</v>
      </c>
      <c r="BE163" s="6" t="s">
        <v>426</v>
      </c>
      <c r="BF163" s="6">
        <v>1</v>
      </c>
      <c r="BG163" s="6" t="s">
        <v>426</v>
      </c>
      <c r="BH163" s="6">
        <v>0.05</v>
      </c>
      <c r="BI163" s="6" t="s">
        <v>426</v>
      </c>
      <c r="BJ163" s="6">
        <v>0.08</v>
      </c>
      <c r="BK163" s="6" t="s">
        <v>426</v>
      </c>
      <c r="BL163" s="6">
        <v>0.08</v>
      </c>
      <c r="BM163" s="6" t="s">
        <v>426</v>
      </c>
      <c r="BN163" s="6">
        <v>10</v>
      </c>
      <c r="BO163" s="6" t="s">
        <v>426</v>
      </c>
      <c r="BP163" s="6">
        <v>0.05</v>
      </c>
      <c r="BQ163" s="6" t="s">
        <v>426</v>
      </c>
      <c r="BR163" s="6">
        <v>8</v>
      </c>
      <c r="BS163" s="6" t="s">
        <v>426</v>
      </c>
      <c r="BT163" s="6">
        <v>1</v>
      </c>
      <c r="BU163" s="6" t="s">
        <v>426</v>
      </c>
      <c r="BV163" s="15">
        <v>0.1</v>
      </c>
      <c r="BW163" s="15" t="s">
        <v>518</v>
      </c>
      <c r="BX163" s="15" t="s">
        <v>429</v>
      </c>
      <c r="BY163" s="6" t="s">
        <v>430</v>
      </c>
      <c r="BZ163" s="6" t="s">
        <v>430</v>
      </c>
      <c r="CA163" s="6" t="s">
        <v>430</v>
      </c>
      <c r="CB163" s="6" t="s">
        <v>430</v>
      </c>
      <c r="CC163" s="6" t="s">
        <v>430</v>
      </c>
      <c r="CD163" s="6" t="s">
        <v>430</v>
      </c>
      <c r="CE163" s="6" t="s">
        <v>430</v>
      </c>
      <c r="CF163" s="6" t="s">
        <v>430</v>
      </c>
      <c r="CG163" s="6" t="s">
        <v>430</v>
      </c>
      <c r="CH163" s="6" t="s">
        <v>430</v>
      </c>
      <c r="CI163" s="6" t="s">
        <v>430</v>
      </c>
      <c r="CJ163" s="6" t="s">
        <v>430</v>
      </c>
      <c r="CK163" s="6" t="s">
        <v>430</v>
      </c>
      <c r="CL163" s="6" t="s">
        <v>430</v>
      </c>
      <c r="CM163" s="6" t="s">
        <v>430</v>
      </c>
      <c r="CN163" s="6" t="s">
        <v>430</v>
      </c>
      <c r="CO163" s="15" t="s">
        <v>430</v>
      </c>
      <c r="CP163" s="15" t="s">
        <v>636</v>
      </c>
      <c r="CQ163" s="6" t="s">
        <v>686</v>
      </c>
      <c r="CR163" s="15"/>
      <c r="CS163" s="6" t="s">
        <v>453</v>
      </c>
      <c r="CT163" s="6"/>
      <c r="CU163" s="6"/>
      <c r="CV163" s="6"/>
      <c r="CW163" s="6"/>
      <c r="CX163" s="15" t="s">
        <v>426</v>
      </c>
      <c r="CY163" s="6" t="s">
        <v>426</v>
      </c>
      <c r="CZ163" s="6" t="s">
        <v>2825</v>
      </c>
      <c r="DA163" s="6" t="s">
        <v>662</v>
      </c>
      <c r="DB163" s="6" t="s">
        <v>1087</v>
      </c>
      <c r="DC163" s="6" t="s">
        <v>868</v>
      </c>
      <c r="DD163" s="15" t="s">
        <v>662</v>
      </c>
      <c r="DE163" s="15" t="s">
        <v>521</v>
      </c>
      <c r="DF163" s="6" t="s">
        <v>522</v>
      </c>
      <c r="DG163" s="6">
        <v>0</v>
      </c>
      <c r="DH163" s="6">
        <v>1</v>
      </c>
      <c r="DI163" s="6">
        <v>0</v>
      </c>
      <c r="DJ163" s="6">
        <v>0</v>
      </c>
      <c r="DK163" s="6">
        <v>0</v>
      </c>
      <c r="DL163" s="6">
        <v>0</v>
      </c>
      <c r="DM163" s="6"/>
      <c r="DN163" s="6"/>
      <c r="DO163" s="6"/>
      <c r="DP163" s="6"/>
      <c r="DQ163" s="6"/>
      <c r="DR163" s="6"/>
      <c r="DS163" s="6"/>
      <c r="DT163" s="66"/>
      <c r="DU163" s="6" t="s">
        <v>523</v>
      </c>
      <c r="DV163" s="6" t="s">
        <v>426</v>
      </c>
      <c r="DW163" s="6" t="s">
        <v>439</v>
      </c>
      <c r="DX163" s="6" t="s">
        <v>491</v>
      </c>
      <c r="DY163" s="6"/>
      <c r="DZ163" s="6" t="s">
        <v>991</v>
      </c>
      <c r="EA163" s="6">
        <v>1</v>
      </c>
      <c r="EB163" s="6">
        <v>1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/>
      <c r="EJ163" s="6" t="s">
        <v>2171</v>
      </c>
      <c r="EK163" s="6">
        <v>1</v>
      </c>
      <c r="EL163" s="6">
        <v>0</v>
      </c>
      <c r="EM163" s="6">
        <v>1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/>
      <c r="EU163" s="6" t="s">
        <v>494</v>
      </c>
      <c r="EV163" s="6" t="s">
        <v>444</v>
      </c>
      <c r="EW163" s="6"/>
      <c r="EX163" s="6" t="s">
        <v>1123</v>
      </c>
      <c r="EY163" s="6">
        <v>1</v>
      </c>
      <c r="EZ163" s="6">
        <v>0</v>
      </c>
      <c r="FA163" s="6">
        <v>0</v>
      </c>
      <c r="FB163" s="6">
        <v>0</v>
      </c>
      <c r="FC163" s="6">
        <v>0</v>
      </c>
      <c r="FD163" s="6">
        <v>0</v>
      </c>
      <c r="FE163" s="6">
        <v>0</v>
      </c>
      <c r="FF163" s="6">
        <v>0</v>
      </c>
      <c r="FG163" s="6"/>
      <c r="FH163" s="6" t="s">
        <v>1096</v>
      </c>
      <c r="FI163" s="6">
        <v>1</v>
      </c>
      <c r="FJ163" s="6">
        <v>0</v>
      </c>
      <c r="FK163" s="6">
        <v>0</v>
      </c>
      <c r="FL163" s="6">
        <v>1</v>
      </c>
      <c r="FM163" s="6">
        <v>1</v>
      </c>
      <c r="FN163" s="6">
        <v>0</v>
      </c>
      <c r="FO163" s="6">
        <v>0</v>
      </c>
      <c r="FP163" s="6">
        <v>0</v>
      </c>
      <c r="FQ163" s="6">
        <v>0</v>
      </c>
      <c r="FR163" s="6">
        <v>0</v>
      </c>
      <c r="FS163" s="6"/>
      <c r="FT163" s="6" t="s">
        <v>447</v>
      </c>
      <c r="FU163" s="6" t="s">
        <v>448</v>
      </c>
      <c r="FV163" s="6"/>
      <c r="FW163" s="6" t="s">
        <v>449</v>
      </c>
      <c r="FX163" s="15" t="s">
        <v>528</v>
      </c>
      <c r="FY163" s="6" t="s">
        <v>1012</v>
      </c>
      <c r="FZ163" s="6"/>
      <c r="GA163" s="6" t="s">
        <v>450</v>
      </c>
      <c r="GB163" s="6" t="s">
        <v>501</v>
      </c>
      <c r="GC163" s="6" t="s">
        <v>453</v>
      </c>
      <c r="GD163" s="6"/>
      <c r="GE163" s="6" t="s">
        <v>642</v>
      </c>
      <c r="GF163" s="6" t="s">
        <v>2826</v>
      </c>
      <c r="GG163" s="6" t="s">
        <v>592</v>
      </c>
      <c r="GH163" s="15" t="s">
        <v>1498</v>
      </c>
      <c r="GI163" s="6" t="s">
        <v>458</v>
      </c>
      <c r="GJ163" s="6" t="s">
        <v>2827</v>
      </c>
      <c r="GK163" s="6" t="s">
        <v>460</v>
      </c>
      <c r="GL163" s="6" t="s">
        <v>1100</v>
      </c>
      <c r="GM163" s="6">
        <v>1</v>
      </c>
      <c r="GN163" s="6">
        <v>1</v>
      </c>
      <c r="GO163" s="6">
        <v>0</v>
      </c>
      <c r="GP163" s="6">
        <v>0</v>
      </c>
      <c r="GQ163" s="6">
        <v>0</v>
      </c>
      <c r="GR163" s="6">
        <v>1</v>
      </c>
      <c r="GS163" s="6">
        <v>0</v>
      </c>
      <c r="GT163" s="6"/>
      <c r="GU163" s="6" t="s">
        <v>534</v>
      </c>
      <c r="GV163" s="6" t="s">
        <v>595</v>
      </c>
      <c r="GW163" s="6" t="s">
        <v>1647</v>
      </c>
      <c r="GX163" s="6">
        <v>0</v>
      </c>
      <c r="GY163" s="6">
        <v>0</v>
      </c>
      <c r="GZ163" s="6">
        <v>0</v>
      </c>
      <c r="HA163" s="6">
        <v>0</v>
      </c>
      <c r="HB163" s="6">
        <v>0</v>
      </c>
      <c r="HC163" s="6">
        <v>1</v>
      </c>
      <c r="HD163" s="6" t="s">
        <v>1500</v>
      </c>
      <c r="HE163" s="6" t="s">
        <v>2828</v>
      </c>
      <c r="HF163" s="6">
        <v>1</v>
      </c>
      <c r="HG163" s="6">
        <v>1</v>
      </c>
      <c r="HH163" s="6">
        <v>1</v>
      </c>
      <c r="HI163" s="6">
        <v>0</v>
      </c>
      <c r="HJ163" s="6">
        <v>0</v>
      </c>
      <c r="HK163" s="6">
        <v>0</v>
      </c>
      <c r="HL163" s="15"/>
      <c r="HM163" s="6" t="s">
        <v>505</v>
      </c>
      <c r="HN163" s="6"/>
      <c r="HO163" s="6" t="s">
        <v>2829</v>
      </c>
      <c r="HP163" s="6" t="s">
        <v>468</v>
      </c>
      <c r="HQ163" s="6"/>
      <c r="HR163" s="6" t="s">
        <v>2830</v>
      </c>
      <c r="HS163" s="6" t="s">
        <v>508</v>
      </c>
      <c r="HT163" s="6">
        <v>0</v>
      </c>
      <c r="HU163" s="6">
        <v>0</v>
      </c>
      <c r="HV163" s="6">
        <v>1</v>
      </c>
      <c r="HW163" s="6">
        <v>0</v>
      </c>
      <c r="HX163" s="6">
        <v>0</v>
      </c>
      <c r="HY163" s="6">
        <v>0</v>
      </c>
      <c r="HZ163" s="6"/>
      <c r="IA163" s="6" t="s">
        <v>1105</v>
      </c>
      <c r="IB163" s="6">
        <v>1</v>
      </c>
      <c r="IC163" s="6">
        <v>1</v>
      </c>
      <c r="ID163" s="6">
        <v>0</v>
      </c>
      <c r="IE163" s="6">
        <v>0</v>
      </c>
      <c r="IF163" s="6">
        <v>0</v>
      </c>
      <c r="IG163" s="6">
        <v>0</v>
      </c>
      <c r="IH163" s="15" t="s">
        <v>2831</v>
      </c>
      <c r="II163" s="6" t="s">
        <v>426</v>
      </c>
      <c r="IJ163" s="6" t="s">
        <v>472</v>
      </c>
      <c r="IK163" s="6">
        <v>1</v>
      </c>
      <c r="IL163" s="6">
        <v>0</v>
      </c>
      <c r="IM163" s="6">
        <v>0</v>
      </c>
      <c r="IN163" s="6"/>
      <c r="IO163" s="6" t="s">
        <v>473</v>
      </c>
      <c r="IP163" s="6">
        <v>1</v>
      </c>
      <c r="IQ163" s="6">
        <v>0</v>
      </c>
      <c r="IR163" s="6">
        <v>0</v>
      </c>
      <c r="IS163" s="6">
        <v>0</v>
      </c>
      <c r="IT163" s="6">
        <v>0</v>
      </c>
      <c r="IU163" s="6">
        <v>0</v>
      </c>
      <c r="IV163" s="6"/>
      <c r="IW163" s="6" t="s">
        <v>426</v>
      </c>
      <c r="IX163" s="6">
        <v>1</v>
      </c>
      <c r="IY163" s="6" t="s">
        <v>474</v>
      </c>
      <c r="IZ163" s="6" t="s">
        <v>475</v>
      </c>
      <c r="JA163" s="6" t="s">
        <v>426</v>
      </c>
      <c r="JB163" s="6" t="s">
        <v>651</v>
      </c>
      <c r="JC163" s="6"/>
      <c r="JD163" s="6"/>
      <c r="JE163" s="6"/>
      <c r="JF163" s="6"/>
      <c r="JG163" s="6"/>
      <c r="JH163" s="6"/>
      <c r="JI163" s="6"/>
      <c r="JJ163" s="6"/>
      <c r="JK163" s="6" t="s">
        <v>453</v>
      </c>
      <c r="JL163" s="6"/>
      <c r="JM163" s="6"/>
      <c r="JN163" s="6"/>
      <c r="JO163" s="6"/>
      <c r="JP163" s="6"/>
      <c r="JQ163" s="6"/>
      <c r="JR163" s="6"/>
      <c r="JS163" s="6"/>
      <c r="JT163" s="6"/>
      <c r="JU163" s="6" t="s">
        <v>477</v>
      </c>
      <c r="JV163" s="15"/>
      <c r="JW163" s="94" t="s">
        <v>2832</v>
      </c>
      <c r="JX163" s="6" t="s">
        <v>2833</v>
      </c>
      <c r="JY163" s="6">
        <v>0.8233157</v>
      </c>
      <c r="JZ163" s="6">
        <v>34.8649701</v>
      </c>
      <c r="KA163" s="6">
        <v>1739</v>
      </c>
      <c r="KB163" s="15">
        <v>4.4</v>
      </c>
      <c r="KC163" s="15"/>
    </row>
    <row r="164" spans="1:289">
      <c r="A164" s="6" t="s">
        <v>581</v>
      </c>
      <c r="B164" s="6" t="s">
        <v>2503</v>
      </c>
      <c r="C164" s="7" t="s">
        <v>2504</v>
      </c>
      <c r="D164" s="6" t="s">
        <v>2599</v>
      </c>
      <c r="E164" s="6" t="s">
        <v>2834</v>
      </c>
      <c r="F164" s="8" t="s">
        <v>483</v>
      </c>
      <c r="G164" s="6" t="s">
        <v>731</v>
      </c>
      <c r="H164" s="6" t="s">
        <v>425</v>
      </c>
      <c r="I164" s="15"/>
      <c r="J164" s="6" t="s">
        <v>426</v>
      </c>
      <c r="K164" s="6" t="s">
        <v>426</v>
      </c>
      <c r="L164" s="6" t="s">
        <v>426</v>
      </c>
      <c r="M164" s="6" t="s">
        <v>426</v>
      </c>
      <c r="N164" s="6" t="s">
        <v>426</v>
      </c>
      <c r="O164" s="6" t="s">
        <v>426</v>
      </c>
      <c r="P164" s="6" t="s">
        <v>426</v>
      </c>
      <c r="Q164" s="6" t="s">
        <v>426</v>
      </c>
      <c r="R164" s="6" t="s">
        <v>426</v>
      </c>
      <c r="S164" s="6" t="s">
        <v>426</v>
      </c>
      <c r="T164" s="6" t="s">
        <v>426</v>
      </c>
      <c r="U164" s="6" t="s">
        <v>426</v>
      </c>
      <c r="V164" s="6" t="s">
        <v>426</v>
      </c>
      <c r="W164" s="6" t="s">
        <v>426</v>
      </c>
      <c r="X164" s="6" t="s">
        <v>426</v>
      </c>
      <c r="Y164" s="6" t="s">
        <v>426</v>
      </c>
      <c r="Z164" s="6" t="s">
        <v>426</v>
      </c>
      <c r="AA164" s="6" t="s">
        <v>426</v>
      </c>
      <c r="AB164" s="6" t="s">
        <v>426</v>
      </c>
      <c r="AC164" s="15" t="s">
        <v>426</v>
      </c>
      <c r="AD164" s="6" t="s">
        <v>427</v>
      </c>
      <c r="AE164" s="6">
        <v>0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0</v>
      </c>
      <c r="AL164" s="6">
        <v>0</v>
      </c>
      <c r="AM164" s="6"/>
      <c r="AN164" s="15"/>
      <c r="AO164" s="6" t="s">
        <v>426</v>
      </c>
      <c r="AP164" s="6" t="s">
        <v>2835</v>
      </c>
      <c r="AQ164" s="6" t="s">
        <v>426</v>
      </c>
      <c r="AR164" s="6" t="s">
        <v>683</v>
      </c>
      <c r="AS164" s="6" t="s">
        <v>426</v>
      </c>
      <c r="AT164" s="6">
        <v>0.3</v>
      </c>
      <c r="AU164" s="6" t="s">
        <v>426</v>
      </c>
      <c r="AV164" s="6">
        <v>0.3</v>
      </c>
      <c r="AW164" s="6" t="s">
        <v>426</v>
      </c>
      <c r="AX164" s="6">
        <v>0.3</v>
      </c>
      <c r="AY164" s="6" t="s">
        <v>426</v>
      </c>
      <c r="AZ164" s="6">
        <v>1</v>
      </c>
      <c r="BA164" s="6" t="s">
        <v>426</v>
      </c>
      <c r="BB164" s="6">
        <v>0.2</v>
      </c>
      <c r="BC164" s="6" t="s">
        <v>426</v>
      </c>
      <c r="BD164" s="6">
        <v>0.3</v>
      </c>
      <c r="BE164" s="6" t="s">
        <v>426</v>
      </c>
      <c r="BF164" s="6">
        <v>12</v>
      </c>
      <c r="BG164" s="6" t="s">
        <v>426</v>
      </c>
      <c r="BH164" s="6">
        <v>0.3</v>
      </c>
      <c r="BI164" s="6" t="s">
        <v>426</v>
      </c>
      <c r="BJ164" s="6">
        <v>0.3</v>
      </c>
      <c r="BK164" s="6" t="s">
        <v>426</v>
      </c>
      <c r="BL164" s="6">
        <v>0.3</v>
      </c>
      <c r="BM164" s="6" t="s">
        <v>426</v>
      </c>
      <c r="BN164" s="6">
        <v>30</v>
      </c>
      <c r="BO164" s="6" t="s">
        <v>426</v>
      </c>
      <c r="BP164" s="6">
        <v>0.2</v>
      </c>
      <c r="BQ164" s="6" t="s">
        <v>426</v>
      </c>
      <c r="BR164" s="6">
        <v>120</v>
      </c>
      <c r="BS164" s="6" t="s">
        <v>426</v>
      </c>
      <c r="BT164" s="6">
        <v>20</v>
      </c>
      <c r="BU164" s="6" t="s">
        <v>426</v>
      </c>
      <c r="BV164" s="15">
        <v>0.3</v>
      </c>
      <c r="BW164" s="15" t="s">
        <v>518</v>
      </c>
      <c r="BX164" s="15" t="s">
        <v>429</v>
      </c>
      <c r="BY164" s="6" t="s">
        <v>430</v>
      </c>
      <c r="BZ164" s="6" t="s">
        <v>430</v>
      </c>
      <c r="CA164" s="6" t="s">
        <v>430</v>
      </c>
      <c r="CB164" s="6" t="s">
        <v>430</v>
      </c>
      <c r="CC164" s="6" t="s">
        <v>430</v>
      </c>
      <c r="CD164" s="6" t="s">
        <v>430</v>
      </c>
      <c r="CE164" s="6" t="s">
        <v>430</v>
      </c>
      <c r="CF164" s="6" t="s">
        <v>430</v>
      </c>
      <c r="CG164" s="6" t="s">
        <v>430</v>
      </c>
      <c r="CH164" s="6" t="s">
        <v>430</v>
      </c>
      <c r="CI164" s="6" t="s">
        <v>430</v>
      </c>
      <c r="CJ164" s="6" t="s">
        <v>430</v>
      </c>
      <c r="CK164" s="6" t="s">
        <v>430</v>
      </c>
      <c r="CL164" s="6" t="s">
        <v>430</v>
      </c>
      <c r="CM164" s="6" t="s">
        <v>430</v>
      </c>
      <c r="CN164" s="6" t="s">
        <v>430</v>
      </c>
      <c r="CO164" s="15" t="s">
        <v>430</v>
      </c>
      <c r="CP164" s="15" t="s">
        <v>432</v>
      </c>
      <c r="CQ164" s="6" t="s">
        <v>433</v>
      </c>
      <c r="CR164" s="15"/>
      <c r="CS164" s="6" t="s">
        <v>426</v>
      </c>
      <c r="CT164" s="6" t="s">
        <v>2836</v>
      </c>
      <c r="CU164" s="6" t="s">
        <v>987</v>
      </c>
      <c r="CV164" s="6" t="s">
        <v>1518</v>
      </c>
      <c r="CW164" s="6" t="s">
        <v>2837</v>
      </c>
      <c r="CX164" s="15" t="s">
        <v>426</v>
      </c>
      <c r="CY164" s="6" t="s">
        <v>453</v>
      </c>
      <c r="CZ164" s="6"/>
      <c r="DA164" s="6"/>
      <c r="DB164" s="6"/>
      <c r="DC164" s="6"/>
      <c r="DD164" s="15"/>
      <c r="DE164" s="15" t="s">
        <v>436</v>
      </c>
      <c r="DF164" s="6" t="s">
        <v>1171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1</v>
      </c>
      <c r="DM164" s="6" t="s">
        <v>2838</v>
      </c>
      <c r="DN164" s="6"/>
      <c r="DO164" s="6"/>
      <c r="DP164" s="6"/>
      <c r="DQ164" s="6"/>
      <c r="DR164" s="6"/>
      <c r="DS164" s="6"/>
      <c r="DT164" s="66"/>
      <c r="DU164" s="6" t="s">
        <v>438</v>
      </c>
      <c r="DV164" s="6" t="s">
        <v>426</v>
      </c>
      <c r="DW164" s="6" t="s">
        <v>490</v>
      </c>
      <c r="DX164" s="6" t="s">
        <v>440</v>
      </c>
      <c r="DY164" s="6"/>
      <c r="DZ164" s="6" t="s">
        <v>586</v>
      </c>
      <c r="EA164" s="6">
        <v>1</v>
      </c>
      <c r="EB164" s="6">
        <v>1</v>
      </c>
      <c r="EC164" s="6">
        <v>1</v>
      </c>
      <c r="ED164" s="6">
        <v>1</v>
      </c>
      <c r="EE164" s="6">
        <v>1</v>
      </c>
      <c r="EF164" s="6">
        <v>1</v>
      </c>
      <c r="EG164" s="6">
        <v>0</v>
      </c>
      <c r="EH164" s="6">
        <v>0</v>
      </c>
      <c r="EI164" s="6"/>
      <c r="EJ164" s="6" t="s">
        <v>2839</v>
      </c>
      <c r="EK164" s="6">
        <v>1</v>
      </c>
      <c r="EL164" s="6">
        <v>1</v>
      </c>
      <c r="EM164" s="6">
        <v>1</v>
      </c>
      <c r="EN164" s="6">
        <v>1</v>
      </c>
      <c r="EO164" s="6">
        <v>0</v>
      </c>
      <c r="EP164" s="6">
        <v>0</v>
      </c>
      <c r="EQ164" s="6">
        <v>0</v>
      </c>
      <c r="ER164" s="6">
        <v>0</v>
      </c>
      <c r="ES164" s="6">
        <v>0</v>
      </c>
      <c r="ET164" s="6"/>
      <c r="EU164" s="6" t="s">
        <v>443</v>
      </c>
      <c r="EV164" s="6" t="s">
        <v>588</v>
      </c>
      <c r="EW164" s="6"/>
      <c r="EX164" s="6" t="s">
        <v>1051</v>
      </c>
      <c r="EY164" s="6">
        <v>1</v>
      </c>
      <c r="EZ164" s="6">
        <v>1</v>
      </c>
      <c r="FA164" s="6">
        <v>1</v>
      </c>
      <c r="FB164" s="6">
        <v>1</v>
      </c>
      <c r="FC164" s="6">
        <v>1</v>
      </c>
      <c r="FD164" s="6">
        <v>0</v>
      </c>
      <c r="FE164" s="6">
        <v>0</v>
      </c>
      <c r="FF164" s="6">
        <v>0</v>
      </c>
      <c r="FG164" s="6"/>
      <c r="FH164" s="6" t="s">
        <v>2840</v>
      </c>
      <c r="FI164" s="6">
        <v>1</v>
      </c>
      <c r="FJ164" s="6">
        <v>0</v>
      </c>
      <c r="FK164" s="6">
        <v>1</v>
      </c>
      <c r="FL164" s="6">
        <v>1</v>
      </c>
      <c r="FM164" s="6">
        <v>1</v>
      </c>
      <c r="FN164" s="6">
        <v>1</v>
      </c>
      <c r="FO164" s="6">
        <v>0</v>
      </c>
      <c r="FP164" s="6">
        <v>0</v>
      </c>
      <c r="FQ164" s="6">
        <v>1</v>
      </c>
      <c r="FR164" s="6">
        <v>0</v>
      </c>
      <c r="FS164" s="6"/>
      <c r="FT164" s="6" t="s">
        <v>556</v>
      </c>
      <c r="FU164" s="6" t="s">
        <v>448</v>
      </c>
      <c r="FV164" s="6"/>
      <c r="FW164" s="6" t="s">
        <v>449</v>
      </c>
      <c r="FX164" s="15" t="s">
        <v>450</v>
      </c>
      <c r="FY164" s="6" t="s">
        <v>451</v>
      </c>
      <c r="FZ164" s="6"/>
      <c r="GA164" s="6" t="s">
        <v>450</v>
      </c>
      <c r="GB164" s="6" t="s">
        <v>501</v>
      </c>
      <c r="GC164" s="6" t="s">
        <v>453</v>
      </c>
      <c r="GD164" s="6"/>
      <c r="GE164" s="6" t="s">
        <v>454</v>
      </c>
      <c r="GF164" s="6" t="s">
        <v>2841</v>
      </c>
      <c r="GG164" s="6" t="s">
        <v>456</v>
      </c>
      <c r="GH164" s="15" t="s">
        <v>1176</v>
      </c>
      <c r="GI164" s="6" t="s">
        <v>458</v>
      </c>
      <c r="GJ164" s="6" t="s">
        <v>2842</v>
      </c>
      <c r="GK164" s="6" t="s">
        <v>460</v>
      </c>
      <c r="GL164" s="6" t="s">
        <v>461</v>
      </c>
      <c r="GM164" s="6">
        <v>0</v>
      </c>
      <c r="GN164" s="6">
        <v>0</v>
      </c>
      <c r="GO164" s="6">
        <v>0</v>
      </c>
      <c r="GP164" s="6">
        <v>0</v>
      </c>
      <c r="GQ164" s="6">
        <v>0</v>
      </c>
      <c r="GR164" s="6">
        <v>1</v>
      </c>
      <c r="GS164" s="6">
        <v>0</v>
      </c>
      <c r="GT164" s="6"/>
      <c r="GU164" s="6" t="s">
        <v>534</v>
      </c>
      <c r="GV164" s="6" t="s">
        <v>595</v>
      </c>
      <c r="GW164" s="6" t="s">
        <v>464</v>
      </c>
      <c r="GX164" s="6">
        <v>1</v>
      </c>
      <c r="GY164" s="6">
        <v>0</v>
      </c>
      <c r="GZ164" s="6">
        <v>0</v>
      </c>
      <c r="HA164" s="6">
        <v>0</v>
      </c>
      <c r="HB164" s="6">
        <v>0</v>
      </c>
      <c r="HC164" s="6">
        <v>0</v>
      </c>
      <c r="HD164" s="6"/>
      <c r="HE164" s="6" t="s">
        <v>596</v>
      </c>
      <c r="HF164" s="6">
        <v>1</v>
      </c>
      <c r="HG164" s="6">
        <v>1</v>
      </c>
      <c r="HH164" s="6">
        <v>1</v>
      </c>
      <c r="HI164" s="6">
        <v>1</v>
      </c>
      <c r="HJ164" s="6">
        <v>0</v>
      </c>
      <c r="HK164" s="6">
        <v>0</v>
      </c>
      <c r="HL164" s="15"/>
      <c r="HM164" s="6" t="s">
        <v>505</v>
      </c>
      <c r="HN164" s="6"/>
      <c r="HO164" s="6" t="s">
        <v>2843</v>
      </c>
      <c r="HP164" s="6" t="s">
        <v>537</v>
      </c>
      <c r="HQ164" s="6" t="s">
        <v>1283</v>
      </c>
      <c r="HR164" s="6" t="s">
        <v>2844</v>
      </c>
      <c r="HS164" s="6" t="s">
        <v>2845</v>
      </c>
      <c r="HT164" s="6">
        <v>1</v>
      </c>
      <c r="HU164" s="6">
        <v>0</v>
      </c>
      <c r="HV164" s="6">
        <v>1</v>
      </c>
      <c r="HW164" s="6">
        <v>0</v>
      </c>
      <c r="HX164" s="6">
        <v>1</v>
      </c>
      <c r="HY164" s="6">
        <v>1</v>
      </c>
      <c r="HZ164" s="6"/>
      <c r="IA164" s="6" t="s">
        <v>1284</v>
      </c>
      <c r="IB164" s="6">
        <v>1</v>
      </c>
      <c r="IC164" s="6">
        <v>1</v>
      </c>
      <c r="ID164" s="6">
        <v>1</v>
      </c>
      <c r="IE164" s="6">
        <v>1</v>
      </c>
      <c r="IF164" s="6">
        <v>0</v>
      </c>
      <c r="IG164" s="6">
        <v>0</v>
      </c>
      <c r="IH164" s="15" t="s">
        <v>2846</v>
      </c>
      <c r="II164" s="6" t="s">
        <v>426</v>
      </c>
      <c r="IJ164" s="6" t="s">
        <v>602</v>
      </c>
      <c r="IK164" s="6">
        <v>1</v>
      </c>
      <c r="IL164" s="6">
        <v>1</v>
      </c>
      <c r="IM164" s="6">
        <v>0</v>
      </c>
      <c r="IN164" s="6"/>
      <c r="IO164" s="6" t="s">
        <v>473</v>
      </c>
      <c r="IP164" s="6">
        <v>1</v>
      </c>
      <c r="IQ164" s="6">
        <v>0</v>
      </c>
      <c r="IR164" s="6">
        <v>0</v>
      </c>
      <c r="IS164" s="6">
        <v>0</v>
      </c>
      <c r="IT164" s="6">
        <v>0</v>
      </c>
      <c r="IU164" s="6">
        <v>0</v>
      </c>
      <c r="IV164" s="6"/>
      <c r="IW164" s="6" t="s">
        <v>426</v>
      </c>
      <c r="IX164" s="6">
        <v>1</v>
      </c>
      <c r="IY164" s="6" t="s">
        <v>474</v>
      </c>
      <c r="IZ164" s="6" t="s">
        <v>475</v>
      </c>
      <c r="JA164" s="6" t="s">
        <v>426</v>
      </c>
      <c r="JB164" s="6" t="s">
        <v>476</v>
      </c>
      <c r="JC164" s="6"/>
      <c r="JD164" s="6"/>
      <c r="JE164" s="6"/>
      <c r="JF164" s="6"/>
      <c r="JG164" s="6"/>
      <c r="JH164" s="6"/>
      <c r="JI164" s="6"/>
      <c r="JJ164" s="6"/>
      <c r="JK164" s="6" t="s">
        <v>426</v>
      </c>
      <c r="JL164" s="6" t="s">
        <v>426</v>
      </c>
      <c r="JM164" s="6"/>
      <c r="JN164" s="6"/>
      <c r="JO164" s="6"/>
      <c r="JP164" s="6"/>
      <c r="JQ164" s="6"/>
      <c r="JR164" s="6"/>
      <c r="JS164" s="6"/>
      <c r="JT164" s="6"/>
      <c r="JU164" s="6" t="s">
        <v>895</v>
      </c>
      <c r="JV164" s="15" t="s">
        <v>2847</v>
      </c>
      <c r="JW164" s="94" t="s">
        <v>2848</v>
      </c>
      <c r="JX164" s="6" t="s">
        <v>2849</v>
      </c>
      <c r="JY164" s="6">
        <v>0.8317683</v>
      </c>
      <c r="JZ164" s="6">
        <v>34.8653517</v>
      </c>
      <c r="KA164" s="6">
        <v>1755.5</v>
      </c>
      <c r="KB164" s="15">
        <v>4.98</v>
      </c>
      <c r="KC164" s="15"/>
    </row>
    <row r="165" spans="1:289">
      <c r="A165" s="6" t="s">
        <v>547</v>
      </c>
      <c r="B165" s="6" t="s">
        <v>2503</v>
      </c>
      <c r="C165" s="7" t="s">
        <v>2504</v>
      </c>
      <c r="D165" s="6" t="s">
        <v>2167</v>
      </c>
      <c r="E165" s="6" t="s">
        <v>2383</v>
      </c>
      <c r="F165" s="8" t="s">
        <v>423</v>
      </c>
      <c r="G165" s="6" t="s">
        <v>567</v>
      </c>
      <c r="H165" s="6" t="s">
        <v>425</v>
      </c>
      <c r="I165" s="15"/>
      <c r="J165" s="6" t="s">
        <v>453</v>
      </c>
      <c r="K165" s="6" t="s">
        <v>453</v>
      </c>
      <c r="L165" s="6" t="s">
        <v>426</v>
      </c>
      <c r="M165" s="6" t="s">
        <v>426</v>
      </c>
      <c r="N165" s="6" t="s">
        <v>426</v>
      </c>
      <c r="O165" s="6" t="s">
        <v>426</v>
      </c>
      <c r="P165" s="6" t="s">
        <v>426</v>
      </c>
      <c r="Q165" s="6" t="s">
        <v>426</v>
      </c>
      <c r="R165" s="6" t="s">
        <v>426</v>
      </c>
      <c r="S165" s="6" t="s">
        <v>426</v>
      </c>
      <c r="T165" s="6" t="s">
        <v>426</v>
      </c>
      <c r="U165" s="6" t="s">
        <v>426</v>
      </c>
      <c r="V165" s="6" t="s">
        <v>426</v>
      </c>
      <c r="W165" s="6" t="s">
        <v>426</v>
      </c>
      <c r="X165" s="6" t="s">
        <v>426</v>
      </c>
      <c r="Y165" s="6" t="s">
        <v>426</v>
      </c>
      <c r="Z165" s="6" t="s">
        <v>426</v>
      </c>
      <c r="AA165" s="6" t="s">
        <v>426</v>
      </c>
      <c r="AB165" s="6" t="s">
        <v>426</v>
      </c>
      <c r="AC165" s="15" t="s">
        <v>426</v>
      </c>
      <c r="AD165" s="6" t="s">
        <v>427</v>
      </c>
      <c r="AE165" s="6">
        <v>0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/>
      <c r="AN165" s="15"/>
      <c r="AO165" s="6" t="s">
        <v>426</v>
      </c>
      <c r="AP165" s="6" t="s">
        <v>823</v>
      </c>
      <c r="AQ165" s="6" t="s">
        <v>453</v>
      </c>
      <c r="AR165" s="6"/>
      <c r="AS165" s="6" t="s">
        <v>426</v>
      </c>
      <c r="AT165" s="6">
        <v>0.2</v>
      </c>
      <c r="AU165" s="6" t="s">
        <v>453</v>
      </c>
      <c r="AV165" s="6"/>
      <c r="AW165" s="6" t="s">
        <v>426</v>
      </c>
      <c r="AX165" s="6">
        <v>0.8</v>
      </c>
      <c r="AY165" s="6" t="s">
        <v>426</v>
      </c>
      <c r="AZ165" s="6">
        <v>1</v>
      </c>
      <c r="BA165" s="6" t="s">
        <v>426</v>
      </c>
      <c r="BB165" s="6">
        <v>0.4</v>
      </c>
      <c r="BC165" s="6" t="s">
        <v>426</v>
      </c>
      <c r="BD165" s="6">
        <v>0.2</v>
      </c>
      <c r="BE165" s="6" t="s">
        <v>426</v>
      </c>
      <c r="BF165" s="6">
        <v>6</v>
      </c>
      <c r="BG165" s="6" t="s">
        <v>426</v>
      </c>
      <c r="BH165" s="6">
        <v>0.4</v>
      </c>
      <c r="BI165" s="6" t="s">
        <v>426</v>
      </c>
      <c r="BJ165" s="6">
        <v>0.4</v>
      </c>
      <c r="BK165" s="6" t="s">
        <v>426</v>
      </c>
      <c r="BL165" s="6">
        <v>0.8</v>
      </c>
      <c r="BM165" s="6" t="s">
        <v>426</v>
      </c>
      <c r="BN165" s="6">
        <v>10</v>
      </c>
      <c r="BO165" s="6" t="s">
        <v>426</v>
      </c>
      <c r="BP165" s="6">
        <v>0.4</v>
      </c>
      <c r="BQ165" s="6" t="s">
        <v>426</v>
      </c>
      <c r="BR165" s="6">
        <v>10</v>
      </c>
      <c r="BS165" s="6" t="s">
        <v>453</v>
      </c>
      <c r="BT165" s="6"/>
      <c r="BU165" s="6" t="s">
        <v>426</v>
      </c>
      <c r="BV165" s="15">
        <v>0.8</v>
      </c>
      <c r="BW165" s="15" t="s">
        <v>953</v>
      </c>
      <c r="BX165" s="15" t="s">
        <v>429</v>
      </c>
      <c r="BY165" s="6" t="s">
        <v>430</v>
      </c>
      <c r="BZ165" s="6" t="s">
        <v>487</v>
      </c>
      <c r="CA165" s="6" t="s">
        <v>430</v>
      </c>
      <c r="CB165" s="6" t="s">
        <v>487</v>
      </c>
      <c r="CC165" s="6" t="s">
        <v>430</v>
      </c>
      <c r="CD165" s="6" t="s">
        <v>430</v>
      </c>
      <c r="CE165" s="6" t="s">
        <v>430</v>
      </c>
      <c r="CF165" s="6" t="s">
        <v>430</v>
      </c>
      <c r="CG165" s="6" t="s">
        <v>430</v>
      </c>
      <c r="CH165" s="6" t="s">
        <v>430</v>
      </c>
      <c r="CI165" s="6" t="s">
        <v>430</v>
      </c>
      <c r="CJ165" s="6" t="s">
        <v>430</v>
      </c>
      <c r="CK165" s="6" t="s">
        <v>430</v>
      </c>
      <c r="CL165" s="6" t="s">
        <v>430</v>
      </c>
      <c r="CM165" s="6" t="s">
        <v>430</v>
      </c>
      <c r="CN165" s="6" t="s">
        <v>487</v>
      </c>
      <c r="CO165" s="15" t="s">
        <v>430</v>
      </c>
      <c r="CP165" s="15" t="s">
        <v>432</v>
      </c>
      <c r="CQ165" s="6" t="s">
        <v>433</v>
      </c>
      <c r="CR165" s="15"/>
      <c r="CS165" s="6" t="s">
        <v>426</v>
      </c>
      <c r="CT165" s="6" t="s">
        <v>2850</v>
      </c>
      <c r="CU165" s="6" t="s">
        <v>1087</v>
      </c>
      <c r="CV165" s="6" t="s">
        <v>1088</v>
      </c>
      <c r="CW165" s="6" t="s">
        <v>1088</v>
      </c>
      <c r="CX165" s="15" t="s">
        <v>426</v>
      </c>
      <c r="CY165" s="6" t="s">
        <v>426</v>
      </c>
      <c r="CZ165" s="6" t="s">
        <v>1439</v>
      </c>
      <c r="DA165" s="6" t="s">
        <v>1088</v>
      </c>
      <c r="DB165" s="6" t="s">
        <v>1087</v>
      </c>
      <c r="DC165" s="6" t="s">
        <v>1088</v>
      </c>
      <c r="DD165" s="15" t="s">
        <v>1088</v>
      </c>
      <c r="DE165" s="15" t="s">
        <v>436</v>
      </c>
      <c r="DF165" s="6" t="s">
        <v>522</v>
      </c>
      <c r="DG165" s="6">
        <v>0</v>
      </c>
      <c r="DH165" s="6">
        <v>1</v>
      </c>
      <c r="DI165" s="6">
        <v>0</v>
      </c>
      <c r="DJ165" s="6">
        <v>0</v>
      </c>
      <c r="DK165" s="6">
        <v>0</v>
      </c>
      <c r="DL165" s="6">
        <v>0</v>
      </c>
      <c r="DM165" s="6"/>
      <c r="DN165" s="6"/>
      <c r="DO165" s="6"/>
      <c r="DP165" s="6"/>
      <c r="DQ165" s="6"/>
      <c r="DR165" s="6"/>
      <c r="DS165" s="6"/>
      <c r="DT165" s="66"/>
      <c r="DU165" s="6" t="s">
        <v>438</v>
      </c>
      <c r="DV165" s="6" t="s">
        <v>426</v>
      </c>
      <c r="DW165" s="6" t="s">
        <v>490</v>
      </c>
      <c r="DX165" s="6" t="s">
        <v>440</v>
      </c>
      <c r="DY165" s="6"/>
      <c r="DZ165" s="6" t="s">
        <v>441</v>
      </c>
      <c r="EA165" s="6">
        <v>1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/>
      <c r="EJ165" s="6" t="s">
        <v>811</v>
      </c>
      <c r="EK165" s="6">
        <v>1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/>
      <c r="EU165" s="6" t="s">
        <v>443</v>
      </c>
      <c r="EV165" s="6" t="s">
        <v>495</v>
      </c>
      <c r="EW165" s="6"/>
      <c r="EX165" s="6" t="s">
        <v>1123</v>
      </c>
      <c r="EY165" s="6">
        <v>1</v>
      </c>
      <c r="EZ165" s="6">
        <v>0</v>
      </c>
      <c r="FA165" s="6">
        <v>0</v>
      </c>
      <c r="FB165" s="6">
        <v>0</v>
      </c>
      <c r="FC165" s="6">
        <v>0</v>
      </c>
      <c r="FD165" s="6">
        <v>0</v>
      </c>
      <c r="FE165" s="6">
        <v>0</v>
      </c>
      <c r="FF165" s="6">
        <v>0</v>
      </c>
      <c r="FG165" s="6"/>
      <c r="FH165" s="6" t="s">
        <v>537</v>
      </c>
      <c r="FI165" s="6">
        <v>0</v>
      </c>
      <c r="FJ165" s="6">
        <v>0</v>
      </c>
      <c r="FK165" s="6">
        <v>0</v>
      </c>
      <c r="FL165" s="6">
        <v>0</v>
      </c>
      <c r="FM165" s="6">
        <v>0</v>
      </c>
      <c r="FN165" s="6">
        <v>0</v>
      </c>
      <c r="FO165" s="6">
        <v>0</v>
      </c>
      <c r="FP165" s="6">
        <v>0</v>
      </c>
      <c r="FQ165" s="6">
        <v>0</v>
      </c>
      <c r="FR165" s="6">
        <v>1</v>
      </c>
      <c r="FS165" s="6" t="s">
        <v>538</v>
      </c>
      <c r="FT165" s="6" t="s">
        <v>556</v>
      </c>
      <c r="FU165" s="6" t="s">
        <v>499</v>
      </c>
      <c r="FV165" s="6"/>
      <c r="FW165" s="6" t="s">
        <v>449</v>
      </c>
      <c r="FX165" s="15" t="s">
        <v>450</v>
      </c>
      <c r="FY165" s="6" t="s">
        <v>537</v>
      </c>
      <c r="FZ165" s="6" t="s">
        <v>1509</v>
      </c>
      <c r="GA165" s="6" t="s">
        <v>450</v>
      </c>
      <c r="GB165" s="6" t="s">
        <v>501</v>
      </c>
      <c r="GC165" s="6" t="s">
        <v>453</v>
      </c>
      <c r="GD165" s="6"/>
      <c r="GE165" s="6" t="s">
        <v>453</v>
      </c>
      <c r="GF165" s="6"/>
      <c r="GG165" s="6" t="s">
        <v>456</v>
      </c>
      <c r="GH165" s="15" t="s">
        <v>2851</v>
      </c>
      <c r="GI165" s="6" t="s">
        <v>458</v>
      </c>
      <c r="GJ165" s="6" t="s">
        <v>2852</v>
      </c>
      <c r="GK165" s="6" t="s">
        <v>460</v>
      </c>
      <c r="GL165" s="6" t="s">
        <v>461</v>
      </c>
      <c r="GM165" s="6">
        <v>0</v>
      </c>
      <c r="GN165" s="6">
        <v>0</v>
      </c>
      <c r="GO165" s="6">
        <v>0</v>
      </c>
      <c r="GP165" s="6">
        <v>0</v>
      </c>
      <c r="GQ165" s="6">
        <v>0</v>
      </c>
      <c r="GR165" s="6">
        <v>1</v>
      </c>
      <c r="GS165" s="6">
        <v>0</v>
      </c>
      <c r="GT165" s="6"/>
      <c r="GU165" s="6" t="s">
        <v>534</v>
      </c>
      <c r="GV165" s="6" t="s">
        <v>595</v>
      </c>
      <c r="GW165" s="6" t="s">
        <v>464</v>
      </c>
      <c r="GX165" s="6">
        <v>1</v>
      </c>
      <c r="GY165" s="6">
        <v>0</v>
      </c>
      <c r="GZ165" s="6">
        <v>0</v>
      </c>
      <c r="HA165" s="6">
        <v>0</v>
      </c>
      <c r="HB165" s="6">
        <v>0</v>
      </c>
      <c r="HC165" s="6">
        <v>0</v>
      </c>
      <c r="HD165" s="6"/>
      <c r="HE165" s="6" t="s">
        <v>465</v>
      </c>
      <c r="HF165" s="6">
        <v>0</v>
      </c>
      <c r="HG165" s="6">
        <v>1</v>
      </c>
      <c r="HH165" s="6">
        <v>0</v>
      </c>
      <c r="HI165" s="6">
        <v>0</v>
      </c>
      <c r="HJ165" s="6">
        <v>0</v>
      </c>
      <c r="HK165" s="6">
        <v>0</v>
      </c>
      <c r="HL165" s="15"/>
      <c r="HM165" s="6" t="s">
        <v>537</v>
      </c>
      <c r="HN165" s="6" t="s">
        <v>2853</v>
      </c>
      <c r="HO165" s="6" t="s">
        <v>2854</v>
      </c>
      <c r="HP165" s="6" t="s">
        <v>537</v>
      </c>
      <c r="HQ165" s="6" t="s">
        <v>2855</v>
      </c>
      <c r="HR165" s="6" t="s">
        <v>2856</v>
      </c>
      <c r="HS165" s="6" t="s">
        <v>537</v>
      </c>
      <c r="HT165" s="6">
        <v>0</v>
      </c>
      <c r="HU165" s="6">
        <v>1</v>
      </c>
      <c r="HV165" s="6">
        <v>0</v>
      </c>
      <c r="HW165" s="6">
        <v>0</v>
      </c>
      <c r="HX165" s="6">
        <v>0</v>
      </c>
      <c r="HY165" s="6">
        <v>0</v>
      </c>
      <c r="HZ165" s="6" t="s">
        <v>2857</v>
      </c>
      <c r="IA165" s="6" t="s">
        <v>112</v>
      </c>
      <c r="IB165" s="6">
        <v>0</v>
      </c>
      <c r="IC165" s="6">
        <v>1</v>
      </c>
      <c r="ID165" s="6">
        <v>0</v>
      </c>
      <c r="IE165" s="6">
        <v>0</v>
      </c>
      <c r="IF165" s="6">
        <v>0</v>
      </c>
      <c r="IG165" s="6">
        <v>0</v>
      </c>
      <c r="IH165" s="15" t="s">
        <v>2858</v>
      </c>
      <c r="II165" s="6" t="s">
        <v>426</v>
      </c>
      <c r="IJ165" s="6" t="s">
        <v>472</v>
      </c>
      <c r="IK165" s="6">
        <v>1</v>
      </c>
      <c r="IL165" s="6">
        <v>0</v>
      </c>
      <c r="IM165" s="6">
        <v>0</v>
      </c>
      <c r="IN165" s="6"/>
      <c r="IO165" s="6" t="s">
        <v>473</v>
      </c>
      <c r="IP165" s="6">
        <v>1</v>
      </c>
      <c r="IQ165" s="6">
        <v>0</v>
      </c>
      <c r="IR165" s="6">
        <v>0</v>
      </c>
      <c r="IS165" s="6">
        <v>0</v>
      </c>
      <c r="IT165" s="6">
        <v>0</v>
      </c>
      <c r="IU165" s="6">
        <v>0</v>
      </c>
      <c r="IV165" s="6"/>
      <c r="IW165" s="6" t="s">
        <v>426</v>
      </c>
      <c r="IX165" s="6">
        <v>1</v>
      </c>
      <c r="IY165" s="6" t="s">
        <v>474</v>
      </c>
      <c r="IZ165" s="6" t="s">
        <v>475</v>
      </c>
      <c r="JA165" s="6" t="s">
        <v>426</v>
      </c>
      <c r="JB165" s="6" t="s">
        <v>476</v>
      </c>
      <c r="JC165" s="6"/>
      <c r="JD165" s="6"/>
      <c r="JE165" s="6"/>
      <c r="JF165" s="6"/>
      <c r="JG165" s="6"/>
      <c r="JH165" s="6"/>
      <c r="JI165" s="6"/>
      <c r="JJ165" s="6"/>
      <c r="JK165" s="6" t="s">
        <v>453</v>
      </c>
      <c r="JL165" s="6"/>
      <c r="JM165" s="6"/>
      <c r="JN165" s="6"/>
      <c r="JO165" s="6"/>
      <c r="JP165" s="6"/>
      <c r="JQ165" s="6"/>
      <c r="JR165" s="6"/>
      <c r="JS165" s="6"/>
      <c r="JT165" s="6"/>
      <c r="JU165" s="6" t="s">
        <v>477</v>
      </c>
      <c r="JV165" s="15"/>
      <c r="JW165" s="94" t="s">
        <v>2859</v>
      </c>
      <c r="JX165" s="6" t="s">
        <v>2860</v>
      </c>
      <c r="JY165" s="6">
        <v>0.8231665</v>
      </c>
      <c r="JZ165" s="6">
        <v>34.8648855</v>
      </c>
      <c r="KA165" s="6">
        <v>1742.9</v>
      </c>
      <c r="KB165" s="15">
        <v>4.733</v>
      </c>
      <c r="KC165" s="15"/>
    </row>
    <row r="166" spans="1:289">
      <c r="A166" s="6" t="s">
        <v>480</v>
      </c>
      <c r="B166" s="6" t="s">
        <v>2503</v>
      </c>
      <c r="C166" s="7" t="s">
        <v>2504</v>
      </c>
      <c r="D166" s="6" t="s">
        <v>2706</v>
      </c>
      <c r="E166" s="6" t="s">
        <v>2861</v>
      </c>
      <c r="F166" s="8" t="s">
        <v>483</v>
      </c>
      <c r="G166" s="6" t="s">
        <v>567</v>
      </c>
      <c r="H166" s="6" t="s">
        <v>425</v>
      </c>
      <c r="I166" s="15"/>
      <c r="J166" s="6" t="s">
        <v>426</v>
      </c>
      <c r="K166" s="6" t="s">
        <v>426</v>
      </c>
      <c r="L166" s="6" t="s">
        <v>426</v>
      </c>
      <c r="M166" s="6" t="s">
        <v>426</v>
      </c>
      <c r="N166" s="6" t="s">
        <v>426</v>
      </c>
      <c r="O166" s="6" t="s">
        <v>426</v>
      </c>
      <c r="P166" s="6" t="s">
        <v>426</v>
      </c>
      <c r="Q166" s="6" t="s">
        <v>426</v>
      </c>
      <c r="R166" s="6" t="s">
        <v>426</v>
      </c>
      <c r="S166" s="6" t="s">
        <v>426</v>
      </c>
      <c r="T166" s="6" t="s">
        <v>426</v>
      </c>
      <c r="U166" s="6" t="s">
        <v>426</v>
      </c>
      <c r="V166" s="6" t="s">
        <v>426</v>
      </c>
      <c r="W166" s="6" t="s">
        <v>426</v>
      </c>
      <c r="X166" s="6" t="s">
        <v>426</v>
      </c>
      <c r="Y166" s="6" t="s">
        <v>426</v>
      </c>
      <c r="Z166" s="6" t="s">
        <v>426</v>
      </c>
      <c r="AA166" s="6" t="s">
        <v>426</v>
      </c>
      <c r="AB166" s="6" t="s">
        <v>426</v>
      </c>
      <c r="AC166" s="15" t="s">
        <v>426</v>
      </c>
      <c r="AD166" s="6" t="s">
        <v>2289</v>
      </c>
      <c r="AE166" s="6">
        <v>0</v>
      </c>
      <c r="AF166" s="6">
        <v>0</v>
      </c>
      <c r="AG166" s="6">
        <v>0</v>
      </c>
      <c r="AH166" s="6">
        <v>1</v>
      </c>
      <c r="AI166" s="6">
        <v>0</v>
      </c>
      <c r="AJ166" s="6">
        <v>1</v>
      </c>
      <c r="AK166" s="6">
        <v>0</v>
      </c>
      <c r="AL166" s="6">
        <v>0</v>
      </c>
      <c r="AM166" s="6"/>
      <c r="AN166" s="15"/>
      <c r="AO166" s="6" t="s">
        <v>426</v>
      </c>
      <c r="AP166" s="6" t="s">
        <v>823</v>
      </c>
      <c r="AQ166" s="6" t="s">
        <v>426</v>
      </c>
      <c r="AR166" s="6" t="s">
        <v>658</v>
      </c>
      <c r="AS166" s="6" t="s">
        <v>426</v>
      </c>
      <c r="AT166" s="6">
        <v>0.4</v>
      </c>
      <c r="AU166" s="6" t="s">
        <v>453</v>
      </c>
      <c r="AV166" s="6"/>
      <c r="AW166" s="6" t="s">
        <v>426</v>
      </c>
      <c r="AX166" s="6">
        <v>0.2</v>
      </c>
      <c r="AY166" s="6" t="s">
        <v>426</v>
      </c>
      <c r="AZ166" s="6">
        <v>1</v>
      </c>
      <c r="BA166" s="6" t="s">
        <v>426</v>
      </c>
      <c r="BB166" s="6">
        <v>0.4</v>
      </c>
      <c r="BC166" s="6" t="s">
        <v>426</v>
      </c>
      <c r="BD166" s="6">
        <v>0.2</v>
      </c>
      <c r="BE166" s="6" t="s">
        <v>426</v>
      </c>
      <c r="BF166" s="6">
        <v>150</v>
      </c>
      <c r="BG166" s="6" t="s">
        <v>426</v>
      </c>
      <c r="BH166" s="6">
        <v>0.4</v>
      </c>
      <c r="BI166" s="6" t="s">
        <v>426</v>
      </c>
      <c r="BJ166" s="6">
        <v>0.4</v>
      </c>
      <c r="BK166" s="6" t="s">
        <v>426</v>
      </c>
      <c r="BL166" s="6">
        <v>0.2</v>
      </c>
      <c r="BM166" s="6" t="s">
        <v>426</v>
      </c>
      <c r="BN166" s="6">
        <v>20</v>
      </c>
      <c r="BO166" s="6" t="s">
        <v>426</v>
      </c>
      <c r="BP166" s="6">
        <v>0.4</v>
      </c>
      <c r="BQ166" s="6" t="s">
        <v>426</v>
      </c>
      <c r="BR166" s="6">
        <v>20</v>
      </c>
      <c r="BS166" s="6" t="s">
        <v>453</v>
      </c>
      <c r="BT166" s="6"/>
      <c r="BU166" s="6" t="s">
        <v>426</v>
      </c>
      <c r="BV166" s="15">
        <v>0.2</v>
      </c>
      <c r="BW166" s="15" t="s">
        <v>2862</v>
      </c>
      <c r="BX166" s="15" t="s">
        <v>429</v>
      </c>
      <c r="BY166" s="6" t="s">
        <v>430</v>
      </c>
      <c r="BZ166" s="6" t="s">
        <v>486</v>
      </c>
      <c r="CA166" s="6" t="s">
        <v>430</v>
      </c>
      <c r="CB166" s="6" t="s">
        <v>1189</v>
      </c>
      <c r="CC166" s="6" t="s">
        <v>430</v>
      </c>
      <c r="CD166" s="6" t="s">
        <v>430</v>
      </c>
      <c r="CE166" s="6" t="s">
        <v>430</v>
      </c>
      <c r="CF166" s="6" t="s">
        <v>431</v>
      </c>
      <c r="CG166" s="6" t="s">
        <v>430</v>
      </c>
      <c r="CH166" s="6" t="s">
        <v>431</v>
      </c>
      <c r="CI166" s="6" t="s">
        <v>431</v>
      </c>
      <c r="CJ166" s="6" t="s">
        <v>759</v>
      </c>
      <c r="CK166" s="6" t="s">
        <v>430</v>
      </c>
      <c r="CL166" s="6" t="s">
        <v>430</v>
      </c>
      <c r="CM166" s="6" t="s">
        <v>431</v>
      </c>
      <c r="CN166" s="6" t="s">
        <v>487</v>
      </c>
      <c r="CO166" s="15" t="s">
        <v>430</v>
      </c>
      <c r="CP166" s="15" t="s">
        <v>636</v>
      </c>
      <c r="CQ166" s="6" t="s">
        <v>686</v>
      </c>
      <c r="CR166" s="15"/>
      <c r="CS166" s="6" t="s">
        <v>453</v>
      </c>
      <c r="CT166" s="6"/>
      <c r="CU166" s="6"/>
      <c r="CV166" s="6"/>
      <c r="CW166" s="6"/>
      <c r="CX166" s="15" t="s">
        <v>426</v>
      </c>
      <c r="CY166" s="6" t="s">
        <v>453</v>
      </c>
      <c r="CZ166" s="6"/>
      <c r="DA166" s="6"/>
      <c r="DB166" s="6"/>
      <c r="DC166" s="6"/>
      <c r="DD166" s="15"/>
      <c r="DE166" s="15" t="s">
        <v>521</v>
      </c>
      <c r="DF166" s="6" t="s">
        <v>2863</v>
      </c>
      <c r="DG166" s="6">
        <v>1</v>
      </c>
      <c r="DH166" s="6">
        <v>1</v>
      </c>
      <c r="DI166" s="6">
        <v>1</v>
      </c>
      <c r="DJ166" s="6">
        <v>0</v>
      </c>
      <c r="DK166" s="6">
        <v>0</v>
      </c>
      <c r="DL166" s="6">
        <v>0</v>
      </c>
      <c r="DM166" s="6"/>
      <c r="DN166" s="6"/>
      <c r="DO166" s="6"/>
      <c r="DP166" s="6"/>
      <c r="DQ166" s="6"/>
      <c r="DR166" s="6"/>
      <c r="DS166" s="6"/>
      <c r="DT166" s="66"/>
      <c r="DU166" s="6" t="s">
        <v>438</v>
      </c>
      <c r="DV166" s="6" t="s">
        <v>426</v>
      </c>
      <c r="DW166" s="6" t="s">
        <v>1212</v>
      </c>
      <c r="DX166" s="6" t="s">
        <v>2864</v>
      </c>
      <c r="DY166" s="6"/>
      <c r="DZ166" s="6" t="s">
        <v>2865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1</v>
      </c>
      <c r="EH166" s="6">
        <v>0</v>
      </c>
      <c r="EI166" s="6"/>
      <c r="EJ166" s="6" t="s">
        <v>2686</v>
      </c>
      <c r="EK166" s="6">
        <v>1</v>
      </c>
      <c r="EL166" s="6">
        <v>1</v>
      </c>
      <c r="EM166" s="6">
        <v>1</v>
      </c>
      <c r="EN166" s="6">
        <v>1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/>
      <c r="EU166" s="6" t="s">
        <v>955</v>
      </c>
      <c r="EV166" s="6" t="s">
        <v>616</v>
      </c>
      <c r="EW166" s="6"/>
      <c r="EX166" s="6" t="s">
        <v>2866</v>
      </c>
      <c r="EY166" s="6">
        <v>0</v>
      </c>
      <c r="EZ166" s="6">
        <v>0</v>
      </c>
      <c r="FA166" s="6">
        <v>0</v>
      </c>
      <c r="FB166" s="6">
        <v>1</v>
      </c>
      <c r="FC166" s="6">
        <v>1</v>
      </c>
      <c r="FD166" s="6">
        <v>0</v>
      </c>
      <c r="FE166" s="6">
        <v>0</v>
      </c>
      <c r="FF166" s="6">
        <v>0</v>
      </c>
      <c r="FG166" s="6"/>
      <c r="FH166" s="6" t="s">
        <v>618</v>
      </c>
      <c r="FI166" s="6">
        <v>0</v>
      </c>
      <c r="FJ166" s="6">
        <v>0</v>
      </c>
      <c r="FK166" s="6">
        <v>0</v>
      </c>
      <c r="FL166" s="6">
        <v>1</v>
      </c>
      <c r="FM166" s="6">
        <v>0</v>
      </c>
      <c r="FN166" s="6">
        <v>0</v>
      </c>
      <c r="FO166" s="6">
        <v>0</v>
      </c>
      <c r="FP166" s="6">
        <v>0</v>
      </c>
      <c r="FQ166" s="6">
        <v>0</v>
      </c>
      <c r="FR166" s="6">
        <v>0</v>
      </c>
      <c r="FS166" s="6"/>
      <c r="FT166" s="6" t="s">
        <v>556</v>
      </c>
      <c r="FU166" s="6" t="s">
        <v>448</v>
      </c>
      <c r="FV166" s="6"/>
      <c r="FW166" s="6" t="s">
        <v>449</v>
      </c>
      <c r="FX166" s="15" t="s">
        <v>450</v>
      </c>
      <c r="FY166" s="6" t="s">
        <v>529</v>
      </c>
      <c r="FZ166" s="6"/>
      <c r="GA166" s="6" t="s">
        <v>450</v>
      </c>
      <c r="GB166" s="6" t="s">
        <v>501</v>
      </c>
      <c r="GC166" s="6" t="s">
        <v>453</v>
      </c>
      <c r="GD166" s="6"/>
      <c r="GE166" s="6" t="s">
        <v>454</v>
      </c>
      <c r="GF166" s="6" t="s">
        <v>2867</v>
      </c>
      <c r="GG166" s="6" t="s">
        <v>456</v>
      </c>
      <c r="GH166" s="15" t="s">
        <v>2868</v>
      </c>
      <c r="GI166" s="6" t="s">
        <v>458</v>
      </c>
      <c r="GJ166" s="6" t="s">
        <v>2869</v>
      </c>
      <c r="GK166" s="6" t="s">
        <v>460</v>
      </c>
      <c r="GL166" s="6" t="s">
        <v>461</v>
      </c>
      <c r="GM166" s="6">
        <v>0</v>
      </c>
      <c r="GN166" s="6">
        <v>0</v>
      </c>
      <c r="GO166" s="6">
        <v>0</v>
      </c>
      <c r="GP166" s="6">
        <v>0</v>
      </c>
      <c r="GQ166" s="6">
        <v>0</v>
      </c>
      <c r="GR166" s="6">
        <v>1</v>
      </c>
      <c r="GS166" s="6">
        <v>0</v>
      </c>
      <c r="GT166" s="6"/>
      <c r="GU166" s="6" t="s">
        <v>534</v>
      </c>
      <c r="GV166" s="6" t="s">
        <v>595</v>
      </c>
      <c r="GW166" s="6" t="s">
        <v>464</v>
      </c>
      <c r="GX166" s="6">
        <v>1</v>
      </c>
      <c r="GY166" s="6">
        <v>0</v>
      </c>
      <c r="GZ166" s="6">
        <v>0</v>
      </c>
      <c r="HA166" s="6">
        <v>0</v>
      </c>
      <c r="HB166" s="6">
        <v>0</v>
      </c>
      <c r="HC166" s="6">
        <v>0</v>
      </c>
      <c r="HD166" s="6"/>
      <c r="HE166" s="6" t="s">
        <v>1417</v>
      </c>
      <c r="HF166" s="6">
        <v>1</v>
      </c>
      <c r="HG166" s="6">
        <v>0</v>
      </c>
      <c r="HH166" s="6">
        <v>1</v>
      </c>
      <c r="HI166" s="6">
        <v>1</v>
      </c>
      <c r="HJ166" s="6">
        <v>0</v>
      </c>
      <c r="HK166" s="6">
        <v>0</v>
      </c>
      <c r="HL166" s="15"/>
      <c r="HM166" s="6" t="s">
        <v>466</v>
      </c>
      <c r="HN166" s="6"/>
      <c r="HO166" s="6" t="s">
        <v>2870</v>
      </c>
      <c r="HP166" s="6" t="s">
        <v>1668</v>
      </c>
      <c r="HQ166" s="6"/>
      <c r="HR166" s="6" t="s">
        <v>2871</v>
      </c>
      <c r="HS166" s="6" t="s">
        <v>2872</v>
      </c>
      <c r="HT166" s="6">
        <v>0</v>
      </c>
      <c r="HU166" s="6">
        <v>0</v>
      </c>
      <c r="HV166" s="6">
        <v>1</v>
      </c>
      <c r="HW166" s="6">
        <v>1</v>
      </c>
      <c r="HX166" s="6">
        <v>0</v>
      </c>
      <c r="HY166" s="6">
        <v>1</v>
      </c>
      <c r="HZ166" s="6"/>
      <c r="IA166" s="6" t="s">
        <v>2873</v>
      </c>
      <c r="IB166" s="6">
        <v>1</v>
      </c>
      <c r="IC166" s="6">
        <v>0</v>
      </c>
      <c r="ID166" s="6">
        <v>0</v>
      </c>
      <c r="IE166" s="6">
        <v>1</v>
      </c>
      <c r="IF166" s="6">
        <v>0</v>
      </c>
      <c r="IG166" s="6">
        <v>1</v>
      </c>
      <c r="IH166" s="15" t="s">
        <v>2874</v>
      </c>
      <c r="II166" s="6" t="s">
        <v>426</v>
      </c>
      <c r="IJ166" s="6" t="s">
        <v>472</v>
      </c>
      <c r="IK166" s="6">
        <v>1</v>
      </c>
      <c r="IL166" s="6">
        <v>0</v>
      </c>
      <c r="IM166" s="6">
        <v>0</v>
      </c>
      <c r="IN166" s="6"/>
      <c r="IO166" s="6" t="s">
        <v>473</v>
      </c>
      <c r="IP166" s="6">
        <v>1</v>
      </c>
      <c r="IQ166" s="6">
        <v>0</v>
      </c>
      <c r="IR166" s="6">
        <v>0</v>
      </c>
      <c r="IS166" s="6">
        <v>0</v>
      </c>
      <c r="IT166" s="6">
        <v>0</v>
      </c>
      <c r="IU166" s="6">
        <v>0</v>
      </c>
      <c r="IV166" s="6"/>
      <c r="IW166" s="6" t="s">
        <v>453</v>
      </c>
      <c r="IX166" s="6"/>
      <c r="IY166" s="6" t="s">
        <v>510</v>
      </c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 t="s">
        <v>426</v>
      </c>
      <c r="JK166" s="6" t="s">
        <v>453</v>
      </c>
      <c r="JL166" s="6"/>
      <c r="JM166" s="6"/>
      <c r="JN166" s="6"/>
      <c r="JO166" s="6"/>
      <c r="JP166" s="6"/>
      <c r="JQ166" s="6"/>
      <c r="JR166" s="6"/>
      <c r="JS166" s="6"/>
      <c r="JT166" s="6"/>
      <c r="JU166" s="6" t="s">
        <v>477</v>
      </c>
      <c r="JV166" s="15"/>
      <c r="JW166" s="94" t="s">
        <v>2875</v>
      </c>
      <c r="JX166" s="6" t="s">
        <v>2876</v>
      </c>
      <c r="JY166" s="6">
        <v>0.8260728</v>
      </c>
      <c r="JZ166" s="6">
        <v>34.8661071</v>
      </c>
      <c r="KA166" s="6">
        <v>1728.7236328125</v>
      </c>
      <c r="KB166" s="15">
        <v>4.481</v>
      </c>
      <c r="KC166" s="15"/>
    </row>
    <row r="167" spans="1:289">
      <c r="A167" s="6" t="s">
        <v>419</v>
      </c>
      <c r="B167" s="6" t="s">
        <v>2503</v>
      </c>
      <c r="C167" s="7" t="s">
        <v>2504</v>
      </c>
      <c r="D167" s="6" t="s">
        <v>2537</v>
      </c>
      <c r="E167" s="6" t="s">
        <v>2877</v>
      </c>
      <c r="F167" s="8" t="s">
        <v>423</v>
      </c>
      <c r="G167" s="6" t="s">
        <v>424</v>
      </c>
      <c r="H167" s="6" t="s">
        <v>425</v>
      </c>
      <c r="I167" s="15"/>
      <c r="J167" s="6" t="s">
        <v>426</v>
      </c>
      <c r="K167" s="6" t="s">
        <v>426</v>
      </c>
      <c r="L167" s="6" t="s">
        <v>426</v>
      </c>
      <c r="M167" s="6" t="s">
        <v>426</v>
      </c>
      <c r="N167" s="6" t="s">
        <v>426</v>
      </c>
      <c r="O167" s="6" t="s">
        <v>426</v>
      </c>
      <c r="P167" s="6" t="s">
        <v>426</v>
      </c>
      <c r="Q167" s="6" t="s">
        <v>426</v>
      </c>
      <c r="R167" s="6" t="s">
        <v>426</v>
      </c>
      <c r="S167" s="6" t="s">
        <v>426</v>
      </c>
      <c r="T167" s="6" t="s">
        <v>426</v>
      </c>
      <c r="U167" s="6" t="s">
        <v>426</v>
      </c>
      <c r="V167" s="6" t="s">
        <v>426</v>
      </c>
      <c r="W167" s="6" t="s">
        <v>426</v>
      </c>
      <c r="X167" s="6" t="s">
        <v>426</v>
      </c>
      <c r="Y167" s="6" t="s">
        <v>426</v>
      </c>
      <c r="Z167" s="6" t="s">
        <v>426</v>
      </c>
      <c r="AA167" s="6" t="s">
        <v>426</v>
      </c>
      <c r="AB167" s="6" t="s">
        <v>426</v>
      </c>
      <c r="AC167" s="15" t="s">
        <v>426</v>
      </c>
      <c r="AD167" s="6" t="s">
        <v>427</v>
      </c>
      <c r="AE167" s="6">
        <v>0</v>
      </c>
      <c r="AF167" s="6">
        <v>0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/>
      <c r="AN167" s="15"/>
      <c r="AO167" s="6" t="s">
        <v>426</v>
      </c>
      <c r="AP167" s="6" t="s">
        <v>823</v>
      </c>
      <c r="AQ167" s="6" t="s">
        <v>426</v>
      </c>
      <c r="AR167" s="6" t="s">
        <v>823</v>
      </c>
      <c r="AS167" s="6" t="s">
        <v>426</v>
      </c>
      <c r="AT167" s="6">
        <v>0.8</v>
      </c>
      <c r="AU167" s="6" t="s">
        <v>426</v>
      </c>
      <c r="AV167" s="6">
        <v>0.4</v>
      </c>
      <c r="AW167" s="6" t="s">
        <v>426</v>
      </c>
      <c r="AX167" s="6">
        <v>0.8</v>
      </c>
      <c r="AY167" s="6" t="s">
        <v>426</v>
      </c>
      <c r="AZ167" s="6">
        <v>1</v>
      </c>
      <c r="BA167" s="6" t="s">
        <v>426</v>
      </c>
      <c r="BB167" s="6">
        <v>0.75</v>
      </c>
      <c r="BC167" s="6" t="s">
        <v>426</v>
      </c>
      <c r="BD167" s="6">
        <v>0.75</v>
      </c>
      <c r="BE167" s="6" t="s">
        <v>426</v>
      </c>
      <c r="BF167" s="6">
        <v>3</v>
      </c>
      <c r="BG167" s="6" t="s">
        <v>426</v>
      </c>
      <c r="BH167" s="6">
        <v>0.2</v>
      </c>
      <c r="BI167" s="6" t="s">
        <v>426</v>
      </c>
      <c r="BJ167" s="6">
        <v>0.8</v>
      </c>
      <c r="BK167" s="6" t="s">
        <v>426</v>
      </c>
      <c r="BL167" s="6">
        <v>0.75</v>
      </c>
      <c r="BM167" s="6" t="s">
        <v>426</v>
      </c>
      <c r="BN167" s="6">
        <v>30</v>
      </c>
      <c r="BO167" s="6" t="s">
        <v>426</v>
      </c>
      <c r="BP167" s="6">
        <v>0.75</v>
      </c>
      <c r="BQ167" s="6" t="s">
        <v>426</v>
      </c>
      <c r="BR167" s="6">
        <v>80</v>
      </c>
      <c r="BS167" s="6" t="s">
        <v>426</v>
      </c>
      <c r="BT167" s="6">
        <v>8</v>
      </c>
      <c r="BU167" s="6" t="s">
        <v>426</v>
      </c>
      <c r="BV167" s="15">
        <v>0.75</v>
      </c>
      <c r="BW167" s="15" t="s">
        <v>428</v>
      </c>
      <c r="BX167" s="15" t="s">
        <v>429</v>
      </c>
      <c r="BY167" s="6" t="s">
        <v>430</v>
      </c>
      <c r="BZ167" s="6" t="s">
        <v>430</v>
      </c>
      <c r="CA167" s="6" t="s">
        <v>430</v>
      </c>
      <c r="CB167" s="6" t="s">
        <v>431</v>
      </c>
      <c r="CC167" s="6" t="s">
        <v>430</v>
      </c>
      <c r="CD167" s="6" t="s">
        <v>430</v>
      </c>
      <c r="CE167" s="6" t="s">
        <v>431</v>
      </c>
      <c r="CF167" s="6" t="s">
        <v>430</v>
      </c>
      <c r="CG167" s="6" t="s">
        <v>431</v>
      </c>
      <c r="CH167" s="6" t="s">
        <v>431</v>
      </c>
      <c r="CI167" s="6" t="s">
        <v>430</v>
      </c>
      <c r="CJ167" s="6" t="s">
        <v>430</v>
      </c>
      <c r="CK167" s="6" t="s">
        <v>430</v>
      </c>
      <c r="CL167" s="6" t="s">
        <v>430</v>
      </c>
      <c r="CM167" s="6" t="s">
        <v>430</v>
      </c>
      <c r="CN167" s="6" t="s">
        <v>431</v>
      </c>
      <c r="CO167" s="15" t="s">
        <v>431</v>
      </c>
      <c r="CP167" s="15" t="s">
        <v>432</v>
      </c>
      <c r="CQ167" s="6" t="s">
        <v>686</v>
      </c>
      <c r="CR167" s="15"/>
      <c r="CS167" s="6" t="s">
        <v>426</v>
      </c>
      <c r="CT167" s="6" t="s">
        <v>2878</v>
      </c>
      <c r="CU167" s="6" t="s">
        <v>987</v>
      </c>
      <c r="CV167" s="6" t="s">
        <v>660</v>
      </c>
      <c r="CW167" s="6" t="s">
        <v>988</v>
      </c>
      <c r="CX167" s="15" t="s">
        <v>426</v>
      </c>
      <c r="CY167" s="6" t="s">
        <v>426</v>
      </c>
      <c r="CZ167" s="6" t="s">
        <v>2879</v>
      </c>
      <c r="DA167" s="6" t="s">
        <v>1111</v>
      </c>
      <c r="DB167" s="6" t="s">
        <v>758</v>
      </c>
      <c r="DC167" s="6" t="s">
        <v>737</v>
      </c>
      <c r="DD167" s="15" t="s">
        <v>829</v>
      </c>
      <c r="DE167" s="15" t="s">
        <v>521</v>
      </c>
      <c r="DF167" s="6" t="s">
        <v>437</v>
      </c>
      <c r="DG167" s="6">
        <v>1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/>
      <c r="DN167" s="6"/>
      <c r="DO167" s="6"/>
      <c r="DP167" s="6"/>
      <c r="DQ167" s="6"/>
      <c r="DR167" s="6"/>
      <c r="DS167" s="6"/>
      <c r="DT167" s="66"/>
      <c r="DU167" s="6" t="s">
        <v>438</v>
      </c>
      <c r="DV167" s="6" t="s">
        <v>426</v>
      </c>
      <c r="DW167" s="6" t="s">
        <v>439</v>
      </c>
      <c r="DX167" s="6" t="s">
        <v>491</v>
      </c>
      <c r="DY167" s="6"/>
      <c r="DZ167" s="6" t="s">
        <v>940</v>
      </c>
      <c r="EA167" s="6">
        <v>1</v>
      </c>
      <c r="EB167" s="6">
        <v>1</v>
      </c>
      <c r="EC167" s="6">
        <v>1</v>
      </c>
      <c r="ED167" s="6">
        <v>1</v>
      </c>
      <c r="EE167" s="6">
        <v>0</v>
      </c>
      <c r="EF167" s="6">
        <v>0</v>
      </c>
      <c r="EG167" s="6">
        <v>0</v>
      </c>
      <c r="EH167" s="6">
        <v>0</v>
      </c>
      <c r="EI167" s="6"/>
      <c r="EJ167" s="6" t="s">
        <v>697</v>
      </c>
      <c r="EK167" s="6">
        <v>1</v>
      </c>
      <c r="EL167" s="6">
        <v>1</v>
      </c>
      <c r="EM167" s="6">
        <v>1</v>
      </c>
      <c r="EN167" s="6">
        <v>1</v>
      </c>
      <c r="EO167" s="6">
        <v>1</v>
      </c>
      <c r="EP167" s="6">
        <v>1</v>
      </c>
      <c r="EQ167" s="6">
        <v>0</v>
      </c>
      <c r="ER167" s="6">
        <v>0</v>
      </c>
      <c r="ES167" s="6">
        <v>0</v>
      </c>
      <c r="ET167" s="6"/>
      <c r="EU167" s="6" t="s">
        <v>494</v>
      </c>
      <c r="EV167" s="6" t="s">
        <v>495</v>
      </c>
      <c r="EW167" s="6"/>
      <c r="EX167" s="6" t="s">
        <v>445</v>
      </c>
      <c r="EY167" s="6">
        <v>0</v>
      </c>
      <c r="EZ167" s="6">
        <v>0</v>
      </c>
      <c r="FA167" s="6">
        <v>1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/>
      <c r="FH167" s="6" t="s">
        <v>812</v>
      </c>
      <c r="FI167" s="6">
        <v>1</v>
      </c>
      <c r="FJ167" s="6">
        <v>0</v>
      </c>
      <c r="FK167" s="6">
        <v>0</v>
      </c>
      <c r="FL167" s="6">
        <v>0</v>
      </c>
      <c r="FM167" s="6">
        <v>0</v>
      </c>
      <c r="FN167" s="6">
        <v>0</v>
      </c>
      <c r="FO167" s="6">
        <v>0</v>
      </c>
      <c r="FP167" s="6">
        <v>0</v>
      </c>
      <c r="FQ167" s="6">
        <v>0</v>
      </c>
      <c r="FR167" s="6">
        <v>0</v>
      </c>
      <c r="FS167" s="6"/>
      <c r="FT167" s="6" t="s">
        <v>447</v>
      </c>
      <c r="FU167" s="6" t="s">
        <v>448</v>
      </c>
      <c r="FV167" s="6"/>
      <c r="FW167" s="6" t="s">
        <v>449</v>
      </c>
      <c r="FX167" s="15" t="s">
        <v>528</v>
      </c>
      <c r="FY167" s="6" t="s">
        <v>451</v>
      </c>
      <c r="FZ167" s="6"/>
      <c r="GA167" s="6" t="s">
        <v>528</v>
      </c>
      <c r="GB167" s="6" t="s">
        <v>452</v>
      </c>
      <c r="GC167" s="6" t="s">
        <v>453</v>
      </c>
      <c r="GD167" s="6"/>
      <c r="GE167" s="6" t="s">
        <v>454</v>
      </c>
      <c r="GF167" s="6" t="s">
        <v>2880</v>
      </c>
      <c r="GG167" s="6" t="s">
        <v>456</v>
      </c>
      <c r="GH167" s="15" t="s">
        <v>2881</v>
      </c>
      <c r="GI167" s="6" t="s">
        <v>701</v>
      </c>
      <c r="GJ167" s="6" t="s">
        <v>2882</v>
      </c>
      <c r="GK167" s="6" t="s">
        <v>703</v>
      </c>
      <c r="GL167" s="6" t="s">
        <v>720</v>
      </c>
      <c r="GM167" s="6">
        <v>1</v>
      </c>
      <c r="GN167" s="6">
        <v>0</v>
      </c>
      <c r="GO167" s="6">
        <v>0</v>
      </c>
      <c r="GP167" s="6">
        <v>0</v>
      </c>
      <c r="GQ167" s="6">
        <v>0</v>
      </c>
      <c r="GR167" s="6">
        <v>0</v>
      </c>
      <c r="GS167" s="6">
        <v>0</v>
      </c>
      <c r="GT167" s="6"/>
      <c r="GU167" s="6" t="s">
        <v>462</v>
      </c>
      <c r="GV167" s="6" t="s">
        <v>463</v>
      </c>
      <c r="GW167" s="6" t="s">
        <v>464</v>
      </c>
      <c r="GX167" s="6">
        <v>1</v>
      </c>
      <c r="GY167" s="6">
        <v>0</v>
      </c>
      <c r="GZ167" s="6">
        <v>0</v>
      </c>
      <c r="HA167" s="6">
        <v>0</v>
      </c>
      <c r="HB167" s="6">
        <v>0</v>
      </c>
      <c r="HC167" s="6">
        <v>0</v>
      </c>
      <c r="HD167" s="6"/>
      <c r="HE167" s="6" t="s">
        <v>535</v>
      </c>
      <c r="HF167" s="6">
        <v>1</v>
      </c>
      <c r="HG167" s="6">
        <v>0</v>
      </c>
      <c r="HH167" s="6">
        <v>0</v>
      </c>
      <c r="HI167" s="6">
        <v>0</v>
      </c>
      <c r="HJ167" s="6">
        <v>0</v>
      </c>
      <c r="HK167" s="6">
        <v>0</v>
      </c>
      <c r="HL167" s="15"/>
      <c r="HM167" s="6" t="s">
        <v>466</v>
      </c>
      <c r="HN167" s="6"/>
      <c r="HO167" s="6" t="s">
        <v>2883</v>
      </c>
      <c r="HP167" s="6" t="s">
        <v>468</v>
      </c>
      <c r="HQ167" s="6"/>
      <c r="HR167" s="6" t="s">
        <v>2352</v>
      </c>
      <c r="HS167" s="6" t="s">
        <v>470</v>
      </c>
      <c r="HT167" s="6">
        <v>0</v>
      </c>
      <c r="HU167" s="6">
        <v>0</v>
      </c>
      <c r="HV167" s="6">
        <v>0</v>
      </c>
      <c r="HW167" s="6">
        <v>0</v>
      </c>
      <c r="HX167" s="6">
        <v>1</v>
      </c>
      <c r="HY167" s="6">
        <v>0</v>
      </c>
      <c r="HZ167" s="6"/>
      <c r="IA167" s="6" t="s">
        <v>541</v>
      </c>
      <c r="IB167" s="6">
        <v>0</v>
      </c>
      <c r="IC167" s="6">
        <v>0</v>
      </c>
      <c r="ID167" s="6">
        <v>1</v>
      </c>
      <c r="IE167" s="6">
        <v>0</v>
      </c>
      <c r="IF167" s="6">
        <v>0</v>
      </c>
      <c r="IG167" s="6">
        <v>0</v>
      </c>
      <c r="IH167" s="15" t="s">
        <v>2884</v>
      </c>
      <c r="II167" s="6" t="s">
        <v>426</v>
      </c>
      <c r="IJ167" s="6" t="s">
        <v>472</v>
      </c>
      <c r="IK167" s="6">
        <v>1</v>
      </c>
      <c r="IL167" s="6">
        <v>0</v>
      </c>
      <c r="IM167" s="6">
        <v>0</v>
      </c>
      <c r="IN167" s="6"/>
      <c r="IO167" s="6" t="s">
        <v>473</v>
      </c>
      <c r="IP167" s="6">
        <v>1</v>
      </c>
      <c r="IQ167" s="6">
        <v>0</v>
      </c>
      <c r="IR167" s="6">
        <v>0</v>
      </c>
      <c r="IS167" s="6">
        <v>0</v>
      </c>
      <c r="IT167" s="6">
        <v>0</v>
      </c>
      <c r="IU167" s="6">
        <v>0</v>
      </c>
      <c r="IV167" s="6"/>
      <c r="IW167" s="6" t="s">
        <v>426</v>
      </c>
      <c r="IX167" s="6">
        <v>1</v>
      </c>
      <c r="IY167" s="6" t="s">
        <v>474</v>
      </c>
      <c r="IZ167" s="6" t="s">
        <v>475</v>
      </c>
      <c r="JA167" s="6" t="s">
        <v>426</v>
      </c>
      <c r="JB167" s="6" t="s">
        <v>476</v>
      </c>
      <c r="JC167" s="6"/>
      <c r="JD167" s="6"/>
      <c r="JE167" s="6"/>
      <c r="JF167" s="6"/>
      <c r="JG167" s="6"/>
      <c r="JH167" s="6"/>
      <c r="JI167" s="6"/>
      <c r="JJ167" s="6"/>
      <c r="JK167" s="6" t="s">
        <v>426</v>
      </c>
      <c r="JL167" s="6" t="s">
        <v>426</v>
      </c>
      <c r="JM167" s="6"/>
      <c r="JN167" s="6"/>
      <c r="JO167" s="6"/>
      <c r="JP167" s="6"/>
      <c r="JQ167" s="6"/>
      <c r="JR167" s="6"/>
      <c r="JS167" s="6"/>
      <c r="JT167" s="6"/>
      <c r="JU167" s="6" t="s">
        <v>477</v>
      </c>
      <c r="JV167" s="15"/>
      <c r="JW167" s="94" t="s">
        <v>2885</v>
      </c>
      <c r="JX167" s="6" t="s">
        <v>2886</v>
      </c>
      <c r="JY167" s="6">
        <v>0.826145</v>
      </c>
      <c r="JZ167" s="6">
        <v>34.8662167</v>
      </c>
      <c r="KA167" s="6">
        <v>1760.7</v>
      </c>
      <c r="KB167" s="15">
        <v>4.25</v>
      </c>
      <c r="KC167" s="15"/>
    </row>
    <row r="168" spans="1:289">
      <c r="A168" s="6" t="s">
        <v>514</v>
      </c>
      <c r="B168" s="6" t="s">
        <v>2503</v>
      </c>
      <c r="C168" s="7" t="s">
        <v>2504</v>
      </c>
      <c r="D168" s="6" t="s">
        <v>2599</v>
      </c>
      <c r="E168" s="6" t="s">
        <v>2887</v>
      </c>
      <c r="F168" s="8" t="s">
        <v>483</v>
      </c>
      <c r="G168" s="6" t="s">
        <v>567</v>
      </c>
      <c r="H168" s="6" t="s">
        <v>517</v>
      </c>
      <c r="I168" s="15"/>
      <c r="J168" s="6" t="s">
        <v>426</v>
      </c>
      <c r="K168" s="6" t="s">
        <v>426</v>
      </c>
      <c r="L168" s="6" t="s">
        <v>426</v>
      </c>
      <c r="M168" s="6" t="s">
        <v>426</v>
      </c>
      <c r="N168" s="6" t="s">
        <v>426</v>
      </c>
      <c r="O168" s="6" t="s">
        <v>426</v>
      </c>
      <c r="P168" s="6" t="s">
        <v>426</v>
      </c>
      <c r="Q168" s="6" t="s">
        <v>426</v>
      </c>
      <c r="R168" s="6" t="s">
        <v>426</v>
      </c>
      <c r="S168" s="6" t="s">
        <v>426</v>
      </c>
      <c r="T168" s="6" t="s">
        <v>426</v>
      </c>
      <c r="U168" s="6" t="s">
        <v>426</v>
      </c>
      <c r="V168" s="6" t="s">
        <v>426</v>
      </c>
      <c r="W168" s="6" t="s">
        <v>426</v>
      </c>
      <c r="X168" s="6" t="s">
        <v>426</v>
      </c>
      <c r="Y168" s="6" t="s">
        <v>426</v>
      </c>
      <c r="Z168" s="6" t="s">
        <v>426</v>
      </c>
      <c r="AA168" s="6" t="s">
        <v>426</v>
      </c>
      <c r="AB168" s="6" t="s">
        <v>426</v>
      </c>
      <c r="AC168" s="15" t="s">
        <v>426</v>
      </c>
      <c r="AD168" s="6" t="s">
        <v>427</v>
      </c>
      <c r="AE168" s="6">
        <v>0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0</v>
      </c>
      <c r="AL168" s="6">
        <v>0</v>
      </c>
      <c r="AM168" s="6"/>
      <c r="AN168" s="15"/>
      <c r="AO168" s="6" t="s">
        <v>426</v>
      </c>
      <c r="AP168" s="6" t="s">
        <v>920</v>
      </c>
      <c r="AQ168" s="6" t="s">
        <v>426</v>
      </c>
      <c r="AR168" s="6" t="s">
        <v>920</v>
      </c>
      <c r="AS168" s="6" t="s">
        <v>426</v>
      </c>
      <c r="AT168" s="6">
        <v>2</v>
      </c>
      <c r="AU168" s="6" t="s">
        <v>426</v>
      </c>
      <c r="AV168" s="6">
        <v>2</v>
      </c>
      <c r="AW168" s="6" t="s">
        <v>426</v>
      </c>
      <c r="AX168" s="6">
        <v>2</v>
      </c>
      <c r="AY168" s="6" t="s">
        <v>426</v>
      </c>
      <c r="AZ168" s="6">
        <v>1</v>
      </c>
      <c r="BA168" s="6" t="s">
        <v>426</v>
      </c>
      <c r="BB168" s="6">
        <v>1</v>
      </c>
      <c r="BC168" s="6" t="s">
        <v>426</v>
      </c>
      <c r="BD168" s="6">
        <v>2.7</v>
      </c>
      <c r="BE168" s="6" t="s">
        <v>426</v>
      </c>
      <c r="BF168" s="6">
        <v>9</v>
      </c>
      <c r="BG168" s="6" t="s">
        <v>426</v>
      </c>
      <c r="BH168" s="6">
        <v>2.7</v>
      </c>
      <c r="BI168" s="6" t="s">
        <v>426</v>
      </c>
      <c r="BJ168" s="6">
        <v>2</v>
      </c>
      <c r="BK168" s="6" t="s">
        <v>426</v>
      </c>
      <c r="BL168" s="6">
        <v>2.5</v>
      </c>
      <c r="BM168" s="6" t="s">
        <v>426</v>
      </c>
      <c r="BN168" s="6">
        <v>5</v>
      </c>
      <c r="BO168" s="6" t="s">
        <v>426</v>
      </c>
      <c r="BP168" s="6">
        <v>2</v>
      </c>
      <c r="BQ168" s="6" t="s">
        <v>426</v>
      </c>
      <c r="BR168" s="6">
        <v>80</v>
      </c>
      <c r="BS168" s="6" t="s">
        <v>426</v>
      </c>
      <c r="BT168" s="6">
        <v>5</v>
      </c>
      <c r="BU168" s="6" t="s">
        <v>426</v>
      </c>
      <c r="BV168" s="15">
        <v>2</v>
      </c>
      <c r="BW168" s="15" t="s">
        <v>518</v>
      </c>
      <c r="BX168" s="15" t="s">
        <v>429</v>
      </c>
      <c r="BY168" s="6" t="s">
        <v>430</v>
      </c>
      <c r="BZ168" s="6" t="s">
        <v>430</v>
      </c>
      <c r="CA168" s="6" t="s">
        <v>430</v>
      </c>
      <c r="CB168" s="6" t="s">
        <v>430</v>
      </c>
      <c r="CC168" s="6" t="s">
        <v>430</v>
      </c>
      <c r="CD168" s="6" t="s">
        <v>430</v>
      </c>
      <c r="CE168" s="6" t="s">
        <v>430</v>
      </c>
      <c r="CF168" s="6" t="s">
        <v>430</v>
      </c>
      <c r="CG168" s="6" t="s">
        <v>430</v>
      </c>
      <c r="CH168" s="6" t="s">
        <v>430</v>
      </c>
      <c r="CI168" s="6" t="s">
        <v>430</v>
      </c>
      <c r="CJ168" s="6" t="s">
        <v>430</v>
      </c>
      <c r="CK168" s="6" t="s">
        <v>430</v>
      </c>
      <c r="CL168" s="6" t="s">
        <v>430</v>
      </c>
      <c r="CM168" s="6" t="s">
        <v>430</v>
      </c>
      <c r="CN168" s="6" t="s">
        <v>430</v>
      </c>
      <c r="CO168" s="15" t="s">
        <v>430</v>
      </c>
      <c r="CP168" s="15" t="s">
        <v>432</v>
      </c>
      <c r="CQ168" s="6" t="s">
        <v>433</v>
      </c>
      <c r="CR168" s="15"/>
      <c r="CS168" s="6" t="s">
        <v>426</v>
      </c>
      <c r="CT168" s="6" t="s">
        <v>2888</v>
      </c>
      <c r="CU168" s="6" t="s">
        <v>845</v>
      </c>
      <c r="CV168" s="6" t="s">
        <v>737</v>
      </c>
      <c r="CW168" s="6" t="s">
        <v>826</v>
      </c>
      <c r="CX168" s="15" t="s">
        <v>426</v>
      </c>
      <c r="CY168" s="6" t="s">
        <v>426</v>
      </c>
      <c r="CZ168" s="6" t="s">
        <v>2889</v>
      </c>
      <c r="DA168" s="6" t="s">
        <v>938</v>
      </c>
      <c r="DB168" s="6" t="s">
        <v>734</v>
      </c>
      <c r="DC168" s="6" t="s">
        <v>789</v>
      </c>
      <c r="DD168" s="15" t="s">
        <v>1291</v>
      </c>
      <c r="DE168" s="15" t="s">
        <v>436</v>
      </c>
      <c r="DF168" s="6" t="s">
        <v>437</v>
      </c>
      <c r="DG168" s="6">
        <v>1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/>
      <c r="DN168" s="6"/>
      <c r="DO168" s="6"/>
      <c r="DP168" s="6"/>
      <c r="DQ168" s="6"/>
      <c r="DR168" s="6"/>
      <c r="DS168" s="6"/>
      <c r="DT168" s="66"/>
      <c r="DU168" s="6" t="s">
        <v>438</v>
      </c>
      <c r="DV168" s="6" t="s">
        <v>426</v>
      </c>
      <c r="DW168" s="6" t="s">
        <v>439</v>
      </c>
      <c r="DX168" s="6" t="s">
        <v>440</v>
      </c>
      <c r="DY168" s="6"/>
      <c r="DZ168" s="6" t="s">
        <v>1196</v>
      </c>
      <c r="EA168" s="6">
        <v>1</v>
      </c>
      <c r="EB168" s="6">
        <v>0</v>
      </c>
      <c r="EC168" s="6">
        <v>1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/>
      <c r="EJ168" s="6" t="s">
        <v>811</v>
      </c>
      <c r="EK168" s="6">
        <v>1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/>
      <c r="EU168" s="6" t="s">
        <v>443</v>
      </c>
      <c r="EV168" s="6" t="s">
        <v>495</v>
      </c>
      <c r="EW168" s="6"/>
      <c r="EX168" s="6" t="s">
        <v>617</v>
      </c>
      <c r="EY168" s="6">
        <v>1</v>
      </c>
      <c r="EZ168" s="6">
        <v>1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/>
      <c r="FH168" s="6" t="s">
        <v>812</v>
      </c>
      <c r="FI168" s="6">
        <v>1</v>
      </c>
      <c r="FJ168" s="6">
        <v>0</v>
      </c>
      <c r="FK168" s="6">
        <v>0</v>
      </c>
      <c r="FL168" s="6">
        <v>0</v>
      </c>
      <c r="FM168" s="6">
        <v>0</v>
      </c>
      <c r="FN168" s="6">
        <v>0</v>
      </c>
      <c r="FO168" s="6">
        <v>0</v>
      </c>
      <c r="FP168" s="6">
        <v>0</v>
      </c>
      <c r="FQ168" s="6">
        <v>0</v>
      </c>
      <c r="FR168" s="6">
        <v>0</v>
      </c>
      <c r="FS168" s="6"/>
      <c r="FT168" s="6" t="s">
        <v>447</v>
      </c>
      <c r="FU168" s="6" t="s">
        <v>499</v>
      </c>
      <c r="FV168" s="6"/>
      <c r="FW168" s="6" t="s">
        <v>449</v>
      </c>
      <c r="FX168" s="15" t="s">
        <v>450</v>
      </c>
      <c r="FY168" s="6" t="s">
        <v>500</v>
      </c>
      <c r="FZ168" s="6"/>
      <c r="GA168" s="6" t="s">
        <v>450</v>
      </c>
      <c r="GB168" s="6" t="s">
        <v>501</v>
      </c>
      <c r="GC168" s="6" t="s">
        <v>453</v>
      </c>
      <c r="GD168" s="6"/>
      <c r="GE168" s="6" t="s">
        <v>454</v>
      </c>
      <c r="GF168" s="6" t="s">
        <v>2890</v>
      </c>
      <c r="GG168" s="6" t="s">
        <v>456</v>
      </c>
      <c r="GH168" s="15" t="s">
        <v>2740</v>
      </c>
      <c r="GI168" s="6" t="s">
        <v>458</v>
      </c>
      <c r="GJ168" s="6" t="s">
        <v>2891</v>
      </c>
      <c r="GK168" s="6" t="s">
        <v>460</v>
      </c>
      <c r="GL168" s="6" t="s">
        <v>720</v>
      </c>
      <c r="GM168" s="6">
        <v>1</v>
      </c>
      <c r="GN168" s="6">
        <v>0</v>
      </c>
      <c r="GO168" s="6">
        <v>0</v>
      </c>
      <c r="GP168" s="6">
        <v>0</v>
      </c>
      <c r="GQ168" s="6">
        <v>0</v>
      </c>
      <c r="GR168" s="6">
        <v>0</v>
      </c>
      <c r="GS168" s="6">
        <v>0</v>
      </c>
      <c r="GT168" s="6"/>
      <c r="GU168" s="6" t="s">
        <v>534</v>
      </c>
      <c r="GV168" s="6" t="s">
        <v>595</v>
      </c>
      <c r="GW168" s="6" t="s">
        <v>464</v>
      </c>
      <c r="GX168" s="6">
        <v>1</v>
      </c>
      <c r="GY168" s="6">
        <v>0</v>
      </c>
      <c r="GZ168" s="6">
        <v>0</v>
      </c>
      <c r="HA168" s="6">
        <v>0</v>
      </c>
      <c r="HB168" s="6">
        <v>0</v>
      </c>
      <c r="HC168" s="6">
        <v>0</v>
      </c>
      <c r="HD168" s="6"/>
      <c r="HE168" s="6" t="s">
        <v>535</v>
      </c>
      <c r="HF168" s="6">
        <v>1</v>
      </c>
      <c r="HG168" s="6">
        <v>0</v>
      </c>
      <c r="HH168" s="6">
        <v>0</v>
      </c>
      <c r="HI168" s="6">
        <v>0</v>
      </c>
      <c r="HJ168" s="6">
        <v>0</v>
      </c>
      <c r="HK168" s="6">
        <v>0</v>
      </c>
      <c r="HL168" s="15"/>
      <c r="HM168" s="6" t="s">
        <v>505</v>
      </c>
      <c r="HN168" s="6"/>
      <c r="HO168" s="6" t="s">
        <v>2892</v>
      </c>
      <c r="HP168" s="6" t="s">
        <v>1668</v>
      </c>
      <c r="HQ168" s="6"/>
      <c r="HR168" s="6" t="s">
        <v>1201</v>
      </c>
      <c r="HS168" s="6" t="s">
        <v>508</v>
      </c>
      <c r="HT168" s="6">
        <v>0</v>
      </c>
      <c r="HU168" s="6">
        <v>0</v>
      </c>
      <c r="HV168" s="6">
        <v>1</v>
      </c>
      <c r="HW168" s="6">
        <v>0</v>
      </c>
      <c r="HX168" s="6">
        <v>0</v>
      </c>
      <c r="HY168" s="6">
        <v>0</v>
      </c>
      <c r="HZ168" s="6"/>
      <c r="IA168" s="6" t="s">
        <v>115</v>
      </c>
      <c r="IB168" s="6">
        <v>0</v>
      </c>
      <c r="IC168" s="6">
        <v>0</v>
      </c>
      <c r="ID168" s="6">
        <v>0</v>
      </c>
      <c r="IE168" s="6">
        <v>0</v>
      </c>
      <c r="IF168" s="6">
        <v>1</v>
      </c>
      <c r="IG168" s="6">
        <v>0</v>
      </c>
      <c r="IH168" s="15" t="s">
        <v>2893</v>
      </c>
      <c r="II168" s="6" t="s">
        <v>426</v>
      </c>
      <c r="IJ168" s="6" t="s">
        <v>472</v>
      </c>
      <c r="IK168" s="6">
        <v>1</v>
      </c>
      <c r="IL168" s="6">
        <v>0</v>
      </c>
      <c r="IM168" s="6">
        <v>0</v>
      </c>
      <c r="IN168" s="6"/>
      <c r="IO168" s="6" t="s">
        <v>473</v>
      </c>
      <c r="IP168" s="6">
        <v>1</v>
      </c>
      <c r="IQ168" s="6">
        <v>0</v>
      </c>
      <c r="IR168" s="6">
        <v>0</v>
      </c>
      <c r="IS168" s="6">
        <v>0</v>
      </c>
      <c r="IT168" s="6">
        <v>0</v>
      </c>
      <c r="IU168" s="6">
        <v>0</v>
      </c>
      <c r="IV168" s="6"/>
      <c r="IW168" s="6" t="s">
        <v>453</v>
      </c>
      <c r="IX168" s="6"/>
      <c r="IY168" s="6" t="s">
        <v>510</v>
      </c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 t="s">
        <v>453</v>
      </c>
      <c r="JK168" s="6" t="s">
        <v>453</v>
      </c>
      <c r="JL168" s="6"/>
      <c r="JM168" s="6"/>
      <c r="JN168" s="6"/>
      <c r="JO168" s="6"/>
      <c r="JP168" s="6"/>
      <c r="JQ168" s="6"/>
      <c r="JR168" s="6"/>
      <c r="JS168" s="6"/>
      <c r="JT168" s="6"/>
      <c r="JU168" s="6" t="s">
        <v>477</v>
      </c>
      <c r="JV168" s="15"/>
      <c r="JW168" s="94" t="s">
        <v>2894</v>
      </c>
      <c r="JX168" s="6" t="s">
        <v>2895</v>
      </c>
      <c r="JY168" s="6">
        <v>0.8232171</v>
      </c>
      <c r="JZ168" s="6">
        <v>34.8651779</v>
      </c>
      <c r="KA168" s="6">
        <v>1761.37</v>
      </c>
      <c r="KB168" s="15">
        <v>1.958</v>
      </c>
      <c r="KC168" s="15"/>
    </row>
    <row r="169" spans="1:289">
      <c r="A169" s="6" t="s">
        <v>633</v>
      </c>
      <c r="B169" s="6" t="s">
        <v>2503</v>
      </c>
      <c r="C169" s="7" t="s">
        <v>2504</v>
      </c>
      <c r="D169" s="6" t="s">
        <v>2167</v>
      </c>
      <c r="E169" s="6" t="s">
        <v>2896</v>
      </c>
      <c r="F169" s="8" t="s">
        <v>483</v>
      </c>
      <c r="G169" s="6" t="s">
        <v>424</v>
      </c>
      <c r="H169" s="6" t="s">
        <v>2897</v>
      </c>
      <c r="I169" s="15" t="s">
        <v>2898</v>
      </c>
      <c r="J169" s="6" t="s">
        <v>426</v>
      </c>
      <c r="K169" s="6" t="s">
        <v>426</v>
      </c>
      <c r="L169" s="6" t="s">
        <v>426</v>
      </c>
      <c r="M169" s="6" t="s">
        <v>426</v>
      </c>
      <c r="N169" s="6" t="s">
        <v>426</v>
      </c>
      <c r="O169" s="6" t="s">
        <v>426</v>
      </c>
      <c r="P169" s="6" t="s">
        <v>426</v>
      </c>
      <c r="Q169" s="6" t="s">
        <v>426</v>
      </c>
      <c r="R169" s="6" t="s">
        <v>426</v>
      </c>
      <c r="S169" s="6" t="s">
        <v>426</v>
      </c>
      <c r="T169" s="6" t="s">
        <v>426</v>
      </c>
      <c r="U169" s="6" t="s">
        <v>426</v>
      </c>
      <c r="V169" s="6" t="s">
        <v>426</v>
      </c>
      <c r="W169" s="6" t="s">
        <v>426</v>
      </c>
      <c r="X169" s="6" t="s">
        <v>426</v>
      </c>
      <c r="Y169" s="6" t="s">
        <v>426</v>
      </c>
      <c r="Z169" s="6" t="s">
        <v>426</v>
      </c>
      <c r="AA169" s="6" t="s">
        <v>426</v>
      </c>
      <c r="AB169" s="6" t="s">
        <v>426</v>
      </c>
      <c r="AC169" s="15" t="s">
        <v>426</v>
      </c>
      <c r="AD169" s="6" t="s">
        <v>427</v>
      </c>
      <c r="AE169" s="6">
        <v>0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/>
      <c r="AN169" s="15"/>
      <c r="AO169" s="6" t="s">
        <v>426</v>
      </c>
      <c r="AP169" s="6" t="s">
        <v>920</v>
      </c>
      <c r="AQ169" s="6" t="s">
        <v>426</v>
      </c>
      <c r="AR169" s="6" t="s">
        <v>2899</v>
      </c>
      <c r="AS169" s="6" t="s">
        <v>426</v>
      </c>
      <c r="AT169" s="6">
        <v>0.6</v>
      </c>
      <c r="AU169" s="6" t="s">
        <v>426</v>
      </c>
      <c r="AV169" s="6">
        <v>1</v>
      </c>
      <c r="AW169" s="6" t="s">
        <v>426</v>
      </c>
      <c r="AX169" s="6">
        <v>0.6</v>
      </c>
      <c r="AY169" s="6" t="s">
        <v>426</v>
      </c>
      <c r="AZ169" s="6">
        <v>1</v>
      </c>
      <c r="BA169" s="6" t="s">
        <v>426</v>
      </c>
      <c r="BB169" s="6">
        <v>0.6</v>
      </c>
      <c r="BC169" s="6" t="s">
        <v>426</v>
      </c>
      <c r="BD169" s="6">
        <v>0.1</v>
      </c>
      <c r="BE169" s="6" t="s">
        <v>453</v>
      </c>
      <c r="BF169" s="6"/>
      <c r="BG169" s="6" t="s">
        <v>426</v>
      </c>
      <c r="BH169" s="6">
        <v>0.1</v>
      </c>
      <c r="BI169" s="6" t="s">
        <v>426</v>
      </c>
      <c r="BJ169" s="6">
        <v>0.6</v>
      </c>
      <c r="BK169" s="6" t="s">
        <v>426</v>
      </c>
      <c r="BL169" s="6">
        <v>0.6</v>
      </c>
      <c r="BM169" s="6" t="s">
        <v>426</v>
      </c>
      <c r="BN169" s="6">
        <v>20</v>
      </c>
      <c r="BO169" s="6" t="s">
        <v>426</v>
      </c>
      <c r="BP169" s="6">
        <v>0.1</v>
      </c>
      <c r="BQ169" s="6" t="s">
        <v>426</v>
      </c>
      <c r="BR169" s="6">
        <v>100</v>
      </c>
      <c r="BS169" s="6" t="s">
        <v>426</v>
      </c>
      <c r="BT169" s="6">
        <v>4</v>
      </c>
      <c r="BU169" s="6" t="s">
        <v>426</v>
      </c>
      <c r="BV169" s="15">
        <v>0.6</v>
      </c>
      <c r="BW169" s="15" t="s">
        <v>518</v>
      </c>
      <c r="BX169" s="15" t="s">
        <v>429</v>
      </c>
      <c r="BY169" s="6" t="s">
        <v>430</v>
      </c>
      <c r="BZ169" s="6" t="s">
        <v>430</v>
      </c>
      <c r="CA169" s="6" t="s">
        <v>430</v>
      </c>
      <c r="CB169" s="6" t="s">
        <v>430</v>
      </c>
      <c r="CC169" s="6" t="s">
        <v>430</v>
      </c>
      <c r="CD169" s="6" t="s">
        <v>430</v>
      </c>
      <c r="CE169" s="6" t="s">
        <v>430</v>
      </c>
      <c r="CF169" s="6" t="s">
        <v>430</v>
      </c>
      <c r="CG169" s="6" t="s">
        <v>430</v>
      </c>
      <c r="CH169" s="6" t="s">
        <v>430</v>
      </c>
      <c r="CI169" s="6" t="s">
        <v>430</v>
      </c>
      <c r="CJ169" s="6" t="s">
        <v>430</v>
      </c>
      <c r="CK169" s="6" t="s">
        <v>430</v>
      </c>
      <c r="CL169" s="6" t="s">
        <v>430</v>
      </c>
      <c r="CM169" s="6" t="s">
        <v>430</v>
      </c>
      <c r="CN169" s="6" t="s">
        <v>430</v>
      </c>
      <c r="CO169" s="15" t="s">
        <v>430</v>
      </c>
      <c r="CP169" s="15" t="s">
        <v>432</v>
      </c>
      <c r="CQ169" s="6" t="s">
        <v>686</v>
      </c>
      <c r="CR169" s="15"/>
      <c r="CS169" s="6" t="s">
        <v>426</v>
      </c>
      <c r="CT169" s="6" t="s">
        <v>1065</v>
      </c>
      <c r="CU169" s="6" t="s">
        <v>1427</v>
      </c>
      <c r="CV169" s="6" t="s">
        <v>660</v>
      </c>
      <c r="CW169" s="6" t="s">
        <v>1092</v>
      </c>
      <c r="CX169" s="15" t="s">
        <v>426</v>
      </c>
      <c r="CY169" s="6" t="s">
        <v>426</v>
      </c>
      <c r="CZ169" s="6" t="s">
        <v>1336</v>
      </c>
      <c r="DA169" s="6" t="s">
        <v>1111</v>
      </c>
      <c r="DB169" s="6" t="s">
        <v>789</v>
      </c>
      <c r="DC169" s="6" t="s">
        <v>1292</v>
      </c>
      <c r="DD169" s="15" t="s">
        <v>689</v>
      </c>
      <c r="DE169" s="15" t="s">
        <v>521</v>
      </c>
      <c r="DF169" s="6" t="s">
        <v>522</v>
      </c>
      <c r="DG169" s="6">
        <v>0</v>
      </c>
      <c r="DH169" s="6">
        <v>1</v>
      </c>
      <c r="DI169" s="6">
        <v>0</v>
      </c>
      <c r="DJ169" s="6">
        <v>0</v>
      </c>
      <c r="DK169" s="6">
        <v>0</v>
      </c>
      <c r="DL169" s="6">
        <v>0</v>
      </c>
      <c r="DM169" s="6"/>
      <c r="DN169" s="6"/>
      <c r="DO169" s="6"/>
      <c r="DP169" s="6"/>
      <c r="DQ169" s="6"/>
      <c r="DR169" s="6"/>
      <c r="DS169" s="6"/>
      <c r="DT169" s="66"/>
      <c r="DU169" s="6" t="s">
        <v>523</v>
      </c>
      <c r="DV169" s="6" t="s">
        <v>426</v>
      </c>
      <c r="DW169" s="6" t="s">
        <v>439</v>
      </c>
      <c r="DX169" s="6" t="s">
        <v>440</v>
      </c>
      <c r="DY169" s="6"/>
      <c r="DZ169" s="6" t="s">
        <v>714</v>
      </c>
      <c r="EA169" s="6">
        <v>1</v>
      </c>
      <c r="EB169" s="6">
        <v>1</v>
      </c>
      <c r="EC169" s="6">
        <v>1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/>
      <c r="EJ169" s="6" t="s">
        <v>741</v>
      </c>
      <c r="EK169" s="6">
        <v>1</v>
      </c>
      <c r="EL169" s="6">
        <v>0</v>
      </c>
      <c r="EM169" s="6">
        <v>1</v>
      </c>
      <c r="EN169" s="6">
        <v>1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/>
      <c r="EU169" s="6" t="s">
        <v>443</v>
      </c>
      <c r="EV169" s="6" t="s">
        <v>554</v>
      </c>
      <c r="EW169" s="6"/>
      <c r="EX169" s="6" t="s">
        <v>1123</v>
      </c>
      <c r="EY169" s="6">
        <v>1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/>
      <c r="FH169" s="6" t="s">
        <v>993</v>
      </c>
      <c r="FI169" s="6">
        <v>0</v>
      </c>
      <c r="FJ169" s="6">
        <v>0</v>
      </c>
      <c r="FK169" s="6">
        <v>0</v>
      </c>
      <c r="FL169" s="6">
        <v>1</v>
      </c>
      <c r="FM169" s="6">
        <v>1</v>
      </c>
      <c r="FN169" s="6">
        <v>0</v>
      </c>
      <c r="FO169" s="6">
        <v>0</v>
      </c>
      <c r="FP169" s="6">
        <v>0</v>
      </c>
      <c r="FQ169" s="6">
        <v>0</v>
      </c>
      <c r="FR169" s="6">
        <v>0</v>
      </c>
      <c r="FS169" s="6"/>
      <c r="FT169" s="6" t="s">
        <v>447</v>
      </c>
      <c r="FU169" s="6" t="s">
        <v>448</v>
      </c>
      <c r="FV169" s="6"/>
      <c r="FW169" s="6" t="s">
        <v>449</v>
      </c>
      <c r="FX169" s="15" t="s">
        <v>450</v>
      </c>
      <c r="FY169" s="6" t="s">
        <v>500</v>
      </c>
      <c r="FZ169" s="6"/>
      <c r="GA169" s="6" t="s">
        <v>450</v>
      </c>
      <c r="GB169" s="6" t="s">
        <v>501</v>
      </c>
      <c r="GC169" s="6" t="s">
        <v>453</v>
      </c>
      <c r="GD169" s="6"/>
      <c r="GE169" s="6" t="s">
        <v>454</v>
      </c>
      <c r="GF169" s="6" t="s">
        <v>2900</v>
      </c>
      <c r="GG169" s="6" t="s">
        <v>456</v>
      </c>
      <c r="GH169" s="15" t="s">
        <v>2901</v>
      </c>
      <c r="GI169" s="6" t="s">
        <v>458</v>
      </c>
      <c r="GJ169" s="6" t="s">
        <v>2902</v>
      </c>
      <c r="GK169" s="6" t="s">
        <v>460</v>
      </c>
      <c r="GL169" s="6" t="s">
        <v>461</v>
      </c>
      <c r="GM169" s="6">
        <v>0</v>
      </c>
      <c r="GN169" s="6">
        <v>0</v>
      </c>
      <c r="GO169" s="6">
        <v>0</v>
      </c>
      <c r="GP169" s="6">
        <v>0</v>
      </c>
      <c r="GQ169" s="6">
        <v>0</v>
      </c>
      <c r="GR169" s="6">
        <v>1</v>
      </c>
      <c r="GS169" s="6">
        <v>0</v>
      </c>
      <c r="GT169" s="6"/>
      <c r="GU169" s="6" t="s">
        <v>534</v>
      </c>
      <c r="GV169" s="6" t="s">
        <v>595</v>
      </c>
      <c r="GW169" s="6" t="s">
        <v>1647</v>
      </c>
      <c r="GX169" s="6">
        <v>0</v>
      </c>
      <c r="GY169" s="6">
        <v>0</v>
      </c>
      <c r="GZ169" s="6">
        <v>0</v>
      </c>
      <c r="HA169" s="6">
        <v>0</v>
      </c>
      <c r="HB169" s="6">
        <v>0</v>
      </c>
      <c r="HC169" s="6">
        <v>1</v>
      </c>
      <c r="HD169" s="6" t="s">
        <v>1102</v>
      </c>
      <c r="HE169" s="6" t="s">
        <v>722</v>
      </c>
      <c r="HF169" s="6">
        <v>1</v>
      </c>
      <c r="HG169" s="6">
        <v>1</v>
      </c>
      <c r="HH169" s="6">
        <v>1</v>
      </c>
      <c r="HI169" s="6">
        <v>0</v>
      </c>
      <c r="HJ169" s="6">
        <v>0</v>
      </c>
      <c r="HK169" s="6">
        <v>0</v>
      </c>
      <c r="HL169" s="15"/>
      <c r="HM169" s="6" t="s">
        <v>505</v>
      </c>
      <c r="HN169" s="6"/>
      <c r="HO169" s="6" t="s">
        <v>2903</v>
      </c>
      <c r="HP169" s="6" t="s">
        <v>468</v>
      </c>
      <c r="HQ169" s="6"/>
      <c r="HR169" s="6" t="s">
        <v>2667</v>
      </c>
      <c r="HS169" s="6" t="s">
        <v>508</v>
      </c>
      <c r="HT169" s="6">
        <v>0</v>
      </c>
      <c r="HU169" s="6">
        <v>0</v>
      </c>
      <c r="HV169" s="6">
        <v>1</v>
      </c>
      <c r="HW169" s="6">
        <v>0</v>
      </c>
      <c r="HX169" s="6">
        <v>0</v>
      </c>
      <c r="HY169" s="6">
        <v>0</v>
      </c>
      <c r="HZ169" s="6"/>
      <c r="IA169" s="6" t="s">
        <v>1105</v>
      </c>
      <c r="IB169" s="6">
        <v>1</v>
      </c>
      <c r="IC169" s="6">
        <v>1</v>
      </c>
      <c r="ID169" s="6">
        <v>0</v>
      </c>
      <c r="IE169" s="6">
        <v>0</v>
      </c>
      <c r="IF169" s="6">
        <v>0</v>
      </c>
      <c r="IG169" s="6">
        <v>0</v>
      </c>
      <c r="IH169" s="15" t="s">
        <v>2904</v>
      </c>
      <c r="II169" s="6" t="s">
        <v>426</v>
      </c>
      <c r="IJ169" s="6" t="s">
        <v>472</v>
      </c>
      <c r="IK169" s="6">
        <v>1</v>
      </c>
      <c r="IL169" s="6">
        <v>0</v>
      </c>
      <c r="IM169" s="6">
        <v>0</v>
      </c>
      <c r="IN169" s="6"/>
      <c r="IO169" s="6" t="s">
        <v>473</v>
      </c>
      <c r="IP169" s="6">
        <v>1</v>
      </c>
      <c r="IQ169" s="6">
        <v>0</v>
      </c>
      <c r="IR169" s="6">
        <v>0</v>
      </c>
      <c r="IS169" s="6">
        <v>0</v>
      </c>
      <c r="IT169" s="6">
        <v>0</v>
      </c>
      <c r="IU169" s="6">
        <v>0</v>
      </c>
      <c r="IV169" s="6"/>
      <c r="IW169" s="6" t="s">
        <v>426</v>
      </c>
      <c r="IX169" s="6">
        <v>1</v>
      </c>
      <c r="IY169" s="6" t="s">
        <v>474</v>
      </c>
      <c r="IZ169" s="6" t="s">
        <v>475</v>
      </c>
      <c r="JA169" s="6" t="s">
        <v>426</v>
      </c>
      <c r="JB169" s="6" t="s">
        <v>476</v>
      </c>
      <c r="JC169" s="6"/>
      <c r="JD169" s="6"/>
      <c r="JE169" s="6"/>
      <c r="JF169" s="6"/>
      <c r="JG169" s="6"/>
      <c r="JH169" s="6"/>
      <c r="JI169" s="6"/>
      <c r="JJ169" s="6"/>
      <c r="JK169" s="6" t="s">
        <v>453</v>
      </c>
      <c r="JL169" s="6"/>
      <c r="JM169" s="6"/>
      <c r="JN169" s="6"/>
      <c r="JO169" s="6"/>
      <c r="JP169" s="6"/>
      <c r="JQ169" s="6"/>
      <c r="JR169" s="6"/>
      <c r="JS169" s="6"/>
      <c r="JT169" s="6"/>
      <c r="JU169" s="6" t="s">
        <v>477</v>
      </c>
      <c r="JV169" s="15"/>
      <c r="JW169" s="94" t="s">
        <v>2905</v>
      </c>
      <c r="JX169" s="6" t="s">
        <v>2906</v>
      </c>
      <c r="JY169" s="6">
        <v>0.8233424</v>
      </c>
      <c r="JZ169" s="6">
        <v>34.8649141</v>
      </c>
      <c r="KA169" s="6">
        <v>1716</v>
      </c>
      <c r="KB169" s="15">
        <v>4.6</v>
      </c>
      <c r="KC169" s="15"/>
    </row>
    <row r="170" spans="1:289">
      <c r="A170" s="6" t="s">
        <v>581</v>
      </c>
      <c r="B170" s="6" t="s">
        <v>2503</v>
      </c>
      <c r="C170" s="7" t="s">
        <v>2504</v>
      </c>
      <c r="D170" s="6" t="s">
        <v>2599</v>
      </c>
      <c r="E170" s="6" t="s">
        <v>2907</v>
      </c>
      <c r="F170" s="8" t="s">
        <v>483</v>
      </c>
      <c r="G170" s="6" t="s">
        <v>424</v>
      </c>
      <c r="H170" s="6" t="s">
        <v>425</v>
      </c>
      <c r="I170" s="15"/>
      <c r="J170" s="6" t="s">
        <v>426</v>
      </c>
      <c r="K170" s="6" t="s">
        <v>426</v>
      </c>
      <c r="L170" s="6" t="s">
        <v>426</v>
      </c>
      <c r="M170" s="6" t="s">
        <v>426</v>
      </c>
      <c r="N170" s="6" t="s">
        <v>426</v>
      </c>
      <c r="O170" s="6" t="s">
        <v>426</v>
      </c>
      <c r="P170" s="6" t="s">
        <v>426</v>
      </c>
      <c r="Q170" s="6" t="s">
        <v>426</v>
      </c>
      <c r="R170" s="6" t="s">
        <v>426</v>
      </c>
      <c r="S170" s="6" t="s">
        <v>426</v>
      </c>
      <c r="T170" s="6" t="s">
        <v>426</v>
      </c>
      <c r="U170" s="6" t="s">
        <v>426</v>
      </c>
      <c r="V170" s="6" t="s">
        <v>426</v>
      </c>
      <c r="W170" s="6" t="s">
        <v>426</v>
      </c>
      <c r="X170" s="6" t="s">
        <v>426</v>
      </c>
      <c r="Y170" s="6" t="s">
        <v>426</v>
      </c>
      <c r="Z170" s="6" t="s">
        <v>426</v>
      </c>
      <c r="AA170" s="6" t="s">
        <v>426</v>
      </c>
      <c r="AB170" s="6" t="s">
        <v>426</v>
      </c>
      <c r="AC170" s="15" t="s">
        <v>426</v>
      </c>
      <c r="AD170" s="6" t="s">
        <v>427</v>
      </c>
      <c r="AE170" s="6">
        <v>0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0</v>
      </c>
      <c r="AL170" s="6">
        <v>0</v>
      </c>
      <c r="AM170" s="6"/>
      <c r="AN170" s="15"/>
      <c r="AO170" s="6" t="s">
        <v>426</v>
      </c>
      <c r="AP170" s="6" t="s">
        <v>805</v>
      </c>
      <c r="AQ170" s="6" t="s">
        <v>426</v>
      </c>
      <c r="AR170" s="6" t="s">
        <v>823</v>
      </c>
      <c r="AS170" s="6" t="s">
        <v>426</v>
      </c>
      <c r="AT170" s="6">
        <v>0.4</v>
      </c>
      <c r="AU170" s="6" t="s">
        <v>453</v>
      </c>
      <c r="AV170" s="6"/>
      <c r="AW170" s="6" t="s">
        <v>426</v>
      </c>
      <c r="AX170" s="6">
        <v>0.2</v>
      </c>
      <c r="AY170" s="6" t="s">
        <v>426</v>
      </c>
      <c r="AZ170" s="6">
        <v>1</v>
      </c>
      <c r="BA170" s="6" t="s">
        <v>426</v>
      </c>
      <c r="BB170" s="6">
        <v>0.2</v>
      </c>
      <c r="BC170" s="6" t="s">
        <v>426</v>
      </c>
      <c r="BD170" s="6">
        <v>0.3</v>
      </c>
      <c r="BE170" s="6" t="s">
        <v>426</v>
      </c>
      <c r="BF170" s="6">
        <v>10</v>
      </c>
      <c r="BG170" s="6" t="s">
        <v>426</v>
      </c>
      <c r="BH170" s="6">
        <v>0.2</v>
      </c>
      <c r="BI170" s="6" t="s">
        <v>426</v>
      </c>
      <c r="BJ170" s="6">
        <v>0.2</v>
      </c>
      <c r="BK170" s="6" t="s">
        <v>426</v>
      </c>
      <c r="BL170" s="6">
        <v>0.2</v>
      </c>
      <c r="BM170" s="6" t="s">
        <v>426</v>
      </c>
      <c r="BN170" s="6">
        <v>20</v>
      </c>
      <c r="BO170" s="6" t="s">
        <v>426</v>
      </c>
      <c r="BP170" s="6">
        <v>0.3</v>
      </c>
      <c r="BQ170" s="6" t="s">
        <v>426</v>
      </c>
      <c r="BR170" s="6">
        <v>100</v>
      </c>
      <c r="BS170" s="6" t="s">
        <v>426</v>
      </c>
      <c r="BT170" s="6">
        <v>10</v>
      </c>
      <c r="BU170" s="6" t="s">
        <v>426</v>
      </c>
      <c r="BV170" s="15">
        <v>0.1</v>
      </c>
      <c r="BW170" s="15" t="s">
        <v>518</v>
      </c>
      <c r="BX170" s="15" t="s">
        <v>429</v>
      </c>
      <c r="BY170" s="6" t="s">
        <v>430</v>
      </c>
      <c r="BZ170" s="6" t="s">
        <v>430</v>
      </c>
      <c r="CA170" s="6" t="s">
        <v>430</v>
      </c>
      <c r="CB170" s="6" t="s">
        <v>430</v>
      </c>
      <c r="CC170" s="6" t="s">
        <v>430</v>
      </c>
      <c r="CD170" s="6" t="s">
        <v>430</v>
      </c>
      <c r="CE170" s="6" t="s">
        <v>430</v>
      </c>
      <c r="CF170" s="6" t="s">
        <v>430</v>
      </c>
      <c r="CG170" s="6" t="s">
        <v>430</v>
      </c>
      <c r="CH170" s="6" t="s">
        <v>430</v>
      </c>
      <c r="CI170" s="6" t="s">
        <v>430</v>
      </c>
      <c r="CJ170" s="6" t="s">
        <v>430</v>
      </c>
      <c r="CK170" s="6" t="s">
        <v>430</v>
      </c>
      <c r="CL170" s="6" t="s">
        <v>430</v>
      </c>
      <c r="CM170" s="6" t="s">
        <v>430</v>
      </c>
      <c r="CN170" s="6" t="s">
        <v>430</v>
      </c>
      <c r="CO170" s="15" t="s">
        <v>430</v>
      </c>
      <c r="CP170" s="15" t="s">
        <v>432</v>
      </c>
      <c r="CQ170" s="6" t="s">
        <v>433</v>
      </c>
      <c r="CR170" s="15"/>
      <c r="CS170" s="6" t="s">
        <v>453</v>
      </c>
      <c r="CT170" s="6"/>
      <c r="CU170" s="6"/>
      <c r="CV170" s="6"/>
      <c r="CW170" s="6"/>
      <c r="CX170" s="15" t="s">
        <v>426</v>
      </c>
      <c r="CY170" s="6" t="s">
        <v>426</v>
      </c>
      <c r="CZ170" s="6" t="s">
        <v>2737</v>
      </c>
      <c r="DA170" s="6" t="s">
        <v>906</v>
      </c>
      <c r="DB170" s="6" t="s">
        <v>660</v>
      </c>
      <c r="DC170" s="6" t="s">
        <v>1538</v>
      </c>
      <c r="DD170" s="15" t="s">
        <v>2908</v>
      </c>
      <c r="DE170" s="15" t="s">
        <v>436</v>
      </c>
      <c r="DF170" s="6" t="s">
        <v>2909</v>
      </c>
      <c r="DG170" s="6">
        <v>1</v>
      </c>
      <c r="DH170" s="6">
        <v>1</v>
      </c>
      <c r="DI170" s="6">
        <v>1</v>
      </c>
      <c r="DJ170" s="6">
        <v>1</v>
      </c>
      <c r="DK170" s="6">
        <v>0</v>
      </c>
      <c r="DL170" s="6">
        <v>0</v>
      </c>
      <c r="DM170" s="6"/>
      <c r="DN170" s="6"/>
      <c r="DO170" s="6"/>
      <c r="DP170" s="6"/>
      <c r="DQ170" s="6"/>
      <c r="DR170" s="6"/>
      <c r="DS170" s="6"/>
      <c r="DT170" s="66"/>
      <c r="DU170" s="6" t="s">
        <v>438</v>
      </c>
      <c r="DV170" s="6" t="s">
        <v>426</v>
      </c>
      <c r="DW170" s="6" t="s">
        <v>439</v>
      </c>
      <c r="DX170" s="6" t="s">
        <v>440</v>
      </c>
      <c r="DY170" s="6"/>
      <c r="DZ170" s="6" t="s">
        <v>586</v>
      </c>
      <c r="EA170" s="6">
        <v>1</v>
      </c>
      <c r="EB170" s="6">
        <v>1</v>
      </c>
      <c r="EC170" s="6">
        <v>1</v>
      </c>
      <c r="ED170" s="6">
        <v>1</v>
      </c>
      <c r="EE170" s="6">
        <v>1</v>
      </c>
      <c r="EF170" s="6">
        <v>1</v>
      </c>
      <c r="EG170" s="6">
        <v>0</v>
      </c>
      <c r="EH170" s="6">
        <v>0</v>
      </c>
      <c r="EI170" s="6"/>
      <c r="EJ170" s="6" t="s">
        <v>2910</v>
      </c>
      <c r="EK170" s="6">
        <v>1</v>
      </c>
      <c r="EL170" s="6">
        <v>1</v>
      </c>
      <c r="EM170" s="6">
        <v>1</v>
      </c>
      <c r="EN170" s="6">
        <v>1</v>
      </c>
      <c r="EO170" s="6">
        <v>1</v>
      </c>
      <c r="EP170" s="6">
        <v>1</v>
      </c>
      <c r="EQ170" s="6">
        <v>1</v>
      </c>
      <c r="ER170" s="6">
        <v>0</v>
      </c>
      <c r="ES170" s="6">
        <v>0</v>
      </c>
      <c r="ET170" s="6"/>
      <c r="EU170" s="6" t="s">
        <v>443</v>
      </c>
      <c r="EV170" s="6" t="s">
        <v>588</v>
      </c>
      <c r="EW170" s="6"/>
      <c r="EX170" s="6" t="s">
        <v>1051</v>
      </c>
      <c r="EY170" s="6">
        <v>1</v>
      </c>
      <c r="EZ170" s="6">
        <v>1</v>
      </c>
      <c r="FA170" s="6">
        <v>1</v>
      </c>
      <c r="FB170" s="6">
        <v>1</v>
      </c>
      <c r="FC170" s="6">
        <v>1</v>
      </c>
      <c r="FD170" s="6">
        <v>0</v>
      </c>
      <c r="FE170" s="6">
        <v>0</v>
      </c>
      <c r="FF170" s="6">
        <v>0</v>
      </c>
      <c r="FG170" s="6"/>
      <c r="FH170" s="6" t="s">
        <v>1174</v>
      </c>
      <c r="FI170" s="6">
        <v>1</v>
      </c>
      <c r="FJ170" s="6">
        <v>0</v>
      </c>
      <c r="FK170" s="6">
        <v>1</v>
      </c>
      <c r="FL170" s="6">
        <v>1</v>
      </c>
      <c r="FM170" s="6">
        <v>0</v>
      </c>
      <c r="FN170" s="6">
        <v>1</v>
      </c>
      <c r="FO170" s="6">
        <v>0</v>
      </c>
      <c r="FP170" s="6">
        <v>0</v>
      </c>
      <c r="FQ170" s="6">
        <v>0</v>
      </c>
      <c r="FR170" s="6">
        <v>0</v>
      </c>
      <c r="FS170" s="6"/>
      <c r="FT170" s="6" t="s">
        <v>556</v>
      </c>
      <c r="FU170" s="6" t="s">
        <v>448</v>
      </c>
      <c r="FV170" s="6"/>
      <c r="FW170" s="6" t="s">
        <v>449</v>
      </c>
      <c r="FX170" s="15" t="s">
        <v>450</v>
      </c>
      <c r="FY170" s="6" t="s">
        <v>619</v>
      </c>
      <c r="FZ170" s="6"/>
      <c r="GA170" s="6" t="s">
        <v>450</v>
      </c>
      <c r="GB170" s="6" t="s">
        <v>501</v>
      </c>
      <c r="GC170" s="6" t="s">
        <v>453</v>
      </c>
      <c r="GD170" s="6"/>
      <c r="GE170" s="6" t="s">
        <v>454</v>
      </c>
      <c r="GF170" s="6" t="s">
        <v>2911</v>
      </c>
      <c r="GG170" s="6" t="s">
        <v>456</v>
      </c>
      <c r="GH170" s="15" t="s">
        <v>2912</v>
      </c>
      <c r="GI170" s="6" t="s">
        <v>458</v>
      </c>
      <c r="GJ170" s="6" t="s">
        <v>2913</v>
      </c>
      <c r="GK170" s="6" t="s">
        <v>460</v>
      </c>
      <c r="GL170" s="6" t="s">
        <v>461</v>
      </c>
      <c r="GM170" s="6">
        <v>0</v>
      </c>
      <c r="GN170" s="6">
        <v>0</v>
      </c>
      <c r="GO170" s="6">
        <v>0</v>
      </c>
      <c r="GP170" s="6">
        <v>0</v>
      </c>
      <c r="GQ170" s="6">
        <v>0</v>
      </c>
      <c r="GR170" s="6">
        <v>1</v>
      </c>
      <c r="GS170" s="6">
        <v>0</v>
      </c>
      <c r="GT170" s="6"/>
      <c r="GU170" s="6" t="s">
        <v>534</v>
      </c>
      <c r="GV170" s="6" t="s">
        <v>595</v>
      </c>
      <c r="GW170" s="6" t="s">
        <v>464</v>
      </c>
      <c r="GX170" s="6">
        <v>1</v>
      </c>
      <c r="GY170" s="6">
        <v>0</v>
      </c>
      <c r="GZ170" s="6">
        <v>0</v>
      </c>
      <c r="HA170" s="6">
        <v>0</v>
      </c>
      <c r="HB170" s="6">
        <v>0</v>
      </c>
      <c r="HC170" s="6">
        <v>0</v>
      </c>
      <c r="HD170" s="6"/>
      <c r="HE170" s="6" t="s">
        <v>2914</v>
      </c>
      <c r="HF170" s="6">
        <v>1</v>
      </c>
      <c r="HG170" s="6">
        <v>1</v>
      </c>
      <c r="HH170" s="6">
        <v>1</v>
      </c>
      <c r="HI170" s="6">
        <v>1</v>
      </c>
      <c r="HJ170" s="6">
        <v>0</v>
      </c>
      <c r="HK170" s="6">
        <v>0</v>
      </c>
      <c r="HL170" s="15"/>
      <c r="HM170" s="6" t="s">
        <v>505</v>
      </c>
      <c r="HN170" s="6"/>
      <c r="HO170" s="6" t="s">
        <v>2915</v>
      </c>
      <c r="HP170" s="6" t="s">
        <v>537</v>
      </c>
      <c r="HQ170" s="6" t="s">
        <v>2916</v>
      </c>
      <c r="HR170" s="6" t="s">
        <v>2917</v>
      </c>
      <c r="HS170" s="6" t="s">
        <v>1315</v>
      </c>
      <c r="HT170" s="6">
        <v>0</v>
      </c>
      <c r="HU170" s="6">
        <v>0</v>
      </c>
      <c r="HV170" s="6">
        <v>1</v>
      </c>
      <c r="HW170" s="6">
        <v>0</v>
      </c>
      <c r="HX170" s="6">
        <v>1</v>
      </c>
      <c r="HY170" s="6">
        <v>1</v>
      </c>
      <c r="HZ170" s="6"/>
      <c r="IA170" s="6" t="s">
        <v>798</v>
      </c>
      <c r="IB170" s="6">
        <v>1</v>
      </c>
      <c r="IC170" s="6">
        <v>1</v>
      </c>
      <c r="ID170" s="6">
        <v>1</v>
      </c>
      <c r="IE170" s="6">
        <v>1</v>
      </c>
      <c r="IF170" s="6">
        <v>1</v>
      </c>
      <c r="IG170" s="6">
        <v>0</v>
      </c>
      <c r="IH170" s="15" t="s">
        <v>2918</v>
      </c>
      <c r="II170" s="6" t="s">
        <v>426</v>
      </c>
      <c r="IJ170" s="6" t="s">
        <v>602</v>
      </c>
      <c r="IK170" s="6">
        <v>1</v>
      </c>
      <c r="IL170" s="6">
        <v>1</v>
      </c>
      <c r="IM170" s="6">
        <v>0</v>
      </c>
      <c r="IN170" s="6"/>
      <c r="IO170" s="6" t="s">
        <v>893</v>
      </c>
      <c r="IP170" s="6">
        <v>1</v>
      </c>
      <c r="IQ170" s="6">
        <v>0</v>
      </c>
      <c r="IR170" s="6">
        <v>0</v>
      </c>
      <c r="IS170" s="6">
        <v>1</v>
      </c>
      <c r="IT170" s="6">
        <v>0</v>
      </c>
      <c r="IU170" s="6">
        <v>0</v>
      </c>
      <c r="IV170" s="6"/>
      <c r="IW170" s="6" t="s">
        <v>426</v>
      </c>
      <c r="IX170" s="6">
        <v>1</v>
      </c>
      <c r="IY170" s="6" t="s">
        <v>474</v>
      </c>
      <c r="IZ170" s="6" t="s">
        <v>475</v>
      </c>
      <c r="JA170" s="6" t="s">
        <v>426</v>
      </c>
      <c r="JB170" s="6" t="s">
        <v>476</v>
      </c>
      <c r="JC170" s="6"/>
      <c r="JD170" s="6"/>
      <c r="JE170" s="6"/>
      <c r="JF170" s="6"/>
      <c r="JG170" s="6"/>
      <c r="JH170" s="6"/>
      <c r="JI170" s="6"/>
      <c r="JJ170" s="6"/>
      <c r="JK170" s="6" t="s">
        <v>426</v>
      </c>
      <c r="JL170" s="6" t="s">
        <v>426</v>
      </c>
      <c r="JM170" s="6"/>
      <c r="JN170" s="6"/>
      <c r="JO170" s="6"/>
      <c r="JP170" s="6"/>
      <c r="JQ170" s="6"/>
      <c r="JR170" s="6"/>
      <c r="JS170" s="6"/>
      <c r="JT170" s="6"/>
      <c r="JU170" s="6" t="s">
        <v>895</v>
      </c>
      <c r="JV170" s="15" t="s">
        <v>1184</v>
      </c>
      <c r="JW170" s="94" t="s">
        <v>2919</v>
      </c>
      <c r="JX170" s="6" t="s">
        <v>2920</v>
      </c>
      <c r="JY170" s="6">
        <v>0.8316877</v>
      </c>
      <c r="JZ170" s="6">
        <v>34.8652528</v>
      </c>
      <c r="KA170" s="6">
        <v>1755.5</v>
      </c>
      <c r="KB170" s="15">
        <v>4.933</v>
      </c>
      <c r="KC170" s="15"/>
    </row>
    <row r="171" spans="1:289">
      <c r="A171" s="6" t="s">
        <v>514</v>
      </c>
      <c r="B171" s="6" t="s">
        <v>2503</v>
      </c>
      <c r="C171" s="7" t="s">
        <v>2504</v>
      </c>
      <c r="D171" s="6" t="s">
        <v>2167</v>
      </c>
      <c r="E171" s="6" t="s">
        <v>2921</v>
      </c>
      <c r="F171" s="8" t="s">
        <v>483</v>
      </c>
      <c r="G171" s="6" t="s">
        <v>567</v>
      </c>
      <c r="H171" s="6" t="s">
        <v>517</v>
      </c>
      <c r="I171" s="15"/>
      <c r="J171" s="6" t="s">
        <v>426</v>
      </c>
      <c r="K171" s="6" t="s">
        <v>426</v>
      </c>
      <c r="L171" s="6" t="s">
        <v>426</v>
      </c>
      <c r="M171" s="6" t="s">
        <v>426</v>
      </c>
      <c r="N171" s="6" t="s">
        <v>426</v>
      </c>
      <c r="O171" s="6" t="s">
        <v>426</v>
      </c>
      <c r="P171" s="6" t="s">
        <v>426</v>
      </c>
      <c r="Q171" s="6" t="s">
        <v>426</v>
      </c>
      <c r="R171" s="6" t="s">
        <v>426</v>
      </c>
      <c r="S171" s="6" t="s">
        <v>426</v>
      </c>
      <c r="T171" s="6" t="s">
        <v>426</v>
      </c>
      <c r="U171" s="6" t="s">
        <v>426</v>
      </c>
      <c r="V171" s="6" t="s">
        <v>426</v>
      </c>
      <c r="W171" s="6" t="s">
        <v>426</v>
      </c>
      <c r="X171" s="6" t="s">
        <v>426</v>
      </c>
      <c r="Y171" s="6" t="s">
        <v>426</v>
      </c>
      <c r="Z171" s="6" t="s">
        <v>426</v>
      </c>
      <c r="AA171" s="6" t="s">
        <v>426</v>
      </c>
      <c r="AB171" s="6" t="s">
        <v>426</v>
      </c>
      <c r="AC171" s="15" t="s">
        <v>426</v>
      </c>
      <c r="AD171" s="6" t="s">
        <v>427</v>
      </c>
      <c r="AE171" s="6">
        <v>0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0</v>
      </c>
      <c r="AL171" s="6">
        <v>0</v>
      </c>
      <c r="AM171" s="6"/>
      <c r="AN171" s="15"/>
      <c r="AO171" s="6" t="s">
        <v>426</v>
      </c>
      <c r="AP171" s="6" t="s">
        <v>1188</v>
      </c>
      <c r="AQ171" s="6" t="s">
        <v>426</v>
      </c>
      <c r="AR171" s="6" t="s">
        <v>805</v>
      </c>
      <c r="AS171" s="6" t="s">
        <v>426</v>
      </c>
      <c r="AT171" s="6">
        <v>4</v>
      </c>
      <c r="AU171" s="6" t="s">
        <v>426</v>
      </c>
      <c r="AV171" s="6">
        <v>2</v>
      </c>
      <c r="AW171" s="6" t="s">
        <v>426</v>
      </c>
      <c r="AX171" s="6">
        <v>3</v>
      </c>
      <c r="AY171" s="6" t="s">
        <v>426</v>
      </c>
      <c r="AZ171" s="6">
        <v>1</v>
      </c>
      <c r="BA171" s="6" t="s">
        <v>426</v>
      </c>
      <c r="BB171" s="6">
        <v>0.5</v>
      </c>
      <c r="BC171" s="6" t="s">
        <v>426</v>
      </c>
      <c r="BD171" s="6">
        <v>1</v>
      </c>
      <c r="BE171" s="6" t="s">
        <v>426</v>
      </c>
      <c r="BF171" s="6">
        <v>20</v>
      </c>
      <c r="BG171" s="6" t="s">
        <v>426</v>
      </c>
      <c r="BH171" s="6">
        <v>4</v>
      </c>
      <c r="BI171" s="6" t="s">
        <v>426</v>
      </c>
      <c r="BJ171" s="6">
        <v>4</v>
      </c>
      <c r="BK171" s="6" t="s">
        <v>426</v>
      </c>
      <c r="BL171" s="6">
        <v>4</v>
      </c>
      <c r="BM171" s="6" t="s">
        <v>426</v>
      </c>
      <c r="BN171" s="6">
        <v>5</v>
      </c>
      <c r="BO171" s="6" t="s">
        <v>426</v>
      </c>
      <c r="BP171" s="6">
        <v>3</v>
      </c>
      <c r="BQ171" s="6" t="s">
        <v>426</v>
      </c>
      <c r="BR171" s="6">
        <v>200</v>
      </c>
      <c r="BS171" s="6" t="s">
        <v>426</v>
      </c>
      <c r="BT171" s="6">
        <v>7</v>
      </c>
      <c r="BU171" s="6" t="s">
        <v>426</v>
      </c>
      <c r="BV171" s="15">
        <v>5</v>
      </c>
      <c r="BW171" s="15" t="s">
        <v>518</v>
      </c>
      <c r="BX171" s="15" t="s">
        <v>429</v>
      </c>
      <c r="BY171" s="6" t="s">
        <v>430</v>
      </c>
      <c r="BZ171" s="6" t="s">
        <v>430</v>
      </c>
      <c r="CA171" s="6" t="s">
        <v>430</v>
      </c>
      <c r="CB171" s="6" t="s">
        <v>430</v>
      </c>
      <c r="CC171" s="6" t="s">
        <v>430</v>
      </c>
      <c r="CD171" s="6" t="s">
        <v>430</v>
      </c>
      <c r="CE171" s="6" t="s">
        <v>430</v>
      </c>
      <c r="CF171" s="6" t="s">
        <v>430</v>
      </c>
      <c r="CG171" s="6" t="s">
        <v>430</v>
      </c>
      <c r="CH171" s="6" t="s">
        <v>430</v>
      </c>
      <c r="CI171" s="6" t="s">
        <v>430</v>
      </c>
      <c r="CJ171" s="6" t="s">
        <v>430</v>
      </c>
      <c r="CK171" s="6" t="s">
        <v>430</v>
      </c>
      <c r="CL171" s="6" t="s">
        <v>430</v>
      </c>
      <c r="CM171" s="6" t="s">
        <v>430</v>
      </c>
      <c r="CN171" s="6" t="s">
        <v>430</v>
      </c>
      <c r="CO171" s="15" t="s">
        <v>430</v>
      </c>
      <c r="CP171" s="15" t="s">
        <v>432</v>
      </c>
      <c r="CQ171" s="6" t="s">
        <v>433</v>
      </c>
      <c r="CR171" s="15"/>
      <c r="CS171" s="6" t="s">
        <v>426</v>
      </c>
      <c r="CT171" s="6" t="s">
        <v>2922</v>
      </c>
      <c r="CU171" s="6" t="s">
        <v>845</v>
      </c>
      <c r="CV171" s="6" t="s">
        <v>1380</v>
      </c>
      <c r="CW171" s="6" t="s">
        <v>1582</v>
      </c>
      <c r="CX171" s="15" t="s">
        <v>426</v>
      </c>
      <c r="CY171" s="6" t="s">
        <v>426</v>
      </c>
      <c r="CZ171" s="6" t="s">
        <v>2923</v>
      </c>
      <c r="DA171" s="6" t="s">
        <v>1291</v>
      </c>
      <c r="DB171" s="6" t="s">
        <v>1678</v>
      </c>
      <c r="DC171" s="6" t="s">
        <v>2059</v>
      </c>
      <c r="DD171" s="15" t="s">
        <v>2924</v>
      </c>
      <c r="DE171" s="15" t="s">
        <v>436</v>
      </c>
      <c r="DF171" s="6" t="s">
        <v>522</v>
      </c>
      <c r="DG171" s="6">
        <v>0</v>
      </c>
      <c r="DH171" s="6">
        <v>1</v>
      </c>
      <c r="DI171" s="6">
        <v>0</v>
      </c>
      <c r="DJ171" s="6">
        <v>0</v>
      </c>
      <c r="DK171" s="6">
        <v>0</v>
      </c>
      <c r="DL171" s="6">
        <v>0</v>
      </c>
      <c r="DM171" s="6"/>
      <c r="DN171" s="6"/>
      <c r="DO171" s="6"/>
      <c r="DP171" s="6"/>
      <c r="DQ171" s="6"/>
      <c r="DR171" s="6"/>
      <c r="DS171" s="6"/>
      <c r="DT171" s="66"/>
      <c r="DU171" s="6" t="s">
        <v>438</v>
      </c>
      <c r="DV171" s="6" t="s">
        <v>426</v>
      </c>
      <c r="DW171" s="6" t="s">
        <v>439</v>
      </c>
      <c r="DX171" s="6" t="s">
        <v>440</v>
      </c>
      <c r="DY171" s="6"/>
      <c r="DZ171" s="6" t="s">
        <v>2925</v>
      </c>
      <c r="EA171" s="6">
        <v>0</v>
      </c>
      <c r="EB171" s="6">
        <v>1</v>
      </c>
      <c r="EC171" s="6">
        <v>1</v>
      </c>
      <c r="ED171" s="6">
        <v>1</v>
      </c>
      <c r="EE171" s="6">
        <v>0</v>
      </c>
      <c r="EF171" s="6">
        <v>0</v>
      </c>
      <c r="EG171" s="6">
        <v>0</v>
      </c>
      <c r="EH171" s="6">
        <v>0</v>
      </c>
      <c r="EI171" s="6"/>
      <c r="EJ171" s="6" t="s">
        <v>2926</v>
      </c>
      <c r="EK171" s="6">
        <v>0</v>
      </c>
      <c r="EL171" s="6">
        <v>0</v>
      </c>
      <c r="EM171" s="6">
        <v>1</v>
      </c>
      <c r="EN171" s="6">
        <v>1</v>
      </c>
      <c r="EO171" s="6">
        <v>0</v>
      </c>
      <c r="EP171" s="6">
        <v>1</v>
      </c>
      <c r="EQ171" s="6">
        <v>0</v>
      </c>
      <c r="ER171" s="6">
        <v>0</v>
      </c>
      <c r="ES171" s="6">
        <v>0</v>
      </c>
      <c r="ET171" s="6"/>
      <c r="EU171" s="6" t="s">
        <v>443</v>
      </c>
      <c r="EV171" s="6" t="s">
        <v>495</v>
      </c>
      <c r="EW171" s="6"/>
      <c r="EX171" s="6" t="s">
        <v>669</v>
      </c>
      <c r="EY171" s="6">
        <v>0</v>
      </c>
      <c r="EZ171" s="6">
        <v>1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/>
      <c r="FH171" s="6" t="s">
        <v>555</v>
      </c>
      <c r="FI171" s="6">
        <v>0</v>
      </c>
      <c r="FJ171" s="6">
        <v>0</v>
      </c>
      <c r="FK171" s="6">
        <v>0</v>
      </c>
      <c r="FL171" s="6">
        <v>0</v>
      </c>
      <c r="FM171" s="6">
        <v>0</v>
      </c>
      <c r="FN171" s="6">
        <v>0</v>
      </c>
      <c r="FO171" s="6">
        <v>0</v>
      </c>
      <c r="FP171" s="6">
        <v>0</v>
      </c>
      <c r="FQ171" s="6">
        <v>1</v>
      </c>
      <c r="FR171" s="6">
        <v>0</v>
      </c>
      <c r="FS171" s="6"/>
      <c r="FT171" s="6" t="s">
        <v>447</v>
      </c>
      <c r="FU171" s="6" t="s">
        <v>499</v>
      </c>
      <c r="FV171" s="6"/>
      <c r="FW171" s="6" t="s">
        <v>449</v>
      </c>
      <c r="FX171" s="15" t="s">
        <v>450</v>
      </c>
      <c r="FY171" s="6" t="s">
        <v>500</v>
      </c>
      <c r="FZ171" s="6"/>
      <c r="GA171" s="6" t="s">
        <v>450</v>
      </c>
      <c r="GB171" s="6" t="s">
        <v>501</v>
      </c>
      <c r="GC171" s="6" t="s">
        <v>453</v>
      </c>
      <c r="GD171" s="6"/>
      <c r="GE171" s="6" t="s">
        <v>454</v>
      </c>
      <c r="GF171" s="6" t="s">
        <v>593</v>
      </c>
      <c r="GG171" s="6" t="s">
        <v>456</v>
      </c>
      <c r="GH171" s="15" t="s">
        <v>1984</v>
      </c>
      <c r="GI171" s="6" t="s">
        <v>458</v>
      </c>
      <c r="GJ171" s="6" t="s">
        <v>2927</v>
      </c>
      <c r="GK171" s="6" t="s">
        <v>460</v>
      </c>
      <c r="GL171" s="6" t="s">
        <v>720</v>
      </c>
      <c r="GM171" s="6">
        <v>1</v>
      </c>
      <c r="GN171" s="6">
        <v>0</v>
      </c>
      <c r="GO171" s="6">
        <v>0</v>
      </c>
      <c r="GP171" s="6">
        <v>0</v>
      </c>
      <c r="GQ171" s="6">
        <v>0</v>
      </c>
      <c r="GR171" s="6">
        <v>0</v>
      </c>
      <c r="GS171" s="6">
        <v>0</v>
      </c>
      <c r="GT171" s="6"/>
      <c r="GU171" s="6" t="s">
        <v>534</v>
      </c>
      <c r="GV171" s="6" t="s">
        <v>595</v>
      </c>
      <c r="GW171" s="6" t="s">
        <v>464</v>
      </c>
      <c r="GX171" s="6">
        <v>1</v>
      </c>
      <c r="GY171" s="6">
        <v>0</v>
      </c>
      <c r="GZ171" s="6">
        <v>0</v>
      </c>
      <c r="HA171" s="6">
        <v>0</v>
      </c>
      <c r="HB171" s="6">
        <v>0</v>
      </c>
      <c r="HC171" s="6">
        <v>0</v>
      </c>
      <c r="HD171" s="6"/>
      <c r="HE171" s="6" t="s">
        <v>535</v>
      </c>
      <c r="HF171" s="6">
        <v>1</v>
      </c>
      <c r="HG171" s="6">
        <v>0</v>
      </c>
      <c r="HH171" s="6">
        <v>0</v>
      </c>
      <c r="HI171" s="6">
        <v>0</v>
      </c>
      <c r="HJ171" s="6">
        <v>0</v>
      </c>
      <c r="HK171" s="6">
        <v>0</v>
      </c>
      <c r="HL171" s="15"/>
      <c r="HM171" s="6" t="s">
        <v>676</v>
      </c>
      <c r="HN171" s="6"/>
      <c r="HO171" s="6" t="s">
        <v>2928</v>
      </c>
      <c r="HP171" s="6" t="s">
        <v>537</v>
      </c>
      <c r="HQ171" s="6" t="s">
        <v>539</v>
      </c>
      <c r="HR171" s="6" t="s">
        <v>539</v>
      </c>
      <c r="HS171" s="6" t="s">
        <v>508</v>
      </c>
      <c r="HT171" s="6">
        <v>0</v>
      </c>
      <c r="HU171" s="6">
        <v>0</v>
      </c>
      <c r="HV171" s="6">
        <v>1</v>
      </c>
      <c r="HW171" s="6">
        <v>0</v>
      </c>
      <c r="HX171" s="6">
        <v>0</v>
      </c>
      <c r="HY171" s="6">
        <v>0</v>
      </c>
      <c r="HZ171" s="6"/>
      <c r="IA171" s="6" t="s">
        <v>1105</v>
      </c>
      <c r="IB171" s="6">
        <v>1</v>
      </c>
      <c r="IC171" s="6">
        <v>1</v>
      </c>
      <c r="ID171" s="6">
        <v>0</v>
      </c>
      <c r="IE171" s="6">
        <v>0</v>
      </c>
      <c r="IF171" s="6">
        <v>0</v>
      </c>
      <c r="IG171" s="6">
        <v>0</v>
      </c>
      <c r="IH171" s="15" t="s">
        <v>2929</v>
      </c>
      <c r="II171" s="6" t="s">
        <v>426</v>
      </c>
      <c r="IJ171" s="6" t="s">
        <v>472</v>
      </c>
      <c r="IK171" s="6">
        <v>1</v>
      </c>
      <c r="IL171" s="6">
        <v>0</v>
      </c>
      <c r="IM171" s="6">
        <v>0</v>
      </c>
      <c r="IN171" s="6"/>
      <c r="IO171" s="6" t="s">
        <v>473</v>
      </c>
      <c r="IP171" s="6">
        <v>1</v>
      </c>
      <c r="IQ171" s="6">
        <v>0</v>
      </c>
      <c r="IR171" s="6">
        <v>0</v>
      </c>
      <c r="IS171" s="6">
        <v>0</v>
      </c>
      <c r="IT171" s="6">
        <v>0</v>
      </c>
      <c r="IU171" s="6">
        <v>0</v>
      </c>
      <c r="IV171" s="6"/>
      <c r="IW171" s="6" t="s">
        <v>453</v>
      </c>
      <c r="IX171" s="6"/>
      <c r="IY171" s="6" t="s">
        <v>510</v>
      </c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 t="s">
        <v>453</v>
      </c>
      <c r="JK171" s="6" t="s">
        <v>453</v>
      </c>
      <c r="JL171" s="6"/>
      <c r="JM171" s="6"/>
      <c r="JN171" s="6"/>
      <c r="JO171" s="6"/>
      <c r="JP171" s="6"/>
      <c r="JQ171" s="6"/>
      <c r="JR171" s="6"/>
      <c r="JS171" s="6"/>
      <c r="JT171" s="6"/>
      <c r="JU171" s="6" t="s">
        <v>477</v>
      </c>
      <c r="JV171" s="15"/>
      <c r="JW171" s="94" t="s">
        <v>2930</v>
      </c>
      <c r="JX171" s="6" t="s">
        <v>2931</v>
      </c>
      <c r="JY171" s="6">
        <v>0.8231722</v>
      </c>
      <c r="JZ171" s="6">
        <v>34.865169</v>
      </c>
      <c r="KA171" s="6">
        <v>1734.798</v>
      </c>
      <c r="KB171" s="15">
        <v>0.908</v>
      </c>
      <c r="KC171" s="15"/>
    </row>
    <row r="172" spans="1:289">
      <c r="A172" s="6" t="s">
        <v>755</v>
      </c>
      <c r="B172" s="6" t="s">
        <v>2503</v>
      </c>
      <c r="C172" s="7" t="s">
        <v>2504</v>
      </c>
      <c r="D172" s="6" t="s">
        <v>2932</v>
      </c>
      <c r="E172" s="6" t="s">
        <v>2933</v>
      </c>
      <c r="F172" s="8" t="s">
        <v>483</v>
      </c>
      <c r="G172" s="6" t="s">
        <v>567</v>
      </c>
      <c r="H172" s="6" t="s">
        <v>425</v>
      </c>
      <c r="I172" s="15"/>
      <c r="J172" s="6" t="s">
        <v>426</v>
      </c>
      <c r="K172" s="6" t="s">
        <v>426</v>
      </c>
      <c r="L172" s="6" t="s">
        <v>426</v>
      </c>
      <c r="M172" s="6" t="s">
        <v>426</v>
      </c>
      <c r="N172" s="6" t="s">
        <v>426</v>
      </c>
      <c r="O172" s="6" t="s">
        <v>426</v>
      </c>
      <c r="P172" s="6" t="s">
        <v>426</v>
      </c>
      <c r="Q172" s="6" t="s">
        <v>426</v>
      </c>
      <c r="R172" s="6" t="s">
        <v>426</v>
      </c>
      <c r="S172" s="6" t="s">
        <v>426</v>
      </c>
      <c r="T172" s="6" t="s">
        <v>426</v>
      </c>
      <c r="U172" s="6" t="s">
        <v>426</v>
      </c>
      <c r="V172" s="6" t="s">
        <v>453</v>
      </c>
      <c r="W172" s="6" t="s">
        <v>453</v>
      </c>
      <c r="X172" s="6" t="s">
        <v>426</v>
      </c>
      <c r="Y172" s="6" t="s">
        <v>426</v>
      </c>
      <c r="Z172" s="6" t="s">
        <v>426</v>
      </c>
      <c r="AA172" s="6" t="s">
        <v>426</v>
      </c>
      <c r="AB172" s="6" t="s">
        <v>453</v>
      </c>
      <c r="AC172" s="15" t="s">
        <v>453</v>
      </c>
      <c r="AD172" s="6" t="s">
        <v>427</v>
      </c>
      <c r="AE172" s="6">
        <v>0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0</v>
      </c>
      <c r="AL172" s="6">
        <v>0</v>
      </c>
      <c r="AM172" s="6"/>
      <c r="AN172" s="15"/>
      <c r="AO172" s="6" t="s">
        <v>426</v>
      </c>
      <c r="AP172" s="6" t="s">
        <v>1450</v>
      </c>
      <c r="AQ172" s="6" t="s">
        <v>426</v>
      </c>
      <c r="AR172" s="6" t="s">
        <v>2934</v>
      </c>
      <c r="AS172" s="6" t="s">
        <v>426</v>
      </c>
      <c r="AT172" s="6">
        <v>1</v>
      </c>
      <c r="AU172" s="6" t="s">
        <v>453</v>
      </c>
      <c r="AV172" s="6"/>
      <c r="AW172" s="6" t="s">
        <v>426</v>
      </c>
      <c r="AX172" s="6">
        <v>1</v>
      </c>
      <c r="AY172" s="6" t="s">
        <v>426</v>
      </c>
      <c r="AZ172" s="6">
        <v>5</v>
      </c>
      <c r="BA172" s="6" t="s">
        <v>453</v>
      </c>
      <c r="BB172" s="6"/>
      <c r="BC172" s="6" t="s">
        <v>426</v>
      </c>
      <c r="BD172" s="6">
        <v>1</v>
      </c>
      <c r="BE172" s="6" t="s">
        <v>453</v>
      </c>
      <c r="BF172" s="6"/>
      <c r="BG172" s="6" t="s">
        <v>426</v>
      </c>
      <c r="BH172" s="6">
        <v>1</v>
      </c>
      <c r="BI172" s="6" t="s">
        <v>426</v>
      </c>
      <c r="BJ172" s="6">
        <v>1</v>
      </c>
      <c r="BK172" s="6" t="s">
        <v>426</v>
      </c>
      <c r="BL172" s="6">
        <v>1</v>
      </c>
      <c r="BM172" s="6" t="s">
        <v>426</v>
      </c>
      <c r="BN172" s="6">
        <v>66</v>
      </c>
      <c r="BO172" s="6" t="s">
        <v>426</v>
      </c>
      <c r="BP172" s="6">
        <v>1</v>
      </c>
      <c r="BQ172" s="6" t="s">
        <v>426</v>
      </c>
      <c r="BR172" s="6">
        <v>30</v>
      </c>
      <c r="BS172" s="6" t="s">
        <v>453</v>
      </c>
      <c r="BT172" s="6"/>
      <c r="BU172" s="6" t="s">
        <v>426</v>
      </c>
      <c r="BV172" s="15">
        <v>1</v>
      </c>
      <c r="BW172" s="15" t="s">
        <v>953</v>
      </c>
      <c r="BX172" s="15" t="s">
        <v>485</v>
      </c>
      <c r="BY172" s="6" t="s">
        <v>430</v>
      </c>
      <c r="BZ172" s="6" t="s">
        <v>430</v>
      </c>
      <c r="CA172" s="6" t="s">
        <v>430</v>
      </c>
      <c r="CB172" s="6" t="s">
        <v>487</v>
      </c>
      <c r="CC172" s="6" t="s">
        <v>430</v>
      </c>
      <c r="CD172" s="6" t="s">
        <v>430</v>
      </c>
      <c r="CE172" s="6" t="s">
        <v>487</v>
      </c>
      <c r="CF172" s="6" t="s">
        <v>430</v>
      </c>
      <c r="CG172" s="6" t="s">
        <v>487</v>
      </c>
      <c r="CH172" s="6" t="s">
        <v>430</v>
      </c>
      <c r="CI172" s="6" t="s">
        <v>430</v>
      </c>
      <c r="CJ172" s="6" t="s">
        <v>430</v>
      </c>
      <c r="CK172" s="6" t="s">
        <v>430</v>
      </c>
      <c r="CL172" s="6" t="s">
        <v>430</v>
      </c>
      <c r="CM172" s="6" t="s">
        <v>430</v>
      </c>
      <c r="CN172" s="6" t="s">
        <v>487</v>
      </c>
      <c r="CO172" s="15" t="s">
        <v>430</v>
      </c>
      <c r="CP172" s="15" t="s">
        <v>432</v>
      </c>
      <c r="CQ172" s="6" t="s">
        <v>433</v>
      </c>
      <c r="CR172" s="15"/>
      <c r="CS172" s="6" t="s">
        <v>426</v>
      </c>
      <c r="CT172" s="6" t="s">
        <v>2935</v>
      </c>
      <c r="CU172" s="6" t="s">
        <v>2936</v>
      </c>
      <c r="CV172" s="6" t="s">
        <v>662</v>
      </c>
      <c r="CW172" s="6" t="s">
        <v>826</v>
      </c>
      <c r="CX172" s="15" t="s">
        <v>426</v>
      </c>
      <c r="CY172" s="6" t="s">
        <v>426</v>
      </c>
      <c r="CZ172" s="6" t="s">
        <v>2937</v>
      </c>
      <c r="DA172" s="6" t="s">
        <v>736</v>
      </c>
      <c r="DB172" s="6" t="s">
        <v>823</v>
      </c>
      <c r="DC172" s="6" t="s">
        <v>1241</v>
      </c>
      <c r="DD172" s="15" t="s">
        <v>736</v>
      </c>
      <c r="DE172" s="15" t="s">
        <v>436</v>
      </c>
      <c r="DF172" s="6" t="s">
        <v>437</v>
      </c>
      <c r="DG172" s="6">
        <v>1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/>
      <c r="DN172" s="6"/>
      <c r="DO172" s="6"/>
      <c r="DP172" s="6"/>
      <c r="DQ172" s="6"/>
      <c r="DR172" s="6"/>
      <c r="DS172" s="6"/>
      <c r="DT172" s="66"/>
      <c r="DU172" s="6" t="s">
        <v>438</v>
      </c>
      <c r="DV172" s="6" t="s">
        <v>426</v>
      </c>
      <c r="DW172" s="6" t="s">
        <v>439</v>
      </c>
      <c r="DX172" s="6" t="s">
        <v>440</v>
      </c>
      <c r="DY172" s="6"/>
      <c r="DZ172" s="6" t="s">
        <v>768</v>
      </c>
      <c r="EA172" s="6">
        <v>1</v>
      </c>
      <c r="EB172" s="6">
        <v>1</v>
      </c>
      <c r="EC172" s="6">
        <v>1</v>
      </c>
      <c r="ED172" s="6">
        <v>1</v>
      </c>
      <c r="EE172" s="6">
        <v>1</v>
      </c>
      <c r="EF172" s="6">
        <v>0</v>
      </c>
      <c r="EG172" s="6">
        <v>0</v>
      </c>
      <c r="EH172" s="6">
        <v>0</v>
      </c>
      <c r="EI172" s="6"/>
      <c r="EJ172" s="6" t="s">
        <v>697</v>
      </c>
      <c r="EK172" s="6">
        <v>1</v>
      </c>
      <c r="EL172" s="6">
        <v>1</v>
      </c>
      <c r="EM172" s="6">
        <v>1</v>
      </c>
      <c r="EN172" s="6">
        <v>1</v>
      </c>
      <c r="EO172" s="6">
        <v>1</v>
      </c>
      <c r="EP172" s="6">
        <v>1</v>
      </c>
      <c r="EQ172" s="6">
        <v>0</v>
      </c>
      <c r="ER172" s="6">
        <v>0</v>
      </c>
      <c r="ES172" s="6">
        <v>0</v>
      </c>
      <c r="ET172" s="6"/>
      <c r="EU172" s="6" t="s">
        <v>443</v>
      </c>
      <c r="EV172" s="6" t="s">
        <v>495</v>
      </c>
      <c r="EW172" s="6"/>
      <c r="EX172" s="6" t="s">
        <v>1071</v>
      </c>
      <c r="EY172" s="6">
        <v>1</v>
      </c>
      <c r="EZ172" s="6">
        <v>1</v>
      </c>
      <c r="FA172" s="6">
        <v>0</v>
      </c>
      <c r="FB172" s="6">
        <v>0</v>
      </c>
      <c r="FC172" s="6">
        <v>1</v>
      </c>
      <c r="FD172" s="6">
        <v>0</v>
      </c>
      <c r="FE172" s="6">
        <v>0</v>
      </c>
      <c r="FF172" s="6">
        <v>0</v>
      </c>
      <c r="FG172" s="6"/>
      <c r="FH172" s="6" t="s">
        <v>812</v>
      </c>
      <c r="FI172" s="6">
        <v>1</v>
      </c>
      <c r="FJ172" s="6">
        <v>0</v>
      </c>
      <c r="FK172" s="6">
        <v>0</v>
      </c>
      <c r="FL172" s="6">
        <v>0</v>
      </c>
      <c r="FM172" s="6">
        <v>0</v>
      </c>
      <c r="FN172" s="6">
        <v>0</v>
      </c>
      <c r="FO172" s="6">
        <v>0</v>
      </c>
      <c r="FP172" s="6">
        <v>0</v>
      </c>
      <c r="FQ172" s="6">
        <v>0</v>
      </c>
      <c r="FR172" s="6">
        <v>0</v>
      </c>
      <c r="FS172" s="6"/>
      <c r="FT172" s="6" t="s">
        <v>447</v>
      </c>
      <c r="FU172" s="6" t="s">
        <v>499</v>
      </c>
      <c r="FV172" s="6"/>
      <c r="FW172" s="6" t="s">
        <v>449</v>
      </c>
      <c r="FX172" s="15" t="s">
        <v>450</v>
      </c>
      <c r="FY172" s="6" t="s">
        <v>500</v>
      </c>
      <c r="FZ172" s="6"/>
      <c r="GA172" s="6" t="s">
        <v>450</v>
      </c>
      <c r="GB172" s="6" t="s">
        <v>501</v>
      </c>
      <c r="GC172" s="6" t="s">
        <v>426</v>
      </c>
      <c r="GD172" s="6" t="s">
        <v>2938</v>
      </c>
      <c r="GE172" s="6" t="s">
        <v>454</v>
      </c>
      <c r="GF172" s="6" t="s">
        <v>2939</v>
      </c>
      <c r="GG172" s="6" t="s">
        <v>456</v>
      </c>
      <c r="GH172" s="15" t="s">
        <v>2940</v>
      </c>
      <c r="GI172" s="6" t="s">
        <v>458</v>
      </c>
      <c r="GJ172" s="6" t="s">
        <v>2941</v>
      </c>
      <c r="GK172" s="6" t="s">
        <v>460</v>
      </c>
      <c r="GL172" s="6" t="s">
        <v>461</v>
      </c>
      <c r="GM172" s="6">
        <v>0</v>
      </c>
      <c r="GN172" s="6">
        <v>0</v>
      </c>
      <c r="GO172" s="6">
        <v>0</v>
      </c>
      <c r="GP172" s="6">
        <v>0</v>
      </c>
      <c r="GQ172" s="6">
        <v>0</v>
      </c>
      <c r="GR172" s="6">
        <v>1</v>
      </c>
      <c r="GS172" s="6">
        <v>0</v>
      </c>
      <c r="GT172" s="6"/>
      <c r="GU172" s="6" t="s">
        <v>534</v>
      </c>
      <c r="GV172" s="6" t="s">
        <v>595</v>
      </c>
      <c r="GW172" s="6" t="s">
        <v>464</v>
      </c>
      <c r="GX172" s="6">
        <v>1</v>
      </c>
      <c r="GY172" s="6">
        <v>0</v>
      </c>
      <c r="GZ172" s="6">
        <v>0</v>
      </c>
      <c r="HA172" s="6">
        <v>0</v>
      </c>
      <c r="HB172" s="6">
        <v>0</v>
      </c>
      <c r="HC172" s="6">
        <v>0</v>
      </c>
      <c r="HD172" s="6"/>
      <c r="HE172" s="6" t="s">
        <v>535</v>
      </c>
      <c r="HF172" s="6">
        <v>1</v>
      </c>
      <c r="HG172" s="6">
        <v>0</v>
      </c>
      <c r="HH172" s="6">
        <v>0</v>
      </c>
      <c r="HI172" s="6">
        <v>0</v>
      </c>
      <c r="HJ172" s="6">
        <v>0</v>
      </c>
      <c r="HK172" s="6">
        <v>0</v>
      </c>
      <c r="HL172" s="15"/>
      <c r="HM172" s="6" t="s">
        <v>505</v>
      </c>
      <c r="HN172" s="6"/>
      <c r="HO172" s="6" t="s">
        <v>2942</v>
      </c>
      <c r="HP172" s="6" t="s">
        <v>561</v>
      </c>
      <c r="HQ172" s="6"/>
      <c r="HR172" s="6" t="s">
        <v>2943</v>
      </c>
      <c r="HS172" s="6" t="s">
        <v>2944</v>
      </c>
      <c r="HT172" s="6">
        <v>0</v>
      </c>
      <c r="HU172" s="6">
        <v>0</v>
      </c>
      <c r="HV172" s="6">
        <v>1</v>
      </c>
      <c r="HW172" s="6">
        <v>1</v>
      </c>
      <c r="HX172" s="6">
        <v>1</v>
      </c>
      <c r="HY172" s="6">
        <v>1</v>
      </c>
      <c r="HZ172" s="6"/>
      <c r="IA172" s="6" t="s">
        <v>1284</v>
      </c>
      <c r="IB172" s="6">
        <v>1</v>
      </c>
      <c r="IC172" s="6">
        <v>1</v>
      </c>
      <c r="ID172" s="6">
        <v>1</v>
      </c>
      <c r="IE172" s="6">
        <v>1</v>
      </c>
      <c r="IF172" s="6">
        <v>0</v>
      </c>
      <c r="IG172" s="6">
        <v>0</v>
      </c>
      <c r="IH172" s="15" t="s">
        <v>2945</v>
      </c>
      <c r="II172" s="6" t="s">
        <v>426</v>
      </c>
      <c r="IJ172" s="6" t="s">
        <v>472</v>
      </c>
      <c r="IK172" s="6">
        <v>1</v>
      </c>
      <c r="IL172" s="6">
        <v>0</v>
      </c>
      <c r="IM172" s="6">
        <v>0</v>
      </c>
      <c r="IN172" s="6"/>
      <c r="IO172" s="6" t="s">
        <v>473</v>
      </c>
      <c r="IP172" s="6">
        <v>1</v>
      </c>
      <c r="IQ172" s="6">
        <v>0</v>
      </c>
      <c r="IR172" s="6">
        <v>0</v>
      </c>
      <c r="IS172" s="6">
        <v>0</v>
      </c>
      <c r="IT172" s="6">
        <v>0</v>
      </c>
      <c r="IU172" s="6">
        <v>0</v>
      </c>
      <c r="IV172" s="6"/>
      <c r="IW172" s="6" t="s">
        <v>453</v>
      </c>
      <c r="IX172" s="6"/>
      <c r="IY172" s="6" t="s">
        <v>510</v>
      </c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 t="s">
        <v>426</v>
      </c>
      <c r="JK172" s="6" t="s">
        <v>453</v>
      </c>
      <c r="JL172" s="6"/>
      <c r="JM172" s="6"/>
      <c r="JN172" s="6"/>
      <c r="JO172" s="6"/>
      <c r="JP172" s="6"/>
      <c r="JQ172" s="6"/>
      <c r="JR172" s="6"/>
      <c r="JS172" s="6"/>
      <c r="JT172" s="6"/>
      <c r="JU172" s="6" t="s">
        <v>544</v>
      </c>
      <c r="JV172" s="15"/>
      <c r="JW172" s="94" t="s">
        <v>2946</v>
      </c>
      <c r="JX172" s="6" t="s">
        <v>2947</v>
      </c>
      <c r="JY172" s="6">
        <v>0.8234057</v>
      </c>
      <c r="JZ172" s="6">
        <v>34.8649658</v>
      </c>
      <c r="KA172" s="6">
        <v>1750.021</v>
      </c>
      <c r="KB172" s="15">
        <v>1.293</v>
      </c>
      <c r="KC172" s="15"/>
    </row>
    <row r="173" spans="1:289">
      <c r="A173" s="6" t="s">
        <v>755</v>
      </c>
      <c r="B173" s="6" t="s">
        <v>2503</v>
      </c>
      <c r="C173" s="7" t="s">
        <v>2504</v>
      </c>
      <c r="D173" s="6" t="s">
        <v>2167</v>
      </c>
      <c r="E173" s="6" t="s">
        <v>2948</v>
      </c>
      <c r="F173" s="8" t="s">
        <v>483</v>
      </c>
      <c r="G173" s="6" t="s">
        <v>424</v>
      </c>
      <c r="H173" s="6" t="s">
        <v>517</v>
      </c>
      <c r="I173" s="15"/>
      <c r="J173" s="6" t="s">
        <v>426</v>
      </c>
      <c r="K173" s="6" t="s">
        <v>426</v>
      </c>
      <c r="L173" s="6" t="s">
        <v>426</v>
      </c>
      <c r="M173" s="6" t="s">
        <v>426</v>
      </c>
      <c r="N173" s="6" t="s">
        <v>426</v>
      </c>
      <c r="O173" s="6" t="s">
        <v>426</v>
      </c>
      <c r="P173" s="6" t="s">
        <v>426</v>
      </c>
      <c r="Q173" s="6" t="s">
        <v>426</v>
      </c>
      <c r="R173" s="6" t="s">
        <v>426</v>
      </c>
      <c r="S173" s="6" t="s">
        <v>426</v>
      </c>
      <c r="T173" s="6" t="s">
        <v>426</v>
      </c>
      <c r="U173" s="6" t="s">
        <v>426</v>
      </c>
      <c r="V173" s="6" t="s">
        <v>453</v>
      </c>
      <c r="W173" s="6" t="s">
        <v>426</v>
      </c>
      <c r="X173" s="6" t="s">
        <v>426</v>
      </c>
      <c r="Y173" s="6" t="s">
        <v>426</v>
      </c>
      <c r="Z173" s="6" t="s">
        <v>426</v>
      </c>
      <c r="AA173" s="6" t="s">
        <v>426</v>
      </c>
      <c r="AB173" s="6" t="s">
        <v>426</v>
      </c>
      <c r="AC173" s="15" t="s">
        <v>426</v>
      </c>
      <c r="AD173" s="6" t="s">
        <v>427</v>
      </c>
      <c r="AE173" s="6">
        <v>0</v>
      </c>
      <c r="AF173" s="6">
        <v>0</v>
      </c>
      <c r="AG173" s="6">
        <v>0</v>
      </c>
      <c r="AH173" s="6">
        <v>1</v>
      </c>
      <c r="AI173" s="6">
        <v>0</v>
      </c>
      <c r="AJ173" s="6">
        <v>0</v>
      </c>
      <c r="AK173" s="6">
        <v>0</v>
      </c>
      <c r="AL173" s="6">
        <v>0</v>
      </c>
      <c r="AM173" s="6"/>
      <c r="AN173" s="15"/>
      <c r="AO173" s="6" t="s">
        <v>426</v>
      </c>
      <c r="AP173" s="6" t="s">
        <v>658</v>
      </c>
      <c r="AQ173" s="6" t="s">
        <v>426</v>
      </c>
      <c r="AR173" s="6" t="s">
        <v>658</v>
      </c>
      <c r="AS173" s="6" t="s">
        <v>426</v>
      </c>
      <c r="AT173" s="6">
        <v>1</v>
      </c>
      <c r="AU173" s="6" t="s">
        <v>453</v>
      </c>
      <c r="AV173" s="6"/>
      <c r="AW173" s="6" t="s">
        <v>453</v>
      </c>
      <c r="AX173" s="6"/>
      <c r="AY173" s="6" t="s">
        <v>426</v>
      </c>
      <c r="AZ173" s="6">
        <v>1</v>
      </c>
      <c r="BA173" s="6" t="s">
        <v>453</v>
      </c>
      <c r="BB173" s="6"/>
      <c r="BC173" s="6" t="s">
        <v>426</v>
      </c>
      <c r="BD173" s="6">
        <v>1</v>
      </c>
      <c r="BE173" s="6" t="s">
        <v>453</v>
      </c>
      <c r="BF173" s="6"/>
      <c r="BG173" s="6" t="s">
        <v>426</v>
      </c>
      <c r="BH173" s="6">
        <v>1</v>
      </c>
      <c r="BI173" s="6" t="s">
        <v>426</v>
      </c>
      <c r="BJ173" s="6">
        <v>1</v>
      </c>
      <c r="BK173" s="6" t="s">
        <v>426</v>
      </c>
      <c r="BL173" s="6">
        <v>1</v>
      </c>
      <c r="BM173" s="6" t="s">
        <v>426</v>
      </c>
      <c r="BN173" s="6">
        <v>12</v>
      </c>
      <c r="BO173" s="6" t="s">
        <v>426</v>
      </c>
      <c r="BP173" s="6">
        <v>1</v>
      </c>
      <c r="BQ173" s="6" t="s">
        <v>426</v>
      </c>
      <c r="BR173" s="6">
        <v>1</v>
      </c>
      <c r="BS173" s="6" t="s">
        <v>453</v>
      </c>
      <c r="BT173" s="6"/>
      <c r="BU173" s="6" t="s">
        <v>426</v>
      </c>
      <c r="BV173" s="15">
        <v>1</v>
      </c>
      <c r="BW173" s="15" t="s">
        <v>880</v>
      </c>
      <c r="BX173" s="15" t="s">
        <v>429</v>
      </c>
      <c r="BY173" s="6" t="s">
        <v>430</v>
      </c>
      <c r="BZ173" s="6" t="s">
        <v>430</v>
      </c>
      <c r="CA173" s="6" t="s">
        <v>430</v>
      </c>
      <c r="CB173" s="6" t="s">
        <v>487</v>
      </c>
      <c r="CC173" s="6" t="s">
        <v>430</v>
      </c>
      <c r="CD173" s="6" t="s">
        <v>430</v>
      </c>
      <c r="CE173" s="6" t="s">
        <v>487</v>
      </c>
      <c r="CF173" s="6" t="s">
        <v>430</v>
      </c>
      <c r="CG173" s="6" t="s">
        <v>487</v>
      </c>
      <c r="CH173" s="6" t="s">
        <v>430</v>
      </c>
      <c r="CI173" s="6" t="s">
        <v>430</v>
      </c>
      <c r="CJ173" s="6" t="s">
        <v>430</v>
      </c>
      <c r="CK173" s="6" t="s">
        <v>430</v>
      </c>
      <c r="CL173" s="6" t="s">
        <v>430</v>
      </c>
      <c r="CM173" s="6" t="s">
        <v>430</v>
      </c>
      <c r="CN173" s="6" t="s">
        <v>487</v>
      </c>
      <c r="CO173" s="15" t="s">
        <v>430</v>
      </c>
      <c r="CP173" s="15" t="s">
        <v>432</v>
      </c>
      <c r="CQ173" s="6" t="s">
        <v>433</v>
      </c>
      <c r="CR173" s="15"/>
      <c r="CS173" s="6" t="s">
        <v>426</v>
      </c>
      <c r="CT173" s="6" t="s">
        <v>2949</v>
      </c>
      <c r="CU173" s="6" t="s">
        <v>656</v>
      </c>
      <c r="CV173" s="6" t="s">
        <v>1380</v>
      </c>
      <c r="CW173" s="6" t="s">
        <v>662</v>
      </c>
      <c r="CX173" s="15" t="s">
        <v>426</v>
      </c>
      <c r="CY173" s="6" t="s">
        <v>426</v>
      </c>
      <c r="CZ173" s="6" t="s">
        <v>2950</v>
      </c>
      <c r="DA173" s="6" t="s">
        <v>1380</v>
      </c>
      <c r="DB173" s="6" t="s">
        <v>658</v>
      </c>
      <c r="DC173" s="6" t="s">
        <v>1380</v>
      </c>
      <c r="DD173" s="15" t="s">
        <v>1380</v>
      </c>
      <c r="DE173" s="15" t="s">
        <v>436</v>
      </c>
      <c r="DF173" s="6" t="s">
        <v>437</v>
      </c>
      <c r="DG173" s="6">
        <v>1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/>
      <c r="DN173" s="6"/>
      <c r="DO173" s="6"/>
      <c r="DP173" s="6"/>
      <c r="DQ173" s="6"/>
      <c r="DR173" s="6"/>
      <c r="DS173" s="6"/>
      <c r="DT173" s="66"/>
      <c r="DU173" s="6" t="s">
        <v>438</v>
      </c>
      <c r="DV173" s="6" t="s">
        <v>426</v>
      </c>
      <c r="DW173" s="6" t="s">
        <v>490</v>
      </c>
      <c r="DX173" s="6" t="s">
        <v>491</v>
      </c>
      <c r="DY173" s="6"/>
      <c r="DZ173" s="6" t="s">
        <v>586</v>
      </c>
      <c r="EA173" s="6">
        <v>1</v>
      </c>
      <c r="EB173" s="6">
        <v>1</v>
      </c>
      <c r="EC173" s="6">
        <v>1</v>
      </c>
      <c r="ED173" s="6">
        <v>1</v>
      </c>
      <c r="EE173" s="6">
        <v>1</v>
      </c>
      <c r="EF173" s="6">
        <v>1</v>
      </c>
      <c r="EG173" s="6">
        <v>0</v>
      </c>
      <c r="EH173" s="6">
        <v>0</v>
      </c>
      <c r="EI173" s="6"/>
      <c r="EJ173" s="6" t="s">
        <v>2951</v>
      </c>
      <c r="EK173" s="6">
        <v>1</v>
      </c>
      <c r="EL173" s="6">
        <v>1</v>
      </c>
      <c r="EM173" s="6">
        <v>1</v>
      </c>
      <c r="EN173" s="6">
        <v>0</v>
      </c>
      <c r="EO173" s="6">
        <v>1</v>
      </c>
      <c r="EP173" s="6">
        <v>0</v>
      </c>
      <c r="EQ173" s="6">
        <v>0</v>
      </c>
      <c r="ER173" s="6">
        <v>0</v>
      </c>
      <c r="ES173" s="6">
        <v>0</v>
      </c>
      <c r="ET173" s="6"/>
      <c r="EU173" s="6" t="s">
        <v>443</v>
      </c>
      <c r="EV173" s="6" t="s">
        <v>554</v>
      </c>
      <c r="EW173" s="6"/>
      <c r="EX173" s="6" t="s">
        <v>1051</v>
      </c>
      <c r="EY173" s="6">
        <v>1</v>
      </c>
      <c r="EZ173" s="6">
        <v>1</v>
      </c>
      <c r="FA173" s="6">
        <v>1</v>
      </c>
      <c r="FB173" s="6">
        <v>1</v>
      </c>
      <c r="FC173" s="6">
        <v>1</v>
      </c>
      <c r="FD173" s="6">
        <v>0</v>
      </c>
      <c r="FE173" s="6">
        <v>0</v>
      </c>
      <c r="FF173" s="6">
        <v>0</v>
      </c>
      <c r="FG173" s="6"/>
      <c r="FH173" s="6" t="s">
        <v>1032</v>
      </c>
      <c r="FI173" s="6">
        <v>1</v>
      </c>
      <c r="FJ173" s="6">
        <v>0</v>
      </c>
      <c r="FK173" s="6">
        <v>1</v>
      </c>
      <c r="FL173" s="6">
        <v>1</v>
      </c>
      <c r="FM173" s="6">
        <v>1</v>
      </c>
      <c r="FN173" s="6">
        <v>0</v>
      </c>
      <c r="FO173" s="6">
        <v>0</v>
      </c>
      <c r="FP173" s="6">
        <v>0</v>
      </c>
      <c r="FQ173" s="6">
        <v>1</v>
      </c>
      <c r="FR173" s="6">
        <v>0</v>
      </c>
      <c r="FS173" s="6"/>
      <c r="FT173" s="6" t="s">
        <v>498</v>
      </c>
      <c r="FU173" s="6" t="s">
        <v>499</v>
      </c>
      <c r="FV173" s="6"/>
      <c r="FW173" s="6" t="s">
        <v>449</v>
      </c>
      <c r="FX173" s="15" t="s">
        <v>450</v>
      </c>
      <c r="FY173" s="6" t="s">
        <v>500</v>
      </c>
      <c r="FZ173" s="6"/>
      <c r="GA173" s="6" t="s">
        <v>450</v>
      </c>
      <c r="GB173" s="6" t="s">
        <v>501</v>
      </c>
      <c r="GC173" s="6" t="s">
        <v>426</v>
      </c>
      <c r="GD173" s="6" t="s">
        <v>2952</v>
      </c>
      <c r="GE173" s="6" t="s">
        <v>454</v>
      </c>
      <c r="GF173" s="6" t="s">
        <v>2953</v>
      </c>
      <c r="GG173" s="6" t="s">
        <v>456</v>
      </c>
      <c r="GH173" s="15" t="s">
        <v>2954</v>
      </c>
      <c r="GI173" s="6" t="s">
        <v>458</v>
      </c>
      <c r="GJ173" s="6" t="s">
        <v>2955</v>
      </c>
      <c r="GK173" s="6" t="s">
        <v>460</v>
      </c>
      <c r="GL173" s="6" t="s">
        <v>720</v>
      </c>
      <c r="GM173" s="6">
        <v>1</v>
      </c>
      <c r="GN173" s="6">
        <v>0</v>
      </c>
      <c r="GO173" s="6">
        <v>0</v>
      </c>
      <c r="GP173" s="6">
        <v>0</v>
      </c>
      <c r="GQ173" s="6">
        <v>0</v>
      </c>
      <c r="GR173" s="6">
        <v>0</v>
      </c>
      <c r="GS173" s="6">
        <v>0</v>
      </c>
      <c r="GT173" s="6"/>
      <c r="GU173" s="6" t="s">
        <v>534</v>
      </c>
      <c r="GV173" s="6" t="s">
        <v>595</v>
      </c>
      <c r="GW173" s="6" t="s">
        <v>464</v>
      </c>
      <c r="GX173" s="6">
        <v>1</v>
      </c>
      <c r="GY173" s="6">
        <v>0</v>
      </c>
      <c r="GZ173" s="6">
        <v>0</v>
      </c>
      <c r="HA173" s="6">
        <v>0</v>
      </c>
      <c r="HB173" s="6">
        <v>0</v>
      </c>
      <c r="HC173" s="6">
        <v>0</v>
      </c>
      <c r="HD173" s="6"/>
      <c r="HE173" s="6" t="s">
        <v>596</v>
      </c>
      <c r="HF173" s="6">
        <v>1</v>
      </c>
      <c r="HG173" s="6">
        <v>1</v>
      </c>
      <c r="HH173" s="6">
        <v>1</v>
      </c>
      <c r="HI173" s="6">
        <v>1</v>
      </c>
      <c r="HJ173" s="6">
        <v>0</v>
      </c>
      <c r="HK173" s="6">
        <v>0</v>
      </c>
      <c r="HL173" s="15"/>
      <c r="HM173" s="6" t="s">
        <v>466</v>
      </c>
      <c r="HN173" s="6"/>
      <c r="HO173" s="6" t="s">
        <v>2956</v>
      </c>
      <c r="HP173" s="6" t="s">
        <v>561</v>
      </c>
      <c r="HQ173" s="6"/>
      <c r="HR173" s="6" t="s">
        <v>2957</v>
      </c>
      <c r="HS173" s="6" t="s">
        <v>1315</v>
      </c>
      <c r="HT173" s="6">
        <v>0</v>
      </c>
      <c r="HU173" s="6">
        <v>0</v>
      </c>
      <c r="HV173" s="6">
        <v>1</v>
      </c>
      <c r="HW173" s="6">
        <v>0</v>
      </c>
      <c r="HX173" s="6">
        <v>1</v>
      </c>
      <c r="HY173" s="6">
        <v>1</v>
      </c>
      <c r="HZ173" s="6"/>
      <c r="IA173" s="6" t="s">
        <v>1284</v>
      </c>
      <c r="IB173" s="6">
        <v>1</v>
      </c>
      <c r="IC173" s="6">
        <v>1</v>
      </c>
      <c r="ID173" s="6">
        <v>1</v>
      </c>
      <c r="IE173" s="6">
        <v>1</v>
      </c>
      <c r="IF173" s="6">
        <v>0</v>
      </c>
      <c r="IG173" s="6">
        <v>0</v>
      </c>
      <c r="IH173" s="15" t="s">
        <v>2958</v>
      </c>
      <c r="II173" s="6" t="s">
        <v>426</v>
      </c>
      <c r="IJ173" s="6" t="s">
        <v>472</v>
      </c>
      <c r="IK173" s="6">
        <v>1</v>
      </c>
      <c r="IL173" s="6">
        <v>0</v>
      </c>
      <c r="IM173" s="6">
        <v>0</v>
      </c>
      <c r="IN173" s="6"/>
      <c r="IO173" s="6" t="s">
        <v>473</v>
      </c>
      <c r="IP173" s="6">
        <v>1</v>
      </c>
      <c r="IQ173" s="6">
        <v>0</v>
      </c>
      <c r="IR173" s="6">
        <v>0</v>
      </c>
      <c r="IS173" s="6">
        <v>0</v>
      </c>
      <c r="IT173" s="6">
        <v>0</v>
      </c>
      <c r="IU173" s="6">
        <v>0</v>
      </c>
      <c r="IV173" s="6"/>
      <c r="IW173" s="6" t="s">
        <v>426</v>
      </c>
      <c r="IX173" s="6">
        <v>1</v>
      </c>
      <c r="IY173" s="6" t="s">
        <v>474</v>
      </c>
      <c r="IZ173" s="6" t="s">
        <v>475</v>
      </c>
      <c r="JA173" s="6" t="s">
        <v>426</v>
      </c>
      <c r="JB173" s="6" t="s">
        <v>476</v>
      </c>
      <c r="JC173" s="6"/>
      <c r="JD173" s="6"/>
      <c r="JE173" s="6"/>
      <c r="JF173" s="6"/>
      <c r="JG173" s="6"/>
      <c r="JH173" s="6"/>
      <c r="JI173" s="6"/>
      <c r="JJ173" s="6"/>
      <c r="JK173" s="6" t="s">
        <v>453</v>
      </c>
      <c r="JL173" s="6"/>
      <c r="JM173" s="6"/>
      <c r="JN173" s="6"/>
      <c r="JO173" s="6"/>
      <c r="JP173" s="6"/>
      <c r="JQ173" s="6"/>
      <c r="JR173" s="6"/>
      <c r="JS173" s="6"/>
      <c r="JT173" s="6"/>
      <c r="JU173" s="6" t="s">
        <v>544</v>
      </c>
      <c r="JV173" s="15"/>
      <c r="JW173" s="94" t="s">
        <v>2959</v>
      </c>
      <c r="JX173" s="6" t="s">
        <v>2960</v>
      </c>
      <c r="JY173" s="6">
        <v>0.8233471</v>
      </c>
      <c r="JZ173" s="6">
        <v>34.8650483</v>
      </c>
      <c r="KA173" s="6">
        <v>1750.885</v>
      </c>
      <c r="KB173" s="15">
        <v>2.083</v>
      </c>
      <c r="KC173" s="15"/>
    </row>
    <row r="174" spans="1:289">
      <c r="A174" s="6" t="s">
        <v>755</v>
      </c>
      <c r="B174" s="6" t="s">
        <v>2503</v>
      </c>
      <c r="C174" s="7" t="s">
        <v>2504</v>
      </c>
      <c r="D174" s="6" t="s">
        <v>2167</v>
      </c>
      <c r="E174" s="6" t="s">
        <v>2961</v>
      </c>
      <c r="F174" s="8" t="s">
        <v>483</v>
      </c>
      <c r="G174" s="6" t="s">
        <v>567</v>
      </c>
      <c r="H174" s="6" t="s">
        <v>517</v>
      </c>
      <c r="I174" s="15"/>
      <c r="J174" s="6" t="s">
        <v>426</v>
      </c>
      <c r="K174" s="6" t="s">
        <v>426</v>
      </c>
      <c r="L174" s="6" t="s">
        <v>426</v>
      </c>
      <c r="M174" s="6" t="s">
        <v>426</v>
      </c>
      <c r="N174" s="6" t="s">
        <v>426</v>
      </c>
      <c r="O174" s="6" t="s">
        <v>426</v>
      </c>
      <c r="P174" s="6" t="s">
        <v>426</v>
      </c>
      <c r="Q174" s="6" t="s">
        <v>426</v>
      </c>
      <c r="R174" s="6" t="s">
        <v>426</v>
      </c>
      <c r="S174" s="6" t="s">
        <v>426</v>
      </c>
      <c r="T174" s="6" t="s">
        <v>426</v>
      </c>
      <c r="U174" s="6" t="s">
        <v>426</v>
      </c>
      <c r="V174" s="6" t="s">
        <v>453</v>
      </c>
      <c r="W174" s="6" t="s">
        <v>453</v>
      </c>
      <c r="X174" s="6" t="s">
        <v>426</v>
      </c>
      <c r="Y174" s="6" t="s">
        <v>426</v>
      </c>
      <c r="Z174" s="6" t="s">
        <v>426</v>
      </c>
      <c r="AA174" s="6" t="s">
        <v>426</v>
      </c>
      <c r="AB174" s="6" t="s">
        <v>426</v>
      </c>
      <c r="AC174" s="15" t="s">
        <v>426</v>
      </c>
      <c r="AD174" s="6" t="s">
        <v>427</v>
      </c>
      <c r="AE174" s="6">
        <v>0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0</v>
      </c>
      <c r="AM174" s="6"/>
      <c r="AN174" s="15"/>
      <c r="AO174" s="6" t="s">
        <v>426</v>
      </c>
      <c r="AP174" s="6" t="s">
        <v>658</v>
      </c>
      <c r="AQ174" s="6" t="s">
        <v>426</v>
      </c>
      <c r="AR174" s="6" t="s">
        <v>658</v>
      </c>
      <c r="AS174" s="6" t="s">
        <v>426</v>
      </c>
      <c r="AT174" s="6">
        <v>1</v>
      </c>
      <c r="AU174" s="6" t="s">
        <v>453</v>
      </c>
      <c r="AV174" s="6"/>
      <c r="AW174" s="6" t="s">
        <v>426</v>
      </c>
      <c r="AX174" s="6">
        <v>1</v>
      </c>
      <c r="AY174" s="6" t="s">
        <v>426</v>
      </c>
      <c r="AZ174" s="6">
        <v>5</v>
      </c>
      <c r="BA174" s="6" t="s">
        <v>453</v>
      </c>
      <c r="BB174" s="6"/>
      <c r="BC174" s="6" t="s">
        <v>426</v>
      </c>
      <c r="BD174" s="6">
        <v>1</v>
      </c>
      <c r="BE174" s="6" t="s">
        <v>453</v>
      </c>
      <c r="BF174" s="6"/>
      <c r="BG174" s="6" t="s">
        <v>426</v>
      </c>
      <c r="BH174" s="6">
        <v>1</v>
      </c>
      <c r="BI174" s="6" t="s">
        <v>426</v>
      </c>
      <c r="BJ174" s="6">
        <v>1</v>
      </c>
      <c r="BK174" s="6" t="s">
        <v>426</v>
      </c>
      <c r="BL174" s="6">
        <v>1</v>
      </c>
      <c r="BM174" s="6" t="s">
        <v>426</v>
      </c>
      <c r="BN174" s="6">
        <v>24</v>
      </c>
      <c r="BO174" s="6" t="s">
        <v>426</v>
      </c>
      <c r="BP174" s="6">
        <v>1</v>
      </c>
      <c r="BQ174" s="6" t="s">
        <v>426</v>
      </c>
      <c r="BR174" s="6">
        <v>8</v>
      </c>
      <c r="BS174" s="6" t="s">
        <v>453</v>
      </c>
      <c r="BT174" s="6"/>
      <c r="BU174" s="6" t="s">
        <v>426</v>
      </c>
      <c r="BV174" s="15">
        <v>1</v>
      </c>
      <c r="BW174" s="15" t="s">
        <v>1819</v>
      </c>
      <c r="BX174" s="15" t="s">
        <v>429</v>
      </c>
      <c r="BY174" s="6" t="s">
        <v>430</v>
      </c>
      <c r="BZ174" s="6" t="s">
        <v>430</v>
      </c>
      <c r="CA174" s="6" t="s">
        <v>430</v>
      </c>
      <c r="CB174" s="6" t="s">
        <v>487</v>
      </c>
      <c r="CC174" s="6" t="s">
        <v>430</v>
      </c>
      <c r="CD174" s="6" t="s">
        <v>430</v>
      </c>
      <c r="CE174" s="6" t="s">
        <v>487</v>
      </c>
      <c r="CF174" s="6" t="s">
        <v>430</v>
      </c>
      <c r="CG174" s="6" t="s">
        <v>487</v>
      </c>
      <c r="CH174" s="6" t="s">
        <v>430</v>
      </c>
      <c r="CI174" s="6" t="s">
        <v>430</v>
      </c>
      <c r="CJ174" s="6" t="s">
        <v>430</v>
      </c>
      <c r="CK174" s="6" t="s">
        <v>430</v>
      </c>
      <c r="CL174" s="6" t="s">
        <v>430</v>
      </c>
      <c r="CM174" s="6" t="s">
        <v>430</v>
      </c>
      <c r="CN174" s="6" t="s">
        <v>487</v>
      </c>
      <c r="CO174" s="15" t="s">
        <v>430</v>
      </c>
      <c r="CP174" s="15" t="s">
        <v>432</v>
      </c>
      <c r="CQ174" s="6" t="s">
        <v>433</v>
      </c>
      <c r="CR174" s="15"/>
      <c r="CS174" s="6" t="s">
        <v>426</v>
      </c>
      <c r="CT174" s="6" t="s">
        <v>2962</v>
      </c>
      <c r="CU174" s="6" t="s">
        <v>1188</v>
      </c>
      <c r="CV174" s="6" t="s">
        <v>1785</v>
      </c>
      <c r="CW174" s="6" t="s">
        <v>2963</v>
      </c>
      <c r="CX174" s="15" t="s">
        <v>426</v>
      </c>
      <c r="CY174" s="6" t="s">
        <v>426</v>
      </c>
      <c r="CZ174" s="6" t="s">
        <v>2964</v>
      </c>
      <c r="DA174" s="6" t="s">
        <v>1092</v>
      </c>
      <c r="DB174" s="6" t="s">
        <v>985</v>
      </c>
      <c r="DC174" s="6" t="s">
        <v>938</v>
      </c>
      <c r="DD174" s="15" t="s">
        <v>1092</v>
      </c>
      <c r="DE174" s="15" t="s">
        <v>436</v>
      </c>
      <c r="DF174" s="6" t="s">
        <v>437</v>
      </c>
      <c r="DG174" s="6">
        <v>1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/>
      <c r="DN174" s="6"/>
      <c r="DO174" s="6"/>
      <c r="DP174" s="6"/>
      <c r="DQ174" s="6"/>
      <c r="DR174" s="6"/>
      <c r="DS174" s="6"/>
      <c r="DT174" s="66"/>
      <c r="DU174" s="6" t="s">
        <v>438</v>
      </c>
      <c r="DV174" s="6" t="s">
        <v>426</v>
      </c>
      <c r="DW174" s="6" t="s">
        <v>439</v>
      </c>
      <c r="DX174" s="6" t="s">
        <v>440</v>
      </c>
      <c r="DY174" s="6"/>
      <c r="DZ174" s="6" t="s">
        <v>586</v>
      </c>
      <c r="EA174" s="6">
        <v>1</v>
      </c>
      <c r="EB174" s="6">
        <v>1</v>
      </c>
      <c r="EC174" s="6">
        <v>1</v>
      </c>
      <c r="ED174" s="6">
        <v>1</v>
      </c>
      <c r="EE174" s="6">
        <v>1</v>
      </c>
      <c r="EF174" s="6">
        <v>1</v>
      </c>
      <c r="EG174" s="6">
        <v>0</v>
      </c>
      <c r="EH174" s="6">
        <v>0</v>
      </c>
      <c r="EI174" s="6"/>
      <c r="EJ174" s="6" t="s">
        <v>1276</v>
      </c>
      <c r="EK174" s="6">
        <v>1</v>
      </c>
      <c r="EL174" s="6">
        <v>1</v>
      </c>
      <c r="EM174" s="6">
        <v>1</v>
      </c>
      <c r="EN174" s="6">
        <v>1</v>
      </c>
      <c r="EO174" s="6">
        <v>1</v>
      </c>
      <c r="EP174" s="6">
        <v>1</v>
      </c>
      <c r="EQ174" s="6">
        <v>1</v>
      </c>
      <c r="ER174" s="6">
        <v>0</v>
      </c>
      <c r="ES174" s="6">
        <v>0</v>
      </c>
      <c r="ET174" s="6"/>
      <c r="EU174" s="6" t="s">
        <v>443</v>
      </c>
      <c r="EV174" s="6" t="s">
        <v>554</v>
      </c>
      <c r="EW174" s="6"/>
      <c r="EX174" s="6" t="s">
        <v>921</v>
      </c>
      <c r="EY174" s="6">
        <v>1</v>
      </c>
      <c r="EZ174" s="6">
        <v>1</v>
      </c>
      <c r="FA174" s="6">
        <v>1</v>
      </c>
      <c r="FB174" s="6">
        <v>0</v>
      </c>
      <c r="FC174" s="6">
        <v>1</v>
      </c>
      <c r="FD174" s="6">
        <v>0</v>
      </c>
      <c r="FE174" s="6">
        <v>0</v>
      </c>
      <c r="FF174" s="6">
        <v>0</v>
      </c>
      <c r="FG174" s="6"/>
      <c r="FH174" s="6" t="s">
        <v>771</v>
      </c>
      <c r="FI174" s="6">
        <v>1</v>
      </c>
      <c r="FJ174" s="6">
        <v>0</v>
      </c>
      <c r="FK174" s="6">
        <v>0</v>
      </c>
      <c r="FL174" s="6">
        <v>1</v>
      </c>
      <c r="FM174" s="6">
        <v>0</v>
      </c>
      <c r="FN174" s="6">
        <v>0</v>
      </c>
      <c r="FO174" s="6">
        <v>0</v>
      </c>
      <c r="FP174" s="6">
        <v>0</v>
      </c>
      <c r="FQ174" s="6">
        <v>0</v>
      </c>
      <c r="FR174" s="6">
        <v>0</v>
      </c>
      <c r="FS174" s="6"/>
      <c r="FT174" s="6" t="s">
        <v>447</v>
      </c>
      <c r="FU174" s="6" t="s">
        <v>499</v>
      </c>
      <c r="FV174" s="6"/>
      <c r="FW174" s="6" t="s">
        <v>449</v>
      </c>
      <c r="FX174" s="15" t="s">
        <v>450</v>
      </c>
      <c r="FY174" s="6" t="s">
        <v>451</v>
      </c>
      <c r="FZ174" s="6"/>
      <c r="GA174" s="6" t="s">
        <v>450</v>
      </c>
      <c r="GB174" s="6" t="s">
        <v>501</v>
      </c>
      <c r="GC174" s="6" t="s">
        <v>426</v>
      </c>
      <c r="GD174" s="6" t="s">
        <v>2965</v>
      </c>
      <c r="GE174" s="6" t="s">
        <v>454</v>
      </c>
      <c r="GF174" s="6" t="s">
        <v>985</v>
      </c>
      <c r="GG174" s="6" t="s">
        <v>456</v>
      </c>
      <c r="GH174" s="15" t="s">
        <v>2966</v>
      </c>
      <c r="GI174" s="6" t="s">
        <v>458</v>
      </c>
      <c r="GJ174" s="6" t="s">
        <v>2967</v>
      </c>
      <c r="GK174" s="6" t="s">
        <v>460</v>
      </c>
      <c r="GL174" s="6" t="s">
        <v>720</v>
      </c>
      <c r="GM174" s="6">
        <v>1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/>
      <c r="GU174" s="6" t="s">
        <v>534</v>
      </c>
      <c r="GV174" s="6" t="s">
        <v>595</v>
      </c>
      <c r="GW174" s="6" t="s">
        <v>464</v>
      </c>
      <c r="GX174" s="6">
        <v>1</v>
      </c>
      <c r="GY174" s="6">
        <v>0</v>
      </c>
      <c r="GZ174" s="6">
        <v>0</v>
      </c>
      <c r="HA174" s="6">
        <v>0</v>
      </c>
      <c r="HB174" s="6">
        <v>0</v>
      </c>
      <c r="HC174" s="6">
        <v>0</v>
      </c>
      <c r="HD174" s="6"/>
      <c r="HE174" s="6" t="s">
        <v>962</v>
      </c>
      <c r="HF174" s="6">
        <v>1</v>
      </c>
      <c r="HG174" s="6">
        <v>0</v>
      </c>
      <c r="HH174" s="6">
        <v>0</v>
      </c>
      <c r="HI174" s="6">
        <v>1</v>
      </c>
      <c r="HJ174" s="6">
        <v>0</v>
      </c>
      <c r="HK174" s="6">
        <v>0</v>
      </c>
      <c r="HL174" s="15"/>
      <c r="HM174" s="6" t="s">
        <v>505</v>
      </c>
      <c r="HN174" s="6"/>
      <c r="HO174" s="6" t="s">
        <v>2968</v>
      </c>
      <c r="HP174" s="6" t="s">
        <v>561</v>
      </c>
      <c r="HQ174" s="6"/>
      <c r="HR174" s="6" t="s">
        <v>2969</v>
      </c>
      <c r="HS174" s="6" t="s">
        <v>1315</v>
      </c>
      <c r="HT174" s="6">
        <v>0</v>
      </c>
      <c r="HU174" s="6">
        <v>0</v>
      </c>
      <c r="HV174" s="6">
        <v>1</v>
      </c>
      <c r="HW174" s="6">
        <v>0</v>
      </c>
      <c r="HX174" s="6">
        <v>1</v>
      </c>
      <c r="HY174" s="6">
        <v>1</v>
      </c>
      <c r="HZ174" s="6"/>
      <c r="IA174" s="6" t="s">
        <v>1284</v>
      </c>
      <c r="IB174" s="6">
        <v>1</v>
      </c>
      <c r="IC174" s="6">
        <v>1</v>
      </c>
      <c r="ID174" s="6">
        <v>1</v>
      </c>
      <c r="IE174" s="6">
        <v>1</v>
      </c>
      <c r="IF174" s="6">
        <v>0</v>
      </c>
      <c r="IG174" s="6">
        <v>0</v>
      </c>
      <c r="IH174" s="15" t="s">
        <v>2970</v>
      </c>
      <c r="II174" s="6" t="s">
        <v>426</v>
      </c>
      <c r="IJ174" s="6" t="s">
        <v>472</v>
      </c>
      <c r="IK174" s="6">
        <v>1</v>
      </c>
      <c r="IL174" s="6">
        <v>0</v>
      </c>
      <c r="IM174" s="6">
        <v>0</v>
      </c>
      <c r="IN174" s="6"/>
      <c r="IO174" s="6" t="s">
        <v>473</v>
      </c>
      <c r="IP174" s="6">
        <v>1</v>
      </c>
      <c r="IQ174" s="6">
        <v>0</v>
      </c>
      <c r="IR174" s="6">
        <v>0</v>
      </c>
      <c r="IS174" s="6">
        <v>0</v>
      </c>
      <c r="IT174" s="6">
        <v>0</v>
      </c>
      <c r="IU174" s="6">
        <v>0</v>
      </c>
      <c r="IV174" s="6"/>
      <c r="IW174" s="6" t="s">
        <v>453</v>
      </c>
      <c r="IX174" s="6"/>
      <c r="IY174" s="6" t="s">
        <v>510</v>
      </c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 t="s">
        <v>453</v>
      </c>
      <c r="JK174" s="6" t="s">
        <v>453</v>
      </c>
      <c r="JL174" s="6"/>
      <c r="JM174" s="6"/>
      <c r="JN174" s="6"/>
      <c r="JO174" s="6"/>
      <c r="JP174" s="6"/>
      <c r="JQ174" s="6"/>
      <c r="JR174" s="6"/>
      <c r="JS174" s="6"/>
      <c r="JT174" s="6"/>
      <c r="JU174" s="6" t="s">
        <v>895</v>
      </c>
      <c r="JV174" s="15" t="s">
        <v>2971</v>
      </c>
      <c r="JW174" s="94" t="s">
        <v>2972</v>
      </c>
      <c r="JX174" s="6" t="s">
        <v>2973</v>
      </c>
      <c r="JY174" s="6">
        <v>0.8234088</v>
      </c>
      <c r="JZ174" s="6">
        <v>34.8650868</v>
      </c>
      <c r="KA174" s="6">
        <v>1758.251</v>
      </c>
      <c r="KB174" s="15">
        <v>2.995</v>
      </c>
      <c r="KC174" s="15"/>
    </row>
    <row r="175" spans="1:289">
      <c r="A175" s="6" t="s">
        <v>755</v>
      </c>
      <c r="B175" s="6" t="s">
        <v>2503</v>
      </c>
      <c r="C175" s="7" t="s">
        <v>2504</v>
      </c>
      <c r="D175" s="6" t="s">
        <v>2932</v>
      </c>
      <c r="E175" s="6" t="s">
        <v>2974</v>
      </c>
      <c r="F175" s="8" t="s">
        <v>483</v>
      </c>
      <c r="G175" s="6" t="s">
        <v>567</v>
      </c>
      <c r="H175" s="6" t="s">
        <v>425</v>
      </c>
      <c r="I175" s="15"/>
      <c r="J175" s="6" t="s">
        <v>426</v>
      </c>
      <c r="K175" s="6" t="s">
        <v>426</v>
      </c>
      <c r="L175" s="6" t="s">
        <v>426</v>
      </c>
      <c r="M175" s="6" t="s">
        <v>426</v>
      </c>
      <c r="N175" s="6" t="s">
        <v>426</v>
      </c>
      <c r="O175" s="6" t="s">
        <v>426</v>
      </c>
      <c r="P175" s="6" t="s">
        <v>426</v>
      </c>
      <c r="Q175" s="6" t="s">
        <v>426</v>
      </c>
      <c r="R175" s="6" t="s">
        <v>426</v>
      </c>
      <c r="S175" s="6" t="s">
        <v>426</v>
      </c>
      <c r="T175" s="6" t="s">
        <v>426</v>
      </c>
      <c r="U175" s="6" t="s">
        <v>426</v>
      </c>
      <c r="V175" s="6" t="s">
        <v>453</v>
      </c>
      <c r="W175" s="6" t="s">
        <v>426</v>
      </c>
      <c r="X175" s="6" t="s">
        <v>426</v>
      </c>
      <c r="Y175" s="6" t="s">
        <v>426</v>
      </c>
      <c r="Z175" s="6" t="s">
        <v>426</v>
      </c>
      <c r="AA175" s="6" t="s">
        <v>426</v>
      </c>
      <c r="AB175" s="6" t="s">
        <v>453</v>
      </c>
      <c r="AC175" s="15" t="s">
        <v>453</v>
      </c>
      <c r="AD175" s="6" t="s">
        <v>427</v>
      </c>
      <c r="AE175" s="6">
        <v>0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0</v>
      </c>
      <c r="AM175" s="6"/>
      <c r="AN175" s="15"/>
      <c r="AO175" s="6" t="s">
        <v>426</v>
      </c>
      <c r="AP175" s="6" t="s">
        <v>658</v>
      </c>
      <c r="AQ175" s="6" t="s">
        <v>453</v>
      </c>
      <c r="AR175" s="6"/>
      <c r="AS175" s="6" t="s">
        <v>426</v>
      </c>
      <c r="AT175" s="6">
        <v>1</v>
      </c>
      <c r="AU175" s="6" t="s">
        <v>453</v>
      </c>
      <c r="AV175" s="6"/>
      <c r="AW175" s="6" t="s">
        <v>426</v>
      </c>
      <c r="AX175" s="6">
        <v>1</v>
      </c>
      <c r="AY175" s="6" t="s">
        <v>426</v>
      </c>
      <c r="AZ175" s="6">
        <v>4</v>
      </c>
      <c r="BA175" s="6" t="s">
        <v>453</v>
      </c>
      <c r="BB175" s="6"/>
      <c r="BC175" s="6" t="s">
        <v>426</v>
      </c>
      <c r="BD175" s="6">
        <v>0.25</v>
      </c>
      <c r="BE175" s="6" t="s">
        <v>453</v>
      </c>
      <c r="BF175" s="6"/>
      <c r="BG175" s="6" t="s">
        <v>426</v>
      </c>
      <c r="BH175" s="6">
        <v>0.2</v>
      </c>
      <c r="BI175" s="6" t="s">
        <v>426</v>
      </c>
      <c r="BJ175" s="6">
        <v>0.2</v>
      </c>
      <c r="BK175" s="6" t="s">
        <v>426</v>
      </c>
      <c r="BL175" s="6">
        <v>0.2</v>
      </c>
      <c r="BM175" s="6" t="s">
        <v>426</v>
      </c>
      <c r="BN175" s="6">
        <v>12</v>
      </c>
      <c r="BO175" s="6" t="s">
        <v>426</v>
      </c>
      <c r="BP175" s="6">
        <v>0.2</v>
      </c>
      <c r="BQ175" s="6" t="s">
        <v>426</v>
      </c>
      <c r="BR175" s="6">
        <v>21</v>
      </c>
      <c r="BS175" s="6" t="s">
        <v>453</v>
      </c>
      <c r="BT175" s="6"/>
      <c r="BU175" s="6" t="s">
        <v>426</v>
      </c>
      <c r="BV175" s="15">
        <v>0.1</v>
      </c>
      <c r="BW175" s="15" t="s">
        <v>2117</v>
      </c>
      <c r="BX175" s="15" t="s">
        <v>429</v>
      </c>
      <c r="BY175" s="6" t="s">
        <v>430</v>
      </c>
      <c r="BZ175" s="6" t="s">
        <v>431</v>
      </c>
      <c r="CA175" s="6" t="s">
        <v>430</v>
      </c>
      <c r="CB175" s="6" t="s">
        <v>487</v>
      </c>
      <c r="CC175" s="6" t="s">
        <v>430</v>
      </c>
      <c r="CD175" s="6" t="s">
        <v>430</v>
      </c>
      <c r="CE175" s="6" t="s">
        <v>487</v>
      </c>
      <c r="CF175" s="6" t="s">
        <v>430</v>
      </c>
      <c r="CG175" s="6" t="s">
        <v>487</v>
      </c>
      <c r="CH175" s="6" t="s">
        <v>430</v>
      </c>
      <c r="CI175" s="6" t="s">
        <v>430</v>
      </c>
      <c r="CJ175" s="6" t="s">
        <v>430</v>
      </c>
      <c r="CK175" s="6" t="s">
        <v>431</v>
      </c>
      <c r="CL175" s="6" t="s">
        <v>430</v>
      </c>
      <c r="CM175" s="6" t="s">
        <v>430</v>
      </c>
      <c r="CN175" s="6" t="s">
        <v>487</v>
      </c>
      <c r="CO175" s="15" t="s">
        <v>430</v>
      </c>
      <c r="CP175" s="15" t="s">
        <v>432</v>
      </c>
      <c r="CQ175" s="6" t="s">
        <v>433</v>
      </c>
      <c r="CR175" s="15"/>
      <c r="CS175" s="6" t="s">
        <v>426</v>
      </c>
      <c r="CT175" s="6" t="s">
        <v>2975</v>
      </c>
      <c r="CU175" s="6" t="s">
        <v>656</v>
      </c>
      <c r="CV175" s="6" t="s">
        <v>1380</v>
      </c>
      <c r="CW175" s="6" t="s">
        <v>662</v>
      </c>
      <c r="CX175" s="15" t="s">
        <v>426</v>
      </c>
      <c r="CY175" s="6" t="s">
        <v>426</v>
      </c>
      <c r="CZ175" s="6" t="s">
        <v>2976</v>
      </c>
      <c r="DA175" s="6" t="s">
        <v>658</v>
      </c>
      <c r="DB175" s="6" t="s">
        <v>1380</v>
      </c>
      <c r="DC175" s="6" t="s">
        <v>1380</v>
      </c>
      <c r="DD175" s="15" t="s">
        <v>1380</v>
      </c>
      <c r="DE175" s="15" t="s">
        <v>436</v>
      </c>
      <c r="DF175" s="6" t="s">
        <v>2077</v>
      </c>
      <c r="DG175" s="6">
        <v>1</v>
      </c>
      <c r="DH175" s="6">
        <v>1</v>
      </c>
      <c r="DI175" s="6">
        <v>1</v>
      </c>
      <c r="DJ175" s="6">
        <v>1</v>
      </c>
      <c r="DK175" s="6">
        <v>0</v>
      </c>
      <c r="DL175" s="6">
        <v>0</v>
      </c>
      <c r="DM175" s="6"/>
      <c r="DN175" s="6"/>
      <c r="DO175" s="6"/>
      <c r="DP175" s="6"/>
      <c r="DQ175" s="6"/>
      <c r="DR175" s="6"/>
      <c r="DS175" s="6"/>
      <c r="DT175" s="66"/>
      <c r="DU175" s="6" t="s">
        <v>438</v>
      </c>
      <c r="DV175" s="6" t="s">
        <v>426</v>
      </c>
      <c r="DW175" s="6" t="s">
        <v>490</v>
      </c>
      <c r="DX175" s="6" t="s">
        <v>440</v>
      </c>
      <c r="DY175" s="6"/>
      <c r="DZ175" s="6" t="s">
        <v>586</v>
      </c>
      <c r="EA175" s="6">
        <v>1</v>
      </c>
      <c r="EB175" s="6">
        <v>1</v>
      </c>
      <c r="EC175" s="6">
        <v>1</v>
      </c>
      <c r="ED175" s="6">
        <v>1</v>
      </c>
      <c r="EE175" s="6">
        <v>1</v>
      </c>
      <c r="EF175" s="6">
        <v>1</v>
      </c>
      <c r="EG175" s="6">
        <v>0</v>
      </c>
      <c r="EH175" s="6">
        <v>0</v>
      </c>
      <c r="EI175" s="6"/>
      <c r="EJ175" s="6" t="s">
        <v>851</v>
      </c>
      <c r="EK175" s="6">
        <v>1</v>
      </c>
      <c r="EL175" s="6">
        <v>1</v>
      </c>
      <c r="EM175" s="6">
        <v>1</v>
      </c>
      <c r="EN175" s="6">
        <v>1</v>
      </c>
      <c r="EO175" s="6">
        <v>1</v>
      </c>
      <c r="EP175" s="6">
        <v>0</v>
      </c>
      <c r="EQ175" s="6">
        <v>0</v>
      </c>
      <c r="ER175" s="6">
        <v>0</v>
      </c>
      <c r="ES175" s="6">
        <v>0</v>
      </c>
      <c r="ET175" s="6"/>
      <c r="EU175" s="6" t="s">
        <v>443</v>
      </c>
      <c r="EV175" s="6" t="s">
        <v>554</v>
      </c>
      <c r="EW175" s="6"/>
      <c r="EX175" s="6" t="s">
        <v>1051</v>
      </c>
      <c r="EY175" s="6">
        <v>1</v>
      </c>
      <c r="EZ175" s="6">
        <v>1</v>
      </c>
      <c r="FA175" s="6">
        <v>1</v>
      </c>
      <c r="FB175" s="6">
        <v>1</v>
      </c>
      <c r="FC175" s="6">
        <v>1</v>
      </c>
      <c r="FD175" s="6">
        <v>0</v>
      </c>
      <c r="FE175" s="6">
        <v>0</v>
      </c>
      <c r="FF175" s="6">
        <v>0</v>
      </c>
      <c r="FG175" s="6"/>
      <c r="FH175" s="6" t="s">
        <v>2977</v>
      </c>
      <c r="FI175" s="6">
        <v>1</v>
      </c>
      <c r="FJ175" s="6">
        <v>0</v>
      </c>
      <c r="FK175" s="6">
        <v>1</v>
      </c>
      <c r="FL175" s="6">
        <v>0</v>
      </c>
      <c r="FM175" s="6">
        <v>0</v>
      </c>
      <c r="FN175" s="6">
        <v>1</v>
      </c>
      <c r="FO175" s="6">
        <v>0</v>
      </c>
      <c r="FP175" s="6">
        <v>0</v>
      </c>
      <c r="FQ175" s="6">
        <v>0</v>
      </c>
      <c r="FR175" s="6">
        <v>0</v>
      </c>
      <c r="FS175" s="6"/>
      <c r="FT175" s="6" t="s">
        <v>447</v>
      </c>
      <c r="FU175" s="6" t="s">
        <v>499</v>
      </c>
      <c r="FV175" s="6"/>
      <c r="FW175" s="6" t="s">
        <v>449</v>
      </c>
      <c r="FX175" s="15" t="s">
        <v>450</v>
      </c>
      <c r="FY175" s="6" t="s">
        <v>451</v>
      </c>
      <c r="FZ175" s="6"/>
      <c r="GA175" s="6" t="s">
        <v>450</v>
      </c>
      <c r="GB175" s="6" t="s">
        <v>501</v>
      </c>
      <c r="GC175" s="6" t="s">
        <v>426</v>
      </c>
      <c r="GD175" s="6" t="s">
        <v>2978</v>
      </c>
      <c r="GE175" s="6" t="s">
        <v>454</v>
      </c>
      <c r="GF175" s="6" t="s">
        <v>2979</v>
      </c>
      <c r="GG175" s="6" t="s">
        <v>456</v>
      </c>
      <c r="GH175" s="15" t="s">
        <v>2980</v>
      </c>
      <c r="GI175" s="6" t="s">
        <v>458</v>
      </c>
      <c r="GJ175" s="6" t="s">
        <v>645</v>
      </c>
      <c r="GK175" s="6" t="s">
        <v>460</v>
      </c>
      <c r="GL175" s="6" t="s">
        <v>720</v>
      </c>
      <c r="GM175" s="6">
        <v>1</v>
      </c>
      <c r="GN175" s="6">
        <v>0</v>
      </c>
      <c r="GO175" s="6">
        <v>0</v>
      </c>
      <c r="GP175" s="6">
        <v>0</v>
      </c>
      <c r="GQ175" s="6">
        <v>0</v>
      </c>
      <c r="GR175" s="6">
        <v>0</v>
      </c>
      <c r="GS175" s="6">
        <v>0</v>
      </c>
      <c r="GT175" s="6"/>
      <c r="GU175" s="6" t="s">
        <v>534</v>
      </c>
      <c r="GV175" s="6" t="s">
        <v>595</v>
      </c>
      <c r="GW175" s="6" t="s">
        <v>464</v>
      </c>
      <c r="GX175" s="6">
        <v>1</v>
      </c>
      <c r="GY175" s="6">
        <v>0</v>
      </c>
      <c r="GZ175" s="6">
        <v>0</v>
      </c>
      <c r="HA175" s="6">
        <v>0</v>
      </c>
      <c r="HB175" s="6">
        <v>0</v>
      </c>
      <c r="HC175" s="6">
        <v>0</v>
      </c>
      <c r="HD175" s="6"/>
      <c r="HE175" s="6" t="s">
        <v>596</v>
      </c>
      <c r="HF175" s="6">
        <v>1</v>
      </c>
      <c r="HG175" s="6">
        <v>1</v>
      </c>
      <c r="HH175" s="6">
        <v>1</v>
      </c>
      <c r="HI175" s="6">
        <v>1</v>
      </c>
      <c r="HJ175" s="6">
        <v>0</v>
      </c>
      <c r="HK175" s="6">
        <v>0</v>
      </c>
      <c r="HL175" s="15"/>
      <c r="HM175" s="6" t="s">
        <v>505</v>
      </c>
      <c r="HN175" s="6"/>
      <c r="HO175" s="6" t="s">
        <v>2981</v>
      </c>
      <c r="HP175" s="6" t="s">
        <v>561</v>
      </c>
      <c r="HQ175" s="6"/>
      <c r="HR175" s="6" t="s">
        <v>2982</v>
      </c>
      <c r="HS175" s="6" t="s">
        <v>508</v>
      </c>
      <c r="HT175" s="6">
        <v>0</v>
      </c>
      <c r="HU175" s="6">
        <v>0</v>
      </c>
      <c r="HV175" s="6">
        <v>1</v>
      </c>
      <c r="HW175" s="6">
        <v>0</v>
      </c>
      <c r="HX175" s="6">
        <v>0</v>
      </c>
      <c r="HY175" s="6">
        <v>0</v>
      </c>
      <c r="HZ175" s="6"/>
      <c r="IA175" s="6" t="s">
        <v>1284</v>
      </c>
      <c r="IB175" s="6">
        <v>1</v>
      </c>
      <c r="IC175" s="6">
        <v>1</v>
      </c>
      <c r="ID175" s="6">
        <v>1</v>
      </c>
      <c r="IE175" s="6">
        <v>1</v>
      </c>
      <c r="IF175" s="6">
        <v>0</v>
      </c>
      <c r="IG175" s="6">
        <v>0</v>
      </c>
      <c r="IH175" s="15" t="s">
        <v>2983</v>
      </c>
      <c r="II175" s="6" t="s">
        <v>426</v>
      </c>
      <c r="IJ175" s="6" t="s">
        <v>472</v>
      </c>
      <c r="IK175" s="6">
        <v>1</v>
      </c>
      <c r="IL175" s="6">
        <v>0</v>
      </c>
      <c r="IM175" s="6">
        <v>0</v>
      </c>
      <c r="IN175" s="6"/>
      <c r="IO175" s="6" t="s">
        <v>473</v>
      </c>
      <c r="IP175" s="6">
        <v>1</v>
      </c>
      <c r="IQ175" s="6">
        <v>0</v>
      </c>
      <c r="IR175" s="6">
        <v>0</v>
      </c>
      <c r="IS175" s="6">
        <v>0</v>
      </c>
      <c r="IT175" s="6">
        <v>0</v>
      </c>
      <c r="IU175" s="6">
        <v>0</v>
      </c>
      <c r="IV175" s="6"/>
      <c r="IW175" s="6" t="s">
        <v>453</v>
      </c>
      <c r="IX175" s="6"/>
      <c r="IY175" s="6" t="s">
        <v>510</v>
      </c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 t="s">
        <v>426</v>
      </c>
      <c r="JK175" s="6" t="s">
        <v>453</v>
      </c>
      <c r="JL175" s="6"/>
      <c r="JM175" s="6"/>
      <c r="JN175" s="6"/>
      <c r="JO175" s="6"/>
      <c r="JP175" s="6"/>
      <c r="JQ175" s="6"/>
      <c r="JR175" s="6"/>
      <c r="JS175" s="6"/>
      <c r="JT175" s="6"/>
      <c r="JU175" s="6" t="s">
        <v>544</v>
      </c>
      <c r="JV175" s="15"/>
      <c r="JW175" s="94" t="s">
        <v>2984</v>
      </c>
      <c r="JX175" s="6" t="s">
        <v>2985</v>
      </c>
      <c r="JY175" s="6">
        <v>0.823439</v>
      </c>
      <c r="JZ175" s="6">
        <v>34.8651575</v>
      </c>
      <c r="KA175" s="6">
        <v>1723.181</v>
      </c>
      <c r="KB175" s="15">
        <v>2.45</v>
      </c>
      <c r="KC175" s="15"/>
    </row>
    <row r="176" spans="1:289">
      <c r="A176" s="6" t="s">
        <v>755</v>
      </c>
      <c r="B176" s="6" t="s">
        <v>2503</v>
      </c>
      <c r="C176" s="7" t="s">
        <v>2504</v>
      </c>
      <c r="D176" s="6" t="s">
        <v>2986</v>
      </c>
      <c r="E176" s="6" t="s">
        <v>2987</v>
      </c>
      <c r="F176" s="8" t="s">
        <v>483</v>
      </c>
      <c r="G176" s="6" t="s">
        <v>424</v>
      </c>
      <c r="H176" s="6" t="s">
        <v>517</v>
      </c>
      <c r="I176" s="15"/>
      <c r="J176" s="6" t="s">
        <v>426</v>
      </c>
      <c r="K176" s="6" t="s">
        <v>426</v>
      </c>
      <c r="L176" s="6" t="s">
        <v>426</v>
      </c>
      <c r="M176" s="6" t="s">
        <v>426</v>
      </c>
      <c r="N176" s="6" t="s">
        <v>426</v>
      </c>
      <c r="O176" s="6" t="s">
        <v>426</v>
      </c>
      <c r="P176" s="6" t="s">
        <v>426</v>
      </c>
      <c r="Q176" s="6" t="s">
        <v>426</v>
      </c>
      <c r="R176" s="6" t="s">
        <v>426</v>
      </c>
      <c r="S176" s="6" t="s">
        <v>426</v>
      </c>
      <c r="T176" s="6" t="s">
        <v>426</v>
      </c>
      <c r="U176" s="6" t="s">
        <v>426</v>
      </c>
      <c r="V176" s="6" t="s">
        <v>453</v>
      </c>
      <c r="W176" s="6" t="s">
        <v>453</v>
      </c>
      <c r="X176" s="6" t="s">
        <v>426</v>
      </c>
      <c r="Y176" s="6" t="s">
        <v>426</v>
      </c>
      <c r="Z176" s="6" t="s">
        <v>426</v>
      </c>
      <c r="AA176" s="6" t="s">
        <v>426</v>
      </c>
      <c r="AB176" s="6" t="s">
        <v>426</v>
      </c>
      <c r="AC176" s="15" t="s">
        <v>426</v>
      </c>
      <c r="AD176" s="6" t="s">
        <v>427</v>
      </c>
      <c r="AE176" s="6">
        <v>0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/>
      <c r="AN176" s="15"/>
      <c r="AO176" s="6" t="s">
        <v>426</v>
      </c>
      <c r="AP176" s="6" t="s">
        <v>809</v>
      </c>
      <c r="AQ176" s="6" t="s">
        <v>426</v>
      </c>
      <c r="AR176" s="6" t="s">
        <v>809</v>
      </c>
      <c r="AS176" s="6" t="s">
        <v>426</v>
      </c>
      <c r="AT176" s="6">
        <v>0.2</v>
      </c>
      <c r="AU176" s="6" t="s">
        <v>453</v>
      </c>
      <c r="AV176" s="6"/>
      <c r="AW176" s="6" t="s">
        <v>426</v>
      </c>
      <c r="AX176" s="6">
        <v>0.3</v>
      </c>
      <c r="AY176" s="6" t="s">
        <v>426</v>
      </c>
      <c r="AZ176" s="6">
        <v>5</v>
      </c>
      <c r="BA176" s="6" t="s">
        <v>453</v>
      </c>
      <c r="BB176" s="6"/>
      <c r="BC176" s="6" t="s">
        <v>426</v>
      </c>
      <c r="BD176" s="6">
        <v>0.4</v>
      </c>
      <c r="BE176" s="6" t="s">
        <v>453</v>
      </c>
      <c r="BF176" s="6"/>
      <c r="BG176" s="6" t="s">
        <v>426</v>
      </c>
      <c r="BH176" s="6">
        <v>0.2</v>
      </c>
      <c r="BI176" s="6" t="s">
        <v>426</v>
      </c>
      <c r="BJ176" s="6">
        <v>0.2</v>
      </c>
      <c r="BK176" s="6" t="s">
        <v>426</v>
      </c>
      <c r="BL176" s="6">
        <v>0.1</v>
      </c>
      <c r="BM176" s="6" t="s">
        <v>426</v>
      </c>
      <c r="BN176" s="6">
        <v>120</v>
      </c>
      <c r="BO176" s="6" t="s">
        <v>426</v>
      </c>
      <c r="BP176" s="6">
        <v>0.2</v>
      </c>
      <c r="BQ176" s="6" t="s">
        <v>426</v>
      </c>
      <c r="BR176" s="6">
        <v>100</v>
      </c>
      <c r="BS176" s="6" t="s">
        <v>426</v>
      </c>
      <c r="BT176" s="6">
        <v>4</v>
      </c>
      <c r="BU176" s="6" t="s">
        <v>426</v>
      </c>
      <c r="BV176" s="15">
        <v>0.5</v>
      </c>
      <c r="BW176" s="15" t="s">
        <v>2263</v>
      </c>
      <c r="BX176" s="15" t="s">
        <v>429</v>
      </c>
      <c r="BY176" s="6" t="s">
        <v>430</v>
      </c>
      <c r="BZ176" s="6" t="s">
        <v>430</v>
      </c>
      <c r="CA176" s="6" t="s">
        <v>430</v>
      </c>
      <c r="CB176" s="6" t="s">
        <v>487</v>
      </c>
      <c r="CC176" s="6" t="s">
        <v>430</v>
      </c>
      <c r="CD176" s="6" t="s">
        <v>430</v>
      </c>
      <c r="CE176" s="6" t="s">
        <v>487</v>
      </c>
      <c r="CF176" s="6" t="s">
        <v>430</v>
      </c>
      <c r="CG176" s="6" t="s">
        <v>487</v>
      </c>
      <c r="CH176" s="6" t="s">
        <v>430</v>
      </c>
      <c r="CI176" s="6" t="s">
        <v>430</v>
      </c>
      <c r="CJ176" s="6" t="s">
        <v>430</v>
      </c>
      <c r="CK176" s="6" t="s">
        <v>430</v>
      </c>
      <c r="CL176" s="6" t="s">
        <v>430</v>
      </c>
      <c r="CM176" s="6" t="s">
        <v>430</v>
      </c>
      <c r="CN176" s="6" t="s">
        <v>431</v>
      </c>
      <c r="CO176" s="15" t="s">
        <v>430</v>
      </c>
      <c r="CP176" s="15" t="s">
        <v>432</v>
      </c>
      <c r="CQ176" s="6" t="s">
        <v>433</v>
      </c>
      <c r="CR176" s="15"/>
      <c r="CS176" s="6" t="s">
        <v>426</v>
      </c>
      <c r="CT176" s="6" t="s">
        <v>2988</v>
      </c>
      <c r="CU176" s="6" t="s">
        <v>683</v>
      </c>
      <c r="CV176" s="6" t="s">
        <v>662</v>
      </c>
      <c r="CW176" s="6" t="s">
        <v>735</v>
      </c>
      <c r="CX176" s="15" t="s">
        <v>426</v>
      </c>
      <c r="CY176" s="6" t="s">
        <v>426</v>
      </c>
      <c r="CZ176" s="6" t="s">
        <v>2989</v>
      </c>
      <c r="DA176" s="6" t="s">
        <v>689</v>
      </c>
      <c r="DB176" s="6" t="s">
        <v>920</v>
      </c>
      <c r="DC176" s="6" t="s">
        <v>662</v>
      </c>
      <c r="DD176" s="15" t="s">
        <v>689</v>
      </c>
      <c r="DE176" s="15" t="s">
        <v>436</v>
      </c>
      <c r="DF176" s="6" t="s">
        <v>2990</v>
      </c>
      <c r="DG176" s="6">
        <v>1</v>
      </c>
      <c r="DH176" s="6">
        <v>1</v>
      </c>
      <c r="DI176" s="6">
        <v>1</v>
      </c>
      <c r="DJ176" s="6">
        <v>1</v>
      </c>
      <c r="DK176" s="6">
        <v>1</v>
      </c>
      <c r="DL176" s="6">
        <v>0</v>
      </c>
      <c r="DM176" s="6"/>
      <c r="DN176" s="6"/>
      <c r="DO176" s="6"/>
      <c r="DP176" s="6"/>
      <c r="DQ176" s="6"/>
      <c r="DR176" s="6"/>
      <c r="DS176" s="6"/>
      <c r="DT176" s="66"/>
      <c r="DU176" s="6" t="s">
        <v>438</v>
      </c>
      <c r="DV176" s="6" t="s">
        <v>426</v>
      </c>
      <c r="DW176" s="6" t="s">
        <v>439</v>
      </c>
      <c r="DX176" s="6" t="s">
        <v>440</v>
      </c>
      <c r="DY176" s="6"/>
      <c r="DZ176" s="6" t="s">
        <v>768</v>
      </c>
      <c r="EA176" s="6">
        <v>1</v>
      </c>
      <c r="EB176" s="6">
        <v>1</v>
      </c>
      <c r="EC176" s="6">
        <v>1</v>
      </c>
      <c r="ED176" s="6">
        <v>1</v>
      </c>
      <c r="EE176" s="6">
        <v>1</v>
      </c>
      <c r="EF176" s="6">
        <v>0</v>
      </c>
      <c r="EG176" s="6">
        <v>0</v>
      </c>
      <c r="EH176" s="6">
        <v>0</v>
      </c>
      <c r="EI176" s="6"/>
      <c r="EJ176" s="6" t="s">
        <v>697</v>
      </c>
      <c r="EK176" s="6">
        <v>1</v>
      </c>
      <c r="EL176" s="6">
        <v>1</v>
      </c>
      <c r="EM176" s="6">
        <v>1</v>
      </c>
      <c r="EN176" s="6">
        <v>1</v>
      </c>
      <c r="EO176" s="6">
        <v>1</v>
      </c>
      <c r="EP176" s="6">
        <v>1</v>
      </c>
      <c r="EQ176" s="6">
        <v>0</v>
      </c>
      <c r="ER176" s="6">
        <v>0</v>
      </c>
      <c r="ES176" s="6">
        <v>0</v>
      </c>
      <c r="ET176" s="6"/>
      <c r="EU176" s="6" t="s">
        <v>443</v>
      </c>
      <c r="EV176" s="6" t="s">
        <v>554</v>
      </c>
      <c r="EW176" s="6"/>
      <c r="EX176" s="6" t="s">
        <v>1051</v>
      </c>
      <c r="EY176" s="6">
        <v>1</v>
      </c>
      <c r="EZ176" s="6">
        <v>1</v>
      </c>
      <c r="FA176" s="6">
        <v>1</v>
      </c>
      <c r="FB176" s="6">
        <v>1</v>
      </c>
      <c r="FC176" s="6">
        <v>1</v>
      </c>
      <c r="FD176" s="6">
        <v>0</v>
      </c>
      <c r="FE176" s="6">
        <v>0</v>
      </c>
      <c r="FF176" s="6">
        <v>0</v>
      </c>
      <c r="FG176" s="6"/>
      <c r="FH176" s="6" t="s">
        <v>812</v>
      </c>
      <c r="FI176" s="6">
        <v>1</v>
      </c>
      <c r="FJ176" s="6">
        <v>0</v>
      </c>
      <c r="FK176" s="6">
        <v>0</v>
      </c>
      <c r="FL176" s="6">
        <v>0</v>
      </c>
      <c r="FM176" s="6">
        <v>0</v>
      </c>
      <c r="FN176" s="6">
        <v>0</v>
      </c>
      <c r="FO176" s="6">
        <v>0</v>
      </c>
      <c r="FP176" s="6">
        <v>0</v>
      </c>
      <c r="FQ176" s="6">
        <v>0</v>
      </c>
      <c r="FR176" s="6">
        <v>0</v>
      </c>
      <c r="FS176" s="6"/>
      <c r="FT176" s="6" t="s">
        <v>447</v>
      </c>
      <c r="FU176" s="6" t="s">
        <v>499</v>
      </c>
      <c r="FV176" s="6"/>
      <c r="FW176" s="6" t="s">
        <v>449</v>
      </c>
      <c r="FX176" s="15" t="s">
        <v>450</v>
      </c>
      <c r="FY176" s="6" t="s">
        <v>451</v>
      </c>
      <c r="FZ176" s="6"/>
      <c r="GA176" s="6" t="s">
        <v>450</v>
      </c>
      <c r="GB176" s="6" t="s">
        <v>501</v>
      </c>
      <c r="GC176" s="6" t="s">
        <v>426</v>
      </c>
      <c r="GD176" s="6" t="s">
        <v>2991</v>
      </c>
      <c r="GE176" s="6" t="s">
        <v>454</v>
      </c>
      <c r="GF176" s="6" t="s">
        <v>2992</v>
      </c>
      <c r="GG176" s="6" t="s">
        <v>456</v>
      </c>
      <c r="GH176" s="15" t="s">
        <v>2993</v>
      </c>
      <c r="GI176" s="6" t="s">
        <v>458</v>
      </c>
      <c r="GJ176" s="6" t="s">
        <v>2994</v>
      </c>
      <c r="GK176" s="6" t="s">
        <v>460</v>
      </c>
      <c r="GL176" s="6" t="s">
        <v>461</v>
      </c>
      <c r="GM176" s="6">
        <v>0</v>
      </c>
      <c r="GN176" s="6">
        <v>0</v>
      </c>
      <c r="GO176" s="6">
        <v>0</v>
      </c>
      <c r="GP176" s="6">
        <v>0</v>
      </c>
      <c r="GQ176" s="6">
        <v>0</v>
      </c>
      <c r="GR176" s="6">
        <v>1</v>
      </c>
      <c r="GS176" s="6">
        <v>0</v>
      </c>
      <c r="GT176" s="6"/>
      <c r="GU176" s="6" t="s">
        <v>534</v>
      </c>
      <c r="GV176" s="6" t="s">
        <v>595</v>
      </c>
      <c r="GW176" s="6" t="s">
        <v>464</v>
      </c>
      <c r="GX176" s="6">
        <v>1</v>
      </c>
      <c r="GY176" s="6">
        <v>0</v>
      </c>
      <c r="GZ176" s="6">
        <v>0</v>
      </c>
      <c r="HA176" s="6">
        <v>0</v>
      </c>
      <c r="HB176" s="6">
        <v>0</v>
      </c>
      <c r="HC176" s="6">
        <v>0</v>
      </c>
      <c r="HD176" s="6"/>
      <c r="HE176" s="6" t="s">
        <v>596</v>
      </c>
      <c r="HF176" s="6">
        <v>1</v>
      </c>
      <c r="HG176" s="6">
        <v>1</v>
      </c>
      <c r="HH176" s="6">
        <v>1</v>
      </c>
      <c r="HI176" s="6">
        <v>1</v>
      </c>
      <c r="HJ176" s="6">
        <v>0</v>
      </c>
      <c r="HK176" s="6">
        <v>0</v>
      </c>
      <c r="HL176" s="15"/>
      <c r="HM176" s="6" t="s">
        <v>505</v>
      </c>
      <c r="HN176" s="6"/>
      <c r="HO176" s="6" t="s">
        <v>2995</v>
      </c>
      <c r="HP176" s="6" t="s">
        <v>561</v>
      </c>
      <c r="HQ176" s="6"/>
      <c r="HR176" s="6" t="s">
        <v>2969</v>
      </c>
      <c r="HS176" s="6" t="s">
        <v>1315</v>
      </c>
      <c r="HT176" s="6">
        <v>0</v>
      </c>
      <c r="HU176" s="6">
        <v>0</v>
      </c>
      <c r="HV176" s="6">
        <v>1</v>
      </c>
      <c r="HW176" s="6">
        <v>0</v>
      </c>
      <c r="HX176" s="6">
        <v>1</v>
      </c>
      <c r="HY176" s="6">
        <v>1</v>
      </c>
      <c r="HZ176" s="6"/>
      <c r="IA176" s="6" t="s">
        <v>2996</v>
      </c>
      <c r="IB176" s="6">
        <v>1</v>
      </c>
      <c r="IC176" s="6">
        <v>1</v>
      </c>
      <c r="ID176" s="6">
        <v>0</v>
      </c>
      <c r="IE176" s="6">
        <v>1</v>
      </c>
      <c r="IF176" s="6">
        <v>1</v>
      </c>
      <c r="IG176" s="6">
        <v>0</v>
      </c>
      <c r="IH176" s="15" t="s">
        <v>2997</v>
      </c>
      <c r="II176" s="6" t="s">
        <v>426</v>
      </c>
      <c r="IJ176" s="6" t="s">
        <v>472</v>
      </c>
      <c r="IK176" s="6">
        <v>1</v>
      </c>
      <c r="IL176" s="6">
        <v>0</v>
      </c>
      <c r="IM176" s="6">
        <v>0</v>
      </c>
      <c r="IN176" s="6"/>
      <c r="IO176" s="6" t="s">
        <v>473</v>
      </c>
      <c r="IP176" s="6">
        <v>1</v>
      </c>
      <c r="IQ176" s="6">
        <v>0</v>
      </c>
      <c r="IR176" s="6">
        <v>0</v>
      </c>
      <c r="IS176" s="6">
        <v>0</v>
      </c>
      <c r="IT176" s="6">
        <v>0</v>
      </c>
      <c r="IU176" s="6">
        <v>0</v>
      </c>
      <c r="IV176" s="6"/>
      <c r="IW176" s="6" t="s">
        <v>453</v>
      </c>
      <c r="IX176" s="6"/>
      <c r="IY176" s="6" t="s">
        <v>510</v>
      </c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 t="s">
        <v>426</v>
      </c>
      <c r="JK176" s="6" t="s">
        <v>453</v>
      </c>
      <c r="JL176" s="6"/>
      <c r="JM176" s="6"/>
      <c r="JN176" s="6"/>
      <c r="JO176" s="6"/>
      <c r="JP176" s="6"/>
      <c r="JQ176" s="6"/>
      <c r="JR176" s="6"/>
      <c r="JS176" s="6"/>
      <c r="JT176" s="6"/>
      <c r="JU176" s="6" t="s">
        <v>544</v>
      </c>
      <c r="JV176" s="15"/>
      <c r="JW176" s="94" t="s">
        <v>2998</v>
      </c>
      <c r="JX176" s="6" t="s">
        <v>2999</v>
      </c>
      <c r="JY176" s="6">
        <v>0.8233989</v>
      </c>
      <c r="JZ176" s="6">
        <v>34.8651839</v>
      </c>
      <c r="KA176" s="6">
        <v>1707.526</v>
      </c>
      <c r="KB176" s="15">
        <v>3.039</v>
      </c>
      <c r="KC176" s="15"/>
    </row>
    <row r="177" spans="1:289">
      <c r="A177" s="6" t="s">
        <v>2115</v>
      </c>
      <c r="B177" s="6" t="s">
        <v>2503</v>
      </c>
      <c r="C177" s="7" t="s">
        <v>2504</v>
      </c>
      <c r="D177" s="6" t="s">
        <v>2505</v>
      </c>
      <c r="E177" s="6" t="s">
        <v>3000</v>
      </c>
      <c r="F177" s="8" t="s">
        <v>423</v>
      </c>
      <c r="G177" s="6" t="s">
        <v>424</v>
      </c>
      <c r="H177" s="6" t="s">
        <v>425</v>
      </c>
      <c r="I177" s="15"/>
      <c r="J177" s="6" t="s">
        <v>426</v>
      </c>
      <c r="K177" s="6" t="s">
        <v>426</v>
      </c>
      <c r="L177" s="6" t="s">
        <v>426</v>
      </c>
      <c r="M177" s="6" t="s">
        <v>426</v>
      </c>
      <c r="N177" s="6" t="s">
        <v>426</v>
      </c>
      <c r="O177" s="6" t="s">
        <v>426</v>
      </c>
      <c r="P177" s="6" t="s">
        <v>426</v>
      </c>
      <c r="Q177" s="6" t="s">
        <v>426</v>
      </c>
      <c r="R177" s="6" t="s">
        <v>426</v>
      </c>
      <c r="S177" s="6" t="s">
        <v>426</v>
      </c>
      <c r="T177" s="6" t="s">
        <v>426</v>
      </c>
      <c r="U177" s="6" t="s">
        <v>426</v>
      </c>
      <c r="V177" s="6" t="s">
        <v>426</v>
      </c>
      <c r="W177" s="6" t="s">
        <v>426</v>
      </c>
      <c r="X177" s="6" t="s">
        <v>426</v>
      </c>
      <c r="Y177" s="6" t="s">
        <v>426</v>
      </c>
      <c r="Z177" s="6" t="s">
        <v>426</v>
      </c>
      <c r="AA177" s="6" t="s">
        <v>426</v>
      </c>
      <c r="AB177" s="6" t="s">
        <v>426</v>
      </c>
      <c r="AC177" s="15" t="s">
        <v>426</v>
      </c>
      <c r="AD177" s="6" t="s">
        <v>427</v>
      </c>
      <c r="AE177" s="6">
        <v>0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0</v>
      </c>
      <c r="AL177" s="6">
        <v>0</v>
      </c>
      <c r="AM177" s="6"/>
      <c r="AN177" s="15"/>
      <c r="AO177" s="6" t="s">
        <v>426</v>
      </c>
      <c r="AP177" s="6" t="s">
        <v>985</v>
      </c>
      <c r="AQ177" s="6" t="s">
        <v>426</v>
      </c>
      <c r="AR177" s="6" t="s">
        <v>901</v>
      </c>
      <c r="AS177" s="6" t="s">
        <v>426</v>
      </c>
      <c r="AT177" s="6">
        <v>0.5</v>
      </c>
      <c r="AU177" s="6" t="s">
        <v>426</v>
      </c>
      <c r="AV177" s="6">
        <v>0.5</v>
      </c>
      <c r="AW177" s="6" t="s">
        <v>426</v>
      </c>
      <c r="AX177" s="6">
        <v>0.2</v>
      </c>
      <c r="AY177" s="6" t="s">
        <v>426</v>
      </c>
      <c r="AZ177" s="6">
        <v>1</v>
      </c>
      <c r="BA177" s="6" t="s">
        <v>426</v>
      </c>
      <c r="BB177" s="6">
        <v>0.5</v>
      </c>
      <c r="BC177" s="6" t="s">
        <v>426</v>
      </c>
      <c r="BD177" s="6">
        <v>0.5</v>
      </c>
      <c r="BE177" s="6" t="s">
        <v>426</v>
      </c>
      <c r="BF177" s="6">
        <v>2</v>
      </c>
      <c r="BG177" s="6" t="s">
        <v>426</v>
      </c>
      <c r="BH177" s="6">
        <v>0.125</v>
      </c>
      <c r="BI177" s="6" t="s">
        <v>426</v>
      </c>
      <c r="BJ177" s="6">
        <v>0.25</v>
      </c>
      <c r="BK177" s="6" t="s">
        <v>426</v>
      </c>
      <c r="BL177" s="6">
        <v>0.5</v>
      </c>
      <c r="BM177" s="6" t="s">
        <v>426</v>
      </c>
      <c r="BN177" s="6">
        <v>25</v>
      </c>
      <c r="BO177" s="6" t="s">
        <v>426</v>
      </c>
      <c r="BP177" s="6">
        <v>0.2</v>
      </c>
      <c r="BQ177" s="6" t="s">
        <v>426</v>
      </c>
      <c r="BR177" s="6">
        <v>20</v>
      </c>
      <c r="BS177" s="6" t="s">
        <v>426</v>
      </c>
      <c r="BT177" s="6">
        <v>1</v>
      </c>
      <c r="BU177" s="6" t="s">
        <v>426</v>
      </c>
      <c r="BV177" s="15">
        <v>0.5</v>
      </c>
      <c r="BW177" s="15" t="s">
        <v>2263</v>
      </c>
      <c r="BX177" s="15" t="s">
        <v>429</v>
      </c>
      <c r="BY177" s="6" t="s">
        <v>430</v>
      </c>
      <c r="BZ177" s="6" t="s">
        <v>430</v>
      </c>
      <c r="CA177" s="6" t="s">
        <v>430</v>
      </c>
      <c r="CB177" s="6" t="s">
        <v>430</v>
      </c>
      <c r="CC177" s="6" t="s">
        <v>430</v>
      </c>
      <c r="CD177" s="6" t="s">
        <v>430</v>
      </c>
      <c r="CE177" s="6" t="s">
        <v>430</v>
      </c>
      <c r="CF177" s="6" t="s">
        <v>430</v>
      </c>
      <c r="CG177" s="6" t="s">
        <v>430</v>
      </c>
      <c r="CH177" s="6" t="s">
        <v>430</v>
      </c>
      <c r="CI177" s="6" t="s">
        <v>430</v>
      </c>
      <c r="CJ177" s="6" t="s">
        <v>430</v>
      </c>
      <c r="CK177" s="6" t="s">
        <v>430</v>
      </c>
      <c r="CL177" s="6" t="s">
        <v>430</v>
      </c>
      <c r="CM177" s="6" t="s">
        <v>430</v>
      </c>
      <c r="CN177" s="6" t="s">
        <v>430</v>
      </c>
      <c r="CO177" s="15" t="s">
        <v>430</v>
      </c>
      <c r="CP177" s="15" t="s">
        <v>432</v>
      </c>
      <c r="CQ177" s="6" t="s">
        <v>433</v>
      </c>
      <c r="CR177" s="15"/>
      <c r="CS177" s="6" t="s">
        <v>426</v>
      </c>
      <c r="CT177" s="6" t="s">
        <v>3001</v>
      </c>
      <c r="CU177" s="6" t="s">
        <v>766</v>
      </c>
      <c r="CV177" s="6" t="s">
        <v>809</v>
      </c>
      <c r="CW177" s="6" t="s">
        <v>1678</v>
      </c>
      <c r="CX177" s="15" t="s">
        <v>426</v>
      </c>
      <c r="CY177" s="6" t="s">
        <v>426</v>
      </c>
      <c r="CZ177" s="6" t="s">
        <v>3001</v>
      </c>
      <c r="DA177" s="6" t="s">
        <v>868</v>
      </c>
      <c r="DB177" s="6" t="s">
        <v>688</v>
      </c>
      <c r="DC177" s="6" t="s">
        <v>809</v>
      </c>
      <c r="DD177" s="15" t="s">
        <v>935</v>
      </c>
      <c r="DE177" s="15" t="s">
        <v>436</v>
      </c>
      <c r="DF177" s="6" t="s">
        <v>437</v>
      </c>
      <c r="DG177" s="6">
        <v>1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/>
      <c r="DN177" s="6"/>
      <c r="DO177" s="6"/>
      <c r="DP177" s="6"/>
      <c r="DQ177" s="6"/>
      <c r="DR177" s="6"/>
      <c r="DS177" s="6"/>
      <c r="DT177" s="66"/>
      <c r="DU177" s="6" t="s">
        <v>438</v>
      </c>
      <c r="DV177" s="6" t="s">
        <v>426</v>
      </c>
      <c r="DW177" s="6" t="s">
        <v>439</v>
      </c>
      <c r="DX177" s="6" t="s">
        <v>440</v>
      </c>
      <c r="DY177" s="6"/>
      <c r="DZ177" s="6" t="s">
        <v>441</v>
      </c>
      <c r="EA177" s="6">
        <v>1</v>
      </c>
      <c r="EB177" s="6">
        <v>0</v>
      </c>
      <c r="EC177" s="6">
        <v>0</v>
      </c>
      <c r="ED177" s="6">
        <v>0</v>
      </c>
      <c r="EE177" s="6">
        <v>0</v>
      </c>
      <c r="EF177" s="6">
        <v>0</v>
      </c>
      <c r="EG177" s="6">
        <v>0</v>
      </c>
      <c r="EH177" s="6">
        <v>0</v>
      </c>
      <c r="EI177" s="6"/>
      <c r="EJ177" s="6" t="s">
        <v>811</v>
      </c>
      <c r="EK177" s="6">
        <v>1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6">
        <v>0</v>
      </c>
      <c r="ES177" s="6">
        <v>0</v>
      </c>
      <c r="ET177" s="6"/>
      <c r="EU177" s="6" t="s">
        <v>443</v>
      </c>
      <c r="EV177" s="6" t="s">
        <v>588</v>
      </c>
      <c r="EW177" s="6"/>
      <c r="EX177" s="6" t="s">
        <v>1123</v>
      </c>
      <c r="EY177" s="6">
        <v>1</v>
      </c>
      <c r="EZ177" s="6">
        <v>0</v>
      </c>
      <c r="FA177" s="6">
        <v>0</v>
      </c>
      <c r="FB177" s="6">
        <v>0</v>
      </c>
      <c r="FC177" s="6">
        <v>0</v>
      </c>
      <c r="FD177" s="6">
        <v>0</v>
      </c>
      <c r="FE177" s="6">
        <v>0</v>
      </c>
      <c r="FF177" s="6">
        <v>0</v>
      </c>
      <c r="FG177" s="6"/>
      <c r="FH177" s="6" t="s">
        <v>909</v>
      </c>
      <c r="FI177" s="6">
        <v>0</v>
      </c>
      <c r="FJ177" s="6">
        <v>0</v>
      </c>
      <c r="FK177" s="6">
        <v>0</v>
      </c>
      <c r="FL177" s="6">
        <v>0</v>
      </c>
      <c r="FM177" s="6">
        <v>1</v>
      </c>
      <c r="FN177" s="6">
        <v>0</v>
      </c>
      <c r="FO177" s="6">
        <v>0</v>
      </c>
      <c r="FP177" s="6">
        <v>0</v>
      </c>
      <c r="FQ177" s="6">
        <v>0</v>
      </c>
      <c r="FR177" s="6">
        <v>0</v>
      </c>
      <c r="FS177" s="6"/>
      <c r="FT177" s="6" t="s">
        <v>447</v>
      </c>
      <c r="FU177" s="6" t="s">
        <v>499</v>
      </c>
      <c r="FV177" s="6"/>
      <c r="FW177" s="6" t="s">
        <v>449</v>
      </c>
      <c r="FX177" s="15" t="s">
        <v>450</v>
      </c>
      <c r="FY177" s="6" t="s">
        <v>500</v>
      </c>
      <c r="FZ177" s="6"/>
      <c r="GA177" s="6" t="s">
        <v>450</v>
      </c>
      <c r="GB177" s="6" t="s">
        <v>501</v>
      </c>
      <c r="GC177" s="6" t="s">
        <v>453</v>
      </c>
      <c r="GD177" s="6"/>
      <c r="GE177" s="6" t="s">
        <v>454</v>
      </c>
      <c r="GF177" s="6" t="s">
        <v>2121</v>
      </c>
      <c r="GG177" s="6" t="s">
        <v>456</v>
      </c>
      <c r="GH177" s="15" t="s">
        <v>2121</v>
      </c>
      <c r="GI177" s="6" t="s">
        <v>458</v>
      </c>
      <c r="GJ177" s="6" t="s">
        <v>3002</v>
      </c>
      <c r="GK177" s="6" t="s">
        <v>460</v>
      </c>
      <c r="GL177" s="6" t="s">
        <v>461</v>
      </c>
      <c r="GM177" s="6">
        <v>0</v>
      </c>
      <c r="GN177" s="6">
        <v>0</v>
      </c>
      <c r="GO177" s="6">
        <v>0</v>
      </c>
      <c r="GP177" s="6">
        <v>0</v>
      </c>
      <c r="GQ177" s="6">
        <v>0</v>
      </c>
      <c r="GR177" s="6">
        <v>1</v>
      </c>
      <c r="GS177" s="6">
        <v>0</v>
      </c>
      <c r="GT177" s="6"/>
      <c r="GU177" s="6" t="s">
        <v>534</v>
      </c>
      <c r="GV177" s="6" t="s">
        <v>595</v>
      </c>
      <c r="GW177" s="6" t="s">
        <v>464</v>
      </c>
      <c r="GX177" s="6">
        <v>1</v>
      </c>
      <c r="GY177" s="6">
        <v>0</v>
      </c>
      <c r="GZ177" s="6">
        <v>0</v>
      </c>
      <c r="HA177" s="6">
        <v>0</v>
      </c>
      <c r="HB177" s="6">
        <v>0</v>
      </c>
      <c r="HC177" s="6">
        <v>0</v>
      </c>
      <c r="HD177" s="6"/>
      <c r="HE177" s="6" t="s">
        <v>646</v>
      </c>
      <c r="HF177" s="6">
        <v>0</v>
      </c>
      <c r="HG177" s="6">
        <v>0</v>
      </c>
      <c r="HH177" s="6">
        <v>1</v>
      </c>
      <c r="HI177" s="6">
        <v>0</v>
      </c>
      <c r="HJ177" s="6">
        <v>0</v>
      </c>
      <c r="HK177" s="6">
        <v>0</v>
      </c>
      <c r="HL177" s="15"/>
      <c r="HM177" s="6" t="s">
        <v>505</v>
      </c>
      <c r="HN177" s="6"/>
      <c r="HO177" s="6" t="s">
        <v>3003</v>
      </c>
      <c r="HP177" s="6" t="s">
        <v>468</v>
      </c>
      <c r="HQ177" s="6"/>
      <c r="HR177" s="6" t="s">
        <v>3004</v>
      </c>
      <c r="HS177" s="6" t="s">
        <v>540</v>
      </c>
      <c r="HT177" s="6">
        <v>1</v>
      </c>
      <c r="HU177" s="6">
        <v>0</v>
      </c>
      <c r="HV177" s="6">
        <v>0</v>
      </c>
      <c r="HW177" s="6">
        <v>0</v>
      </c>
      <c r="HX177" s="6">
        <v>0</v>
      </c>
      <c r="HY177" s="6">
        <v>0</v>
      </c>
      <c r="HZ177" s="6"/>
      <c r="IA177" s="6" t="s">
        <v>111</v>
      </c>
      <c r="IB177" s="6">
        <v>1</v>
      </c>
      <c r="IC177" s="6">
        <v>0</v>
      </c>
      <c r="ID177" s="6">
        <v>0</v>
      </c>
      <c r="IE177" s="6">
        <v>0</v>
      </c>
      <c r="IF177" s="6">
        <v>0</v>
      </c>
      <c r="IG177" s="6">
        <v>0</v>
      </c>
      <c r="IH177" s="15" t="s">
        <v>3005</v>
      </c>
      <c r="II177" s="6" t="s">
        <v>426</v>
      </c>
      <c r="IJ177" s="6" t="s">
        <v>543</v>
      </c>
      <c r="IK177" s="6">
        <v>0</v>
      </c>
      <c r="IL177" s="6">
        <v>1</v>
      </c>
      <c r="IM177" s="6">
        <v>0</v>
      </c>
      <c r="IN177" s="6"/>
      <c r="IO177" s="6" t="s">
        <v>473</v>
      </c>
      <c r="IP177" s="6">
        <v>1</v>
      </c>
      <c r="IQ177" s="6">
        <v>0</v>
      </c>
      <c r="IR177" s="6">
        <v>0</v>
      </c>
      <c r="IS177" s="6">
        <v>0</v>
      </c>
      <c r="IT177" s="6">
        <v>0</v>
      </c>
      <c r="IU177" s="6">
        <v>0</v>
      </c>
      <c r="IV177" s="6"/>
      <c r="IW177" s="6" t="s">
        <v>426</v>
      </c>
      <c r="IX177" s="6">
        <v>1</v>
      </c>
      <c r="IY177" s="6" t="s">
        <v>474</v>
      </c>
      <c r="IZ177" s="6" t="s">
        <v>475</v>
      </c>
      <c r="JA177" s="6" t="s">
        <v>426</v>
      </c>
      <c r="JB177" s="6" t="s">
        <v>476</v>
      </c>
      <c r="JC177" s="6"/>
      <c r="JD177" s="6"/>
      <c r="JE177" s="6"/>
      <c r="JF177" s="6"/>
      <c r="JG177" s="6"/>
      <c r="JH177" s="6"/>
      <c r="JI177" s="6"/>
      <c r="JJ177" s="6"/>
      <c r="JK177" s="6" t="s">
        <v>453</v>
      </c>
      <c r="JL177" s="6"/>
      <c r="JM177" s="6"/>
      <c r="JN177" s="6"/>
      <c r="JO177" s="6"/>
      <c r="JP177" s="6"/>
      <c r="JQ177" s="6"/>
      <c r="JR177" s="6"/>
      <c r="JS177" s="6"/>
      <c r="JT177" s="6"/>
      <c r="JU177" s="6" t="s">
        <v>544</v>
      </c>
      <c r="JV177" s="15"/>
      <c r="JW177" s="94" t="s">
        <v>3006</v>
      </c>
      <c r="JX177" s="6" t="s">
        <v>3007</v>
      </c>
      <c r="JY177" s="6">
        <v>0.8316643</v>
      </c>
      <c r="JZ177" s="6">
        <v>34.8652277</v>
      </c>
      <c r="KA177" s="6">
        <v>1755.266</v>
      </c>
      <c r="KB177" s="15">
        <v>0.617</v>
      </c>
      <c r="KC177" s="15"/>
    </row>
    <row r="178" spans="1:289">
      <c r="A178" s="6" t="s">
        <v>480</v>
      </c>
      <c r="B178" s="6" t="s">
        <v>2503</v>
      </c>
      <c r="C178" s="7" t="s">
        <v>2504</v>
      </c>
      <c r="D178" s="6" t="s">
        <v>2706</v>
      </c>
      <c r="E178" s="6" t="s">
        <v>3008</v>
      </c>
      <c r="F178" s="8" t="s">
        <v>483</v>
      </c>
      <c r="G178" s="6" t="s">
        <v>567</v>
      </c>
      <c r="H178" s="6" t="s">
        <v>425</v>
      </c>
      <c r="I178" s="15"/>
      <c r="J178" s="6" t="s">
        <v>426</v>
      </c>
      <c r="K178" s="6" t="s">
        <v>453</v>
      </c>
      <c r="L178" s="6" t="s">
        <v>453</v>
      </c>
      <c r="M178" s="6" t="s">
        <v>453</v>
      </c>
      <c r="N178" s="6" t="s">
        <v>426</v>
      </c>
      <c r="O178" s="6" t="s">
        <v>453</v>
      </c>
      <c r="P178" s="6" t="s">
        <v>453</v>
      </c>
      <c r="Q178" s="6" t="s">
        <v>453</v>
      </c>
      <c r="R178" s="6" t="s">
        <v>426</v>
      </c>
      <c r="S178" s="6" t="s">
        <v>426</v>
      </c>
      <c r="T178" s="6" t="s">
        <v>426</v>
      </c>
      <c r="U178" s="6" t="s">
        <v>426</v>
      </c>
      <c r="V178" s="6" t="s">
        <v>426</v>
      </c>
      <c r="W178" s="6" t="s">
        <v>453</v>
      </c>
      <c r="X178" s="6" t="s">
        <v>426</v>
      </c>
      <c r="Y178" s="6" t="s">
        <v>426</v>
      </c>
      <c r="Z178" s="6" t="s">
        <v>453</v>
      </c>
      <c r="AA178" s="6" t="s">
        <v>453</v>
      </c>
      <c r="AB178" s="6" t="s">
        <v>426</v>
      </c>
      <c r="AC178" s="15" t="s">
        <v>453</v>
      </c>
      <c r="AD178" s="6" t="s">
        <v>427</v>
      </c>
      <c r="AE178" s="6">
        <v>0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/>
      <c r="AN178" s="15"/>
      <c r="AO178" s="6" t="s">
        <v>426</v>
      </c>
      <c r="AP178" s="6" t="s">
        <v>901</v>
      </c>
      <c r="AQ178" s="6" t="s">
        <v>426</v>
      </c>
      <c r="AR178" s="6" t="s">
        <v>656</v>
      </c>
      <c r="AS178" s="6" t="s">
        <v>453</v>
      </c>
      <c r="AT178" s="6"/>
      <c r="AU178" s="6" t="s">
        <v>453</v>
      </c>
      <c r="AV178" s="6"/>
      <c r="AW178" s="6" t="s">
        <v>453</v>
      </c>
      <c r="AX178" s="6"/>
      <c r="AY178" s="6" t="s">
        <v>426</v>
      </c>
      <c r="AZ178" s="6">
        <v>1</v>
      </c>
      <c r="BA178" s="6" t="s">
        <v>453</v>
      </c>
      <c r="BB178" s="6"/>
      <c r="BC178" s="6" t="s">
        <v>453</v>
      </c>
      <c r="BD178" s="6"/>
      <c r="BE178" s="6" t="s">
        <v>453</v>
      </c>
      <c r="BF178" s="6"/>
      <c r="BG178" s="6" t="s">
        <v>453</v>
      </c>
      <c r="BH178" s="6"/>
      <c r="BI178" s="6" t="s">
        <v>453</v>
      </c>
      <c r="BJ178" s="6"/>
      <c r="BK178" s="6" t="s">
        <v>453</v>
      </c>
      <c r="BL178" s="6"/>
      <c r="BM178" s="6" t="s">
        <v>426</v>
      </c>
      <c r="BN178" s="6">
        <v>12</v>
      </c>
      <c r="BO178" s="6" t="s">
        <v>453</v>
      </c>
      <c r="BP178" s="6"/>
      <c r="BQ178" s="6" t="s">
        <v>426</v>
      </c>
      <c r="BR178" s="6">
        <v>3</v>
      </c>
      <c r="BS178" s="6" t="s">
        <v>453</v>
      </c>
      <c r="BT178" s="6"/>
      <c r="BU178" s="6" t="s">
        <v>453</v>
      </c>
      <c r="BV178" s="15"/>
      <c r="BW178" s="15" t="s">
        <v>428</v>
      </c>
      <c r="BX178" s="15" t="s">
        <v>786</v>
      </c>
      <c r="BY178" s="6" t="s">
        <v>430</v>
      </c>
      <c r="BZ178" s="6" t="s">
        <v>430</v>
      </c>
      <c r="CA178" s="6" t="s">
        <v>487</v>
      </c>
      <c r="CB178" s="6" t="s">
        <v>487</v>
      </c>
      <c r="CC178" s="6" t="s">
        <v>487</v>
      </c>
      <c r="CD178" s="6" t="s">
        <v>430</v>
      </c>
      <c r="CE178" s="6" t="s">
        <v>487</v>
      </c>
      <c r="CF178" s="6" t="s">
        <v>609</v>
      </c>
      <c r="CG178" s="6" t="s">
        <v>487</v>
      </c>
      <c r="CH178" s="6" t="s">
        <v>487</v>
      </c>
      <c r="CI178" s="6" t="s">
        <v>487</v>
      </c>
      <c r="CJ178" s="6" t="s">
        <v>487</v>
      </c>
      <c r="CK178" s="6" t="s">
        <v>430</v>
      </c>
      <c r="CL178" s="6" t="s">
        <v>487</v>
      </c>
      <c r="CM178" s="6" t="s">
        <v>431</v>
      </c>
      <c r="CN178" s="6" t="s">
        <v>487</v>
      </c>
      <c r="CO178" s="15" t="s">
        <v>487</v>
      </c>
      <c r="CP178" s="15" t="s">
        <v>432</v>
      </c>
      <c r="CQ178" s="6" t="s">
        <v>433</v>
      </c>
      <c r="CR178" s="15"/>
      <c r="CS178" s="6" t="s">
        <v>453</v>
      </c>
      <c r="CT178" s="6"/>
      <c r="CU178" s="6"/>
      <c r="CV178" s="6"/>
      <c r="CW178" s="6"/>
      <c r="CX178" s="15" t="s">
        <v>453</v>
      </c>
      <c r="CY178" s="6"/>
      <c r="CZ178" s="6"/>
      <c r="DA178" s="6"/>
      <c r="DB178" s="6"/>
      <c r="DC178" s="6"/>
      <c r="DD178" s="15"/>
      <c r="DE178" s="15" t="s">
        <v>521</v>
      </c>
      <c r="DF178" s="6" t="s">
        <v>3009</v>
      </c>
      <c r="DG178" s="6">
        <v>1</v>
      </c>
      <c r="DH178" s="6">
        <v>0</v>
      </c>
      <c r="DI178" s="6">
        <v>1</v>
      </c>
      <c r="DJ178" s="6">
        <v>0</v>
      </c>
      <c r="DK178" s="6">
        <v>1</v>
      </c>
      <c r="DL178" s="6">
        <v>0</v>
      </c>
      <c r="DM178" s="6"/>
      <c r="DN178" s="6"/>
      <c r="DO178" s="6"/>
      <c r="DP178" s="6"/>
      <c r="DQ178" s="6"/>
      <c r="DR178" s="6"/>
      <c r="DS178" s="6"/>
      <c r="DT178" s="66"/>
      <c r="DU178" s="6" t="s">
        <v>438</v>
      </c>
      <c r="DV178" s="6" t="s">
        <v>426</v>
      </c>
      <c r="DW178" s="6" t="s">
        <v>490</v>
      </c>
      <c r="DX178" s="6" t="s">
        <v>612</v>
      </c>
      <c r="DY178" s="6" t="s">
        <v>3010</v>
      </c>
      <c r="DZ178" s="6" t="s">
        <v>991</v>
      </c>
      <c r="EA178" s="6">
        <v>1</v>
      </c>
      <c r="EB178" s="6">
        <v>1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/>
      <c r="EJ178" s="6" t="s">
        <v>1906</v>
      </c>
      <c r="EK178" s="6">
        <v>1</v>
      </c>
      <c r="EL178" s="6">
        <v>0</v>
      </c>
      <c r="EM178" s="6">
        <v>0</v>
      </c>
      <c r="EN178" s="6">
        <v>1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/>
      <c r="EU178" s="6" t="s">
        <v>2205</v>
      </c>
      <c r="EV178" s="6" t="s">
        <v>616</v>
      </c>
      <c r="EW178" s="6"/>
      <c r="EX178" s="6" t="s">
        <v>669</v>
      </c>
      <c r="EY178" s="6">
        <v>0</v>
      </c>
      <c r="EZ178" s="6">
        <v>1</v>
      </c>
      <c r="FA178" s="6">
        <v>0</v>
      </c>
      <c r="FB178" s="6">
        <v>0</v>
      </c>
      <c r="FC178" s="6">
        <v>0</v>
      </c>
      <c r="FD178" s="6">
        <v>0</v>
      </c>
      <c r="FE178" s="6">
        <v>0</v>
      </c>
      <c r="FF178" s="6">
        <v>0</v>
      </c>
      <c r="FG178" s="6"/>
      <c r="FH178" s="6" t="s">
        <v>812</v>
      </c>
      <c r="FI178" s="6">
        <v>1</v>
      </c>
      <c r="FJ178" s="6">
        <v>0</v>
      </c>
      <c r="FK178" s="6">
        <v>0</v>
      </c>
      <c r="FL178" s="6">
        <v>0</v>
      </c>
      <c r="FM178" s="6">
        <v>0</v>
      </c>
      <c r="FN178" s="6">
        <v>0</v>
      </c>
      <c r="FO178" s="6">
        <v>0</v>
      </c>
      <c r="FP178" s="6">
        <v>0</v>
      </c>
      <c r="FQ178" s="6">
        <v>0</v>
      </c>
      <c r="FR178" s="6">
        <v>0</v>
      </c>
      <c r="FS178" s="6"/>
      <c r="FT178" s="6" t="s">
        <v>556</v>
      </c>
      <c r="FU178" s="6" t="s">
        <v>499</v>
      </c>
      <c r="FV178" s="6"/>
      <c r="FW178" s="6" t="s">
        <v>449</v>
      </c>
      <c r="FX178" s="15" t="s">
        <v>450</v>
      </c>
      <c r="FY178" s="6" t="s">
        <v>619</v>
      </c>
      <c r="FZ178" s="6"/>
      <c r="GA178" s="6" t="s">
        <v>450</v>
      </c>
      <c r="GB178" s="6" t="s">
        <v>501</v>
      </c>
      <c r="GC178" s="6" t="s">
        <v>453</v>
      </c>
      <c r="GD178" s="6"/>
      <c r="GE178" s="6" t="s">
        <v>454</v>
      </c>
      <c r="GF178" s="6" t="s">
        <v>3011</v>
      </c>
      <c r="GG178" s="6" t="s">
        <v>456</v>
      </c>
      <c r="GH178" s="15" t="s">
        <v>3012</v>
      </c>
      <c r="GI178" s="6" t="s">
        <v>458</v>
      </c>
      <c r="GJ178" s="6" t="s">
        <v>3013</v>
      </c>
      <c r="GK178" s="6" t="s">
        <v>460</v>
      </c>
      <c r="GL178" s="6" t="s">
        <v>3014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1</v>
      </c>
      <c r="GS178" s="6">
        <v>1</v>
      </c>
      <c r="GT178" s="6" t="s">
        <v>3015</v>
      </c>
      <c r="GU178" s="6" t="s">
        <v>534</v>
      </c>
      <c r="GV178" s="6" t="s">
        <v>595</v>
      </c>
      <c r="GW178" s="6" t="s">
        <v>3016</v>
      </c>
      <c r="GX178" s="6">
        <v>1</v>
      </c>
      <c r="GY178" s="6">
        <v>0</v>
      </c>
      <c r="GZ178" s="6">
        <v>0</v>
      </c>
      <c r="HA178" s="6">
        <v>1</v>
      </c>
      <c r="HB178" s="6">
        <v>1</v>
      </c>
      <c r="HC178" s="6">
        <v>0</v>
      </c>
      <c r="HD178" s="6"/>
      <c r="HE178" s="6" t="s">
        <v>3017</v>
      </c>
      <c r="HF178" s="6">
        <v>1</v>
      </c>
      <c r="HG178" s="6">
        <v>1</v>
      </c>
      <c r="HH178" s="6">
        <v>0</v>
      </c>
      <c r="HI178" s="6">
        <v>0</v>
      </c>
      <c r="HJ178" s="6">
        <v>0</v>
      </c>
      <c r="HK178" s="6">
        <v>0</v>
      </c>
      <c r="HL178" s="15"/>
      <c r="HM178" s="6" t="s">
        <v>873</v>
      </c>
      <c r="HN178" s="6"/>
      <c r="HO178" s="6" t="s">
        <v>3018</v>
      </c>
      <c r="HP178" s="6" t="s">
        <v>561</v>
      </c>
      <c r="HQ178" s="6"/>
      <c r="HR178" s="6" t="s">
        <v>3019</v>
      </c>
      <c r="HS178" s="6" t="s">
        <v>3020</v>
      </c>
      <c r="HT178" s="6">
        <v>0</v>
      </c>
      <c r="HU178" s="6">
        <v>0</v>
      </c>
      <c r="HV178" s="6">
        <v>0</v>
      </c>
      <c r="HW178" s="6">
        <v>0</v>
      </c>
      <c r="HX178" s="6">
        <v>1</v>
      </c>
      <c r="HY178" s="6">
        <v>1</v>
      </c>
      <c r="HZ178" s="6"/>
      <c r="IA178" s="6" t="s">
        <v>3021</v>
      </c>
      <c r="IB178" s="6">
        <v>0</v>
      </c>
      <c r="IC178" s="6">
        <v>1</v>
      </c>
      <c r="ID178" s="6">
        <v>1</v>
      </c>
      <c r="IE178" s="6">
        <v>1</v>
      </c>
      <c r="IF178" s="6">
        <v>1</v>
      </c>
      <c r="IG178" s="6">
        <v>0</v>
      </c>
      <c r="IH178" s="15" t="s">
        <v>3022</v>
      </c>
      <c r="II178" s="6" t="s">
        <v>426</v>
      </c>
      <c r="IJ178" s="6" t="s">
        <v>472</v>
      </c>
      <c r="IK178" s="6">
        <v>1</v>
      </c>
      <c r="IL178" s="6">
        <v>0</v>
      </c>
      <c r="IM178" s="6">
        <v>0</v>
      </c>
      <c r="IN178" s="6"/>
      <c r="IO178" s="6" t="s">
        <v>473</v>
      </c>
      <c r="IP178" s="6">
        <v>1</v>
      </c>
      <c r="IQ178" s="6">
        <v>0</v>
      </c>
      <c r="IR178" s="6">
        <v>0</v>
      </c>
      <c r="IS178" s="6">
        <v>0</v>
      </c>
      <c r="IT178" s="6">
        <v>0</v>
      </c>
      <c r="IU178" s="6">
        <v>0</v>
      </c>
      <c r="IV178" s="6"/>
      <c r="IW178" s="6" t="s">
        <v>426</v>
      </c>
      <c r="IX178" s="6">
        <v>1</v>
      </c>
      <c r="IY178" s="6" t="s">
        <v>474</v>
      </c>
      <c r="IZ178" s="6" t="s">
        <v>475</v>
      </c>
      <c r="JA178" s="6" t="s">
        <v>426</v>
      </c>
      <c r="JB178" s="6" t="s">
        <v>476</v>
      </c>
      <c r="JC178" s="6"/>
      <c r="JD178" s="6"/>
      <c r="JE178" s="6"/>
      <c r="JF178" s="6"/>
      <c r="JG178" s="6"/>
      <c r="JH178" s="6"/>
      <c r="JI178" s="6"/>
      <c r="JJ178" s="6"/>
      <c r="JK178" s="6" t="s">
        <v>453</v>
      </c>
      <c r="JL178" s="6"/>
      <c r="JM178" s="6"/>
      <c r="JN178" s="6"/>
      <c r="JO178" s="6"/>
      <c r="JP178" s="6"/>
      <c r="JQ178" s="6"/>
      <c r="JR178" s="6"/>
      <c r="JS178" s="6"/>
      <c r="JT178" s="6"/>
      <c r="JU178" s="6" t="s">
        <v>1814</v>
      </c>
      <c r="JV178" s="15"/>
      <c r="JW178" s="94" t="s">
        <v>3023</v>
      </c>
      <c r="JX178" s="6" t="s">
        <v>3024</v>
      </c>
      <c r="JY178" s="6">
        <v>0.8260992</v>
      </c>
      <c r="JZ178" s="6">
        <v>34.8661465</v>
      </c>
      <c r="KA178" s="6">
        <v>1743.01708984375</v>
      </c>
      <c r="KB178" s="15">
        <v>4.162</v>
      </c>
      <c r="KC178" s="15"/>
    </row>
    <row r="179" spans="1:289">
      <c r="A179" s="6" t="s">
        <v>864</v>
      </c>
      <c r="B179" s="6" t="s">
        <v>2503</v>
      </c>
      <c r="C179" s="7" t="s">
        <v>2504</v>
      </c>
      <c r="D179" s="6" t="s">
        <v>2599</v>
      </c>
      <c r="E179" s="6" t="s">
        <v>3025</v>
      </c>
      <c r="F179" s="8" t="s">
        <v>483</v>
      </c>
      <c r="G179" s="6" t="s">
        <v>424</v>
      </c>
      <c r="H179" s="6" t="s">
        <v>517</v>
      </c>
      <c r="I179" s="15"/>
      <c r="J179" s="6" t="s">
        <v>426</v>
      </c>
      <c r="K179" s="6" t="s">
        <v>426</v>
      </c>
      <c r="L179" s="6" t="s">
        <v>426</v>
      </c>
      <c r="M179" s="6" t="s">
        <v>426</v>
      </c>
      <c r="N179" s="6" t="s">
        <v>426</v>
      </c>
      <c r="O179" s="6" t="s">
        <v>426</v>
      </c>
      <c r="P179" s="6" t="s">
        <v>426</v>
      </c>
      <c r="Q179" s="6" t="s">
        <v>426</v>
      </c>
      <c r="R179" s="6" t="s">
        <v>426</v>
      </c>
      <c r="S179" s="6" t="s">
        <v>426</v>
      </c>
      <c r="T179" s="6" t="s">
        <v>426</v>
      </c>
      <c r="U179" s="6" t="s">
        <v>426</v>
      </c>
      <c r="V179" s="6" t="s">
        <v>426</v>
      </c>
      <c r="W179" s="6" t="s">
        <v>426</v>
      </c>
      <c r="X179" s="6" t="s">
        <v>426</v>
      </c>
      <c r="Y179" s="6" t="s">
        <v>426</v>
      </c>
      <c r="Z179" s="6" t="s">
        <v>426</v>
      </c>
      <c r="AA179" s="6" t="s">
        <v>426</v>
      </c>
      <c r="AB179" s="6" t="s">
        <v>426</v>
      </c>
      <c r="AC179" s="15" t="s">
        <v>426</v>
      </c>
      <c r="AD179" s="6" t="s">
        <v>427</v>
      </c>
      <c r="AE179" s="6">
        <v>0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/>
      <c r="AN179" s="15"/>
      <c r="AO179" s="6" t="s">
        <v>426</v>
      </c>
      <c r="AP179" s="6" t="s">
        <v>656</v>
      </c>
      <c r="AQ179" s="6" t="s">
        <v>426</v>
      </c>
      <c r="AR179" s="6" t="s">
        <v>656</v>
      </c>
      <c r="AS179" s="6" t="s">
        <v>426</v>
      </c>
      <c r="AT179" s="6">
        <v>0.1</v>
      </c>
      <c r="AU179" s="6" t="s">
        <v>453</v>
      </c>
      <c r="AV179" s="6"/>
      <c r="AW179" s="6" t="s">
        <v>426</v>
      </c>
      <c r="AX179" s="6">
        <v>0.2</v>
      </c>
      <c r="AY179" s="6" t="s">
        <v>426</v>
      </c>
      <c r="AZ179" s="6">
        <v>1</v>
      </c>
      <c r="BA179" s="6" t="s">
        <v>426</v>
      </c>
      <c r="BB179" s="6">
        <v>0.4</v>
      </c>
      <c r="BC179" s="6" t="s">
        <v>426</v>
      </c>
      <c r="BD179" s="6">
        <v>0.1</v>
      </c>
      <c r="BE179" s="6" t="s">
        <v>426</v>
      </c>
      <c r="BF179" s="6">
        <v>3</v>
      </c>
      <c r="BG179" s="6" t="s">
        <v>426</v>
      </c>
      <c r="BH179" s="6">
        <v>0.1</v>
      </c>
      <c r="BI179" s="6" t="s">
        <v>426</v>
      </c>
      <c r="BJ179" s="6">
        <v>0.4</v>
      </c>
      <c r="BK179" s="6" t="s">
        <v>426</v>
      </c>
      <c r="BL179" s="6">
        <v>0.4</v>
      </c>
      <c r="BM179" s="6" t="s">
        <v>426</v>
      </c>
      <c r="BN179" s="6">
        <v>25</v>
      </c>
      <c r="BO179" s="6" t="s">
        <v>426</v>
      </c>
      <c r="BP179" s="6">
        <v>0.1</v>
      </c>
      <c r="BQ179" s="6" t="s">
        <v>426</v>
      </c>
      <c r="BR179" s="6">
        <v>5</v>
      </c>
      <c r="BS179" s="6" t="s">
        <v>453</v>
      </c>
      <c r="BT179" s="6"/>
      <c r="BU179" s="6" t="s">
        <v>426</v>
      </c>
      <c r="BV179" s="15">
        <v>0.1</v>
      </c>
      <c r="BW179" s="15" t="s">
        <v>518</v>
      </c>
      <c r="BX179" s="15" t="s">
        <v>429</v>
      </c>
      <c r="BY179" s="6" t="s">
        <v>430</v>
      </c>
      <c r="BZ179" s="6" t="s">
        <v>430</v>
      </c>
      <c r="CA179" s="6" t="s">
        <v>430</v>
      </c>
      <c r="CB179" s="6" t="s">
        <v>431</v>
      </c>
      <c r="CC179" s="6" t="s">
        <v>430</v>
      </c>
      <c r="CD179" s="6" t="s">
        <v>430</v>
      </c>
      <c r="CE179" s="6" t="s">
        <v>430</v>
      </c>
      <c r="CF179" s="6" t="s">
        <v>430</v>
      </c>
      <c r="CG179" s="6" t="s">
        <v>430</v>
      </c>
      <c r="CH179" s="6" t="s">
        <v>430</v>
      </c>
      <c r="CI179" s="6" t="s">
        <v>430</v>
      </c>
      <c r="CJ179" s="6" t="s">
        <v>431</v>
      </c>
      <c r="CK179" s="6" t="s">
        <v>430</v>
      </c>
      <c r="CL179" s="6" t="s">
        <v>430</v>
      </c>
      <c r="CM179" s="6" t="s">
        <v>486</v>
      </c>
      <c r="CN179" s="6" t="s">
        <v>487</v>
      </c>
      <c r="CO179" s="15" t="s">
        <v>430</v>
      </c>
      <c r="CP179" s="15" t="s">
        <v>636</v>
      </c>
      <c r="CQ179" s="6" t="s">
        <v>686</v>
      </c>
      <c r="CR179" s="15"/>
      <c r="CS179" s="6" t="s">
        <v>426</v>
      </c>
      <c r="CT179" s="6" t="s">
        <v>3026</v>
      </c>
      <c r="CU179" s="6" t="s">
        <v>3027</v>
      </c>
      <c r="CV179" s="6" t="s">
        <v>3028</v>
      </c>
      <c r="CW179" s="6" t="s">
        <v>3029</v>
      </c>
      <c r="CX179" s="15" t="s">
        <v>453</v>
      </c>
      <c r="CY179" s="6"/>
      <c r="CZ179" s="6"/>
      <c r="DA179" s="6"/>
      <c r="DB179" s="6"/>
      <c r="DC179" s="6"/>
      <c r="DD179" s="15"/>
      <c r="DE179" s="15" t="s">
        <v>436</v>
      </c>
      <c r="DF179" s="6" t="s">
        <v>2863</v>
      </c>
      <c r="DG179" s="6">
        <v>1</v>
      </c>
      <c r="DH179" s="6">
        <v>1</v>
      </c>
      <c r="DI179" s="6">
        <v>1</v>
      </c>
      <c r="DJ179" s="6">
        <v>0</v>
      </c>
      <c r="DK179" s="6">
        <v>0</v>
      </c>
      <c r="DL179" s="6">
        <v>0</v>
      </c>
      <c r="DM179" s="6"/>
      <c r="DN179" s="6"/>
      <c r="DO179" s="6"/>
      <c r="DP179" s="6"/>
      <c r="DQ179" s="6"/>
      <c r="DR179" s="6"/>
      <c r="DS179" s="6"/>
      <c r="DT179" s="66"/>
      <c r="DU179" s="6" t="s">
        <v>438</v>
      </c>
      <c r="DV179" s="6" t="s">
        <v>426</v>
      </c>
      <c r="DW179" s="6" t="s">
        <v>1212</v>
      </c>
      <c r="DX179" s="6" t="s">
        <v>491</v>
      </c>
      <c r="DY179" s="6"/>
      <c r="DZ179" s="6" t="s">
        <v>940</v>
      </c>
      <c r="EA179" s="6">
        <v>1</v>
      </c>
      <c r="EB179" s="6">
        <v>1</v>
      </c>
      <c r="EC179" s="6">
        <v>1</v>
      </c>
      <c r="ED179" s="6">
        <v>1</v>
      </c>
      <c r="EE179" s="6">
        <v>0</v>
      </c>
      <c r="EF179" s="6">
        <v>0</v>
      </c>
      <c r="EG179" s="6">
        <v>0</v>
      </c>
      <c r="EH179" s="6">
        <v>0</v>
      </c>
      <c r="EI179" s="6"/>
      <c r="EJ179" s="6" t="s">
        <v>640</v>
      </c>
      <c r="EK179" s="6">
        <v>1</v>
      </c>
      <c r="EL179" s="6">
        <v>0</v>
      </c>
      <c r="EM179" s="6">
        <v>1</v>
      </c>
      <c r="EN179" s="6">
        <v>0</v>
      </c>
      <c r="EO179" s="6">
        <v>1</v>
      </c>
      <c r="EP179" s="6">
        <v>0</v>
      </c>
      <c r="EQ179" s="6">
        <v>0</v>
      </c>
      <c r="ER179" s="6">
        <v>0</v>
      </c>
      <c r="ES179" s="6">
        <v>0</v>
      </c>
      <c r="ET179" s="6"/>
      <c r="EU179" s="6" t="s">
        <v>494</v>
      </c>
      <c r="EV179" s="6" t="s">
        <v>616</v>
      </c>
      <c r="EW179" s="6"/>
      <c r="EX179" s="6" t="s">
        <v>1071</v>
      </c>
      <c r="EY179" s="6">
        <v>1</v>
      </c>
      <c r="EZ179" s="6">
        <v>1</v>
      </c>
      <c r="FA179" s="6">
        <v>0</v>
      </c>
      <c r="FB179" s="6">
        <v>0</v>
      </c>
      <c r="FC179" s="6">
        <v>1</v>
      </c>
      <c r="FD179" s="6">
        <v>0</v>
      </c>
      <c r="FE179" s="6">
        <v>0</v>
      </c>
      <c r="FF179" s="6">
        <v>0</v>
      </c>
      <c r="FG179" s="6"/>
      <c r="FH179" s="6" t="s">
        <v>3030</v>
      </c>
      <c r="FI179" s="6">
        <v>1</v>
      </c>
      <c r="FJ179" s="6">
        <v>0</v>
      </c>
      <c r="FK179" s="6">
        <v>0</v>
      </c>
      <c r="FL179" s="6">
        <v>1</v>
      </c>
      <c r="FM179" s="6">
        <v>0</v>
      </c>
      <c r="FN179" s="6">
        <v>1</v>
      </c>
      <c r="FO179" s="6">
        <v>0</v>
      </c>
      <c r="FP179" s="6">
        <v>0</v>
      </c>
      <c r="FQ179" s="6">
        <v>0</v>
      </c>
      <c r="FR179" s="6">
        <v>0</v>
      </c>
      <c r="FS179" s="6"/>
      <c r="FT179" s="6" t="s">
        <v>556</v>
      </c>
      <c r="FU179" s="6" t="s">
        <v>448</v>
      </c>
      <c r="FV179" s="6"/>
      <c r="FW179" s="6" t="s">
        <v>449</v>
      </c>
      <c r="FX179" s="15" t="s">
        <v>528</v>
      </c>
      <c r="FY179" s="6" t="s">
        <v>500</v>
      </c>
      <c r="FZ179" s="6"/>
      <c r="GA179" s="6" t="s">
        <v>528</v>
      </c>
      <c r="GB179" s="6" t="s">
        <v>452</v>
      </c>
      <c r="GC179" s="6" t="s">
        <v>426</v>
      </c>
      <c r="GD179" s="6" t="s">
        <v>3031</v>
      </c>
      <c r="GE179" s="6" t="s">
        <v>642</v>
      </c>
      <c r="GF179" s="6" t="s">
        <v>2159</v>
      </c>
      <c r="GG179" s="6" t="s">
        <v>592</v>
      </c>
      <c r="GH179" s="15" t="s">
        <v>3032</v>
      </c>
      <c r="GI179" s="6" t="s">
        <v>458</v>
      </c>
      <c r="GJ179" s="6" t="s">
        <v>3033</v>
      </c>
      <c r="GK179" s="6" t="s">
        <v>460</v>
      </c>
      <c r="GL179" s="6" t="s">
        <v>461</v>
      </c>
      <c r="GM179" s="6">
        <v>0</v>
      </c>
      <c r="GN179" s="6">
        <v>0</v>
      </c>
      <c r="GO179" s="6">
        <v>0</v>
      </c>
      <c r="GP179" s="6">
        <v>0</v>
      </c>
      <c r="GQ179" s="6">
        <v>0</v>
      </c>
      <c r="GR179" s="6">
        <v>1</v>
      </c>
      <c r="GS179" s="6">
        <v>0</v>
      </c>
      <c r="GT179" s="6"/>
      <c r="GU179" s="6" t="s">
        <v>534</v>
      </c>
      <c r="GV179" s="6" t="s">
        <v>595</v>
      </c>
      <c r="GW179" s="6" t="s">
        <v>464</v>
      </c>
      <c r="GX179" s="6">
        <v>1</v>
      </c>
      <c r="GY179" s="6">
        <v>0</v>
      </c>
      <c r="GZ179" s="6">
        <v>0</v>
      </c>
      <c r="HA179" s="6">
        <v>0</v>
      </c>
      <c r="HB179" s="6">
        <v>0</v>
      </c>
      <c r="HC179" s="6">
        <v>0</v>
      </c>
      <c r="HD179" s="6"/>
      <c r="HE179" s="6" t="s">
        <v>1055</v>
      </c>
      <c r="HF179" s="6">
        <v>1</v>
      </c>
      <c r="HG179" s="6">
        <v>0</v>
      </c>
      <c r="HH179" s="6">
        <v>1</v>
      </c>
      <c r="HI179" s="6">
        <v>0</v>
      </c>
      <c r="HJ179" s="6">
        <v>0</v>
      </c>
      <c r="HK179" s="6">
        <v>0</v>
      </c>
      <c r="HL179" s="15"/>
      <c r="HM179" s="6" t="s">
        <v>1016</v>
      </c>
      <c r="HN179" s="6"/>
      <c r="HO179" s="6" t="s">
        <v>3034</v>
      </c>
      <c r="HP179" s="6" t="s">
        <v>537</v>
      </c>
      <c r="HQ179" s="6" t="s">
        <v>1201</v>
      </c>
      <c r="HR179" s="6" t="s">
        <v>3035</v>
      </c>
      <c r="HS179" s="6" t="s">
        <v>508</v>
      </c>
      <c r="HT179" s="6">
        <v>0</v>
      </c>
      <c r="HU179" s="6">
        <v>0</v>
      </c>
      <c r="HV179" s="6">
        <v>1</v>
      </c>
      <c r="HW179" s="6">
        <v>0</v>
      </c>
      <c r="HX179" s="6">
        <v>0</v>
      </c>
      <c r="HY179" s="6">
        <v>0</v>
      </c>
      <c r="HZ179" s="6"/>
      <c r="IA179" s="6" t="s">
        <v>3036</v>
      </c>
      <c r="IB179" s="6">
        <v>0</v>
      </c>
      <c r="IC179" s="6">
        <v>1</v>
      </c>
      <c r="ID179" s="6">
        <v>1</v>
      </c>
      <c r="IE179" s="6">
        <v>1</v>
      </c>
      <c r="IF179" s="6">
        <v>1</v>
      </c>
      <c r="IG179" s="6">
        <v>0</v>
      </c>
      <c r="IH179" s="15" t="s">
        <v>3037</v>
      </c>
      <c r="II179" s="6" t="s">
        <v>426</v>
      </c>
      <c r="IJ179" s="6" t="s">
        <v>602</v>
      </c>
      <c r="IK179" s="6">
        <v>1</v>
      </c>
      <c r="IL179" s="6">
        <v>1</v>
      </c>
      <c r="IM179" s="6">
        <v>0</v>
      </c>
      <c r="IN179" s="6"/>
      <c r="IO179" s="6" t="s">
        <v>893</v>
      </c>
      <c r="IP179" s="6">
        <v>1</v>
      </c>
      <c r="IQ179" s="6">
        <v>0</v>
      </c>
      <c r="IR179" s="6">
        <v>0</v>
      </c>
      <c r="IS179" s="6">
        <v>1</v>
      </c>
      <c r="IT179" s="6">
        <v>0</v>
      </c>
      <c r="IU179" s="6">
        <v>0</v>
      </c>
      <c r="IV179" s="6"/>
      <c r="IW179" s="6" t="s">
        <v>426</v>
      </c>
      <c r="IX179" s="6">
        <v>1</v>
      </c>
      <c r="IY179" s="6" t="s">
        <v>510</v>
      </c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 t="s">
        <v>453</v>
      </c>
      <c r="JL179" s="6"/>
      <c r="JM179" s="6"/>
      <c r="JN179" s="6"/>
      <c r="JO179" s="6"/>
      <c r="JP179" s="6"/>
      <c r="JQ179" s="6"/>
      <c r="JR179" s="6"/>
      <c r="JS179" s="6"/>
      <c r="JT179" s="6"/>
      <c r="JU179" s="6" t="s">
        <v>477</v>
      </c>
      <c r="JV179" s="15"/>
      <c r="JW179" s="94" t="s">
        <v>3038</v>
      </c>
      <c r="JX179" s="6" t="s">
        <v>3039</v>
      </c>
      <c r="JY179" s="6">
        <v>0.8260822</v>
      </c>
      <c r="JZ179" s="6">
        <v>34.8662374</v>
      </c>
      <c r="KA179" s="6">
        <v>1784.49</v>
      </c>
      <c r="KB179" s="15">
        <v>1.747</v>
      </c>
      <c r="KC179" s="15"/>
    </row>
    <row r="180" spans="1:289">
      <c r="A180" s="6" t="s">
        <v>547</v>
      </c>
      <c r="B180" s="6" t="s">
        <v>2503</v>
      </c>
      <c r="C180" s="7" t="s">
        <v>2504</v>
      </c>
      <c r="D180" s="6" t="s">
        <v>2167</v>
      </c>
      <c r="E180" s="6" t="s">
        <v>3040</v>
      </c>
      <c r="F180" s="8" t="s">
        <v>483</v>
      </c>
      <c r="G180" s="6" t="s">
        <v>567</v>
      </c>
      <c r="H180" s="6" t="s">
        <v>425</v>
      </c>
      <c r="I180" s="15"/>
      <c r="J180" s="6" t="s">
        <v>453</v>
      </c>
      <c r="K180" s="6" t="s">
        <v>453</v>
      </c>
      <c r="L180" s="6" t="s">
        <v>426</v>
      </c>
      <c r="M180" s="6" t="s">
        <v>426</v>
      </c>
      <c r="N180" s="6" t="s">
        <v>426</v>
      </c>
      <c r="O180" s="6" t="s">
        <v>426</v>
      </c>
      <c r="P180" s="6" t="s">
        <v>453</v>
      </c>
      <c r="Q180" s="6" t="s">
        <v>453</v>
      </c>
      <c r="R180" s="6" t="s">
        <v>453</v>
      </c>
      <c r="S180" s="6" t="s">
        <v>453</v>
      </c>
      <c r="T180" s="6" t="s">
        <v>453</v>
      </c>
      <c r="U180" s="6" t="s">
        <v>453</v>
      </c>
      <c r="V180" s="6" t="s">
        <v>453</v>
      </c>
      <c r="W180" s="6" t="s">
        <v>453</v>
      </c>
      <c r="X180" s="6" t="s">
        <v>453</v>
      </c>
      <c r="Y180" s="6" t="s">
        <v>453</v>
      </c>
      <c r="Z180" s="6" t="s">
        <v>453</v>
      </c>
      <c r="AA180" s="6" t="s">
        <v>453</v>
      </c>
      <c r="AB180" s="6" t="s">
        <v>453</v>
      </c>
      <c r="AC180" s="15" t="s">
        <v>453</v>
      </c>
      <c r="AD180" s="6" t="s">
        <v>3041</v>
      </c>
      <c r="AE180" s="6">
        <v>1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/>
      <c r="AN180" s="15"/>
      <c r="AO180" s="6" t="s">
        <v>453</v>
      </c>
      <c r="AP180" s="6"/>
      <c r="AQ180" s="6" t="s">
        <v>453</v>
      </c>
      <c r="AR180" s="6"/>
      <c r="AS180" s="6" t="s">
        <v>453</v>
      </c>
      <c r="AT180" s="6"/>
      <c r="AU180" s="6" t="s">
        <v>453</v>
      </c>
      <c r="AV180" s="6"/>
      <c r="AW180" s="6" t="s">
        <v>426</v>
      </c>
      <c r="AX180" s="6">
        <v>0.2</v>
      </c>
      <c r="AY180" s="6" t="s">
        <v>453</v>
      </c>
      <c r="AZ180" s="6"/>
      <c r="BA180" s="6" t="s">
        <v>453</v>
      </c>
      <c r="BB180" s="6"/>
      <c r="BC180" s="6" t="s">
        <v>453</v>
      </c>
      <c r="BD180" s="6"/>
      <c r="BE180" s="6" t="s">
        <v>453</v>
      </c>
      <c r="BF180" s="6"/>
      <c r="BG180" s="6" t="s">
        <v>426</v>
      </c>
      <c r="BH180" s="6">
        <v>0.2</v>
      </c>
      <c r="BI180" s="6" t="s">
        <v>426</v>
      </c>
      <c r="BJ180" s="6">
        <v>0.2</v>
      </c>
      <c r="BK180" s="6" t="s">
        <v>426</v>
      </c>
      <c r="BL180" s="6">
        <v>0.2</v>
      </c>
      <c r="BM180" s="6" t="s">
        <v>426</v>
      </c>
      <c r="BN180" s="6">
        <v>15</v>
      </c>
      <c r="BO180" s="6" t="s">
        <v>426</v>
      </c>
      <c r="BP180" s="6">
        <v>0.2</v>
      </c>
      <c r="BQ180" s="6" t="s">
        <v>453</v>
      </c>
      <c r="BR180" s="6"/>
      <c r="BS180" s="6" t="s">
        <v>453</v>
      </c>
      <c r="BT180" s="6"/>
      <c r="BU180" s="6" t="s">
        <v>453</v>
      </c>
      <c r="BV180" s="15"/>
      <c r="BW180" s="15" t="s">
        <v>953</v>
      </c>
      <c r="BX180" s="15" t="s">
        <v>786</v>
      </c>
      <c r="BY180" s="6" t="s">
        <v>487</v>
      </c>
      <c r="BZ180" s="6" t="s">
        <v>487</v>
      </c>
      <c r="CA180" s="6" t="s">
        <v>430</v>
      </c>
      <c r="CB180" s="6" t="s">
        <v>487</v>
      </c>
      <c r="CC180" s="6" t="s">
        <v>430</v>
      </c>
      <c r="CD180" s="6" t="s">
        <v>487</v>
      </c>
      <c r="CE180" s="6" t="s">
        <v>487</v>
      </c>
      <c r="CF180" s="6" t="s">
        <v>609</v>
      </c>
      <c r="CG180" s="6" t="s">
        <v>487</v>
      </c>
      <c r="CH180" s="6" t="s">
        <v>430</v>
      </c>
      <c r="CI180" s="6" t="s">
        <v>430</v>
      </c>
      <c r="CJ180" s="6" t="s">
        <v>430</v>
      </c>
      <c r="CK180" s="6" t="s">
        <v>430</v>
      </c>
      <c r="CL180" s="6" t="s">
        <v>487</v>
      </c>
      <c r="CM180" s="6" t="s">
        <v>487</v>
      </c>
      <c r="CN180" s="6" t="s">
        <v>487</v>
      </c>
      <c r="CO180" s="15" t="s">
        <v>487</v>
      </c>
      <c r="CP180" s="15" t="s">
        <v>902</v>
      </c>
      <c r="CQ180" s="6" t="s">
        <v>3042</v>
      </c>
      <c r="CR180" s="15" t="s">
        <v>3043</v>
      </c>
      <c r="CS180" s="6" t="s">
        <v>453</v>
      </c>
      <c r="CT180" s="6"/>
      <c r="CU180" s="6"/>
      <c r="CV180" s="6"/>
      <c r="CW180" s="6"/>
      <c r="CX180" s="15" t="s">
        <v>453</v>
      </c>
      <c r="CY180" s="6"/>
      <c r="CZ180" s="6"/>
      <c r="DA180" s="6"/>
      <c r="DB180" s="6"/>
      <c r="DC180" s="6"/>
      <c r="DD180" s="15"/>
      <c r="DE180" s="15" t="s">
        <v>975</v>
      </c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6"/>
      <c r="DU180" s="6" t="s">
        <v>3044</v>
      </c>
      <c r="DV180" s="6" t="s">
        <v>453</v>
      </c>
      <c r="DW180" s="6"/>
      <c r="DX180" s="6" t="s">
        <v>612</v>
      </c>
      <c r="DY180" s="6" t="s">
        <v>3045</v>
      </c>
      <c r="DZ180" s="6" t="s">
        <v>2865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1</v>
      </c>
      <c r="EH180" s="6">
        <v>0</v>
      </c>
      <c r="EI180" s="6"/>
      <c r="EJ180" s="6" t="s">
        <v>538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1</v>
      </c>
      <c r="ES180" s="6">
        <v>0</v>
      </c>
      <c r="ET180" s="6"/>
      <c r="EU180" s="6" t="s">
        <v>955</v>
      </c>
      <c r="EV180" s="6" t="s">
        <v>537</v>
      </c>
      <c r="EW180" s="6" t="s">
        <v>3046</v>
      </c>
      <c r="EX180" s="6" t="s">
        <v>537</v>
      </c>
      <c r="EY180" s="6">
        <v>0</v>
      </c>
      <c r="EZ180" s="6">
        <v>0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1</v>
      </c>
      <c r="FG180" s="6" t="s">
        <v>3047</v>
      </c>
      <c r="FH180" s="6" t="s">
        <v>537</v>
      </c>
      <c r="FI180" s="6">
        <v>0</v>
      </c>
      <c r="FJ180" s="6">
        <v>0</v>
      </c>
      <c r="FK180" s="6">
        <v>0</v>
      </c>
      <c r="FL180" s="6">
        <v>0</v>
      </c>
      <c r="FM180" s="6">
        <v>0</v>
      </c>
      <c r="FN180" s="6">
        <v>0</v>
      </c>
      <c r="FO180" s="6">
        <v>0</v>
      </c>
      <c r="FP180" s="6">
        <v>0</v>
      </c>
      <c r="FQ180" s="6">
        <v>0</v>
      </c>
      <c r="FR180" s="6">
        <v>1</v>
      </c>
      <c r="FS180" s="6" t="s">
        <v>3048</v>
      </c>
      <c r="FT180" s="6" t="s">
        <v>498</v>
      </c>
      <c r="FU180" s="6" t="s">
        <v>743</v>
      </c>
      <c r="FV180" s="6" t="s">
        <v>3049</v>
      </c>
      <c r="FW180" s="6" t="s">
        <v>1124</v>
      </c>
      <c r="FX180" s="15" t="s">
        <v>623</v>
      </c>
      <c r="FY180" s="6" t="s">
        <v>537</v>
      </c>
      <c r="FZ180" s="6" t="s">
        <v>3050</v>
      </c>
      <c r="GA180" s="6" t="s">
        <v>3051</v>
      </c>
      <c r="GB180" s="6" t="s">
        <v>3052</v>
      </c>
      <c r="GC180" s="6" t="s">
        <v>453</v>
      </c>
      <c r="GD180" s="6"/>
      <c r="GE180" s="6" t="s">
        <v>453</v>
      </c>
      <c r="GF180" s="6"/>
      <c r="GG180" s="6" t="s">
        <v>502</v>
      </c>
      <c r="GH180" s="15"/>
      <c r="GI180" s="6" t="s">
        <v>2769</v>
      </c>
      <c r="GJ180" s="6"/>
      <c r="GK180" s="6" t="s">
        <v>3053</v>
      </c>
      <c r="GL180" s="6" t="s">
        <v>537</v>
      </c>
      <c r="GM180" s="6">
        <v>0</v>
      </c>
      <c r="GN180" s="6">
        <v>0</v>
      </c>
      <c r="GO180" s="6">
        <v>0</v>
      </c>
      <c r="GP180" s="6">
        <v>0</v>
      </c>
      <c r="GQ180" s="6">
        <v>0</v>
      </c>
      <c r="GR180" s="6">
        <v>0</v>
      </c>
      <c r="GS180" s="6">
        <v>1</v>
      </c>
      <c r="GT180" s="6" t="s">
        <v>3054</v>
      </c>
      <c r="GU180" s="6" t="s">
        <v>622</v>
      </c>
      <c r="GV180" s="6" t="s">
        <v>623</v>
      </c>
      <c r="GW180" s="6" t="s">
        <v>1647</v>
      </c>
      <c r="GX180" s="6">
        <v>0</v>
      </c>
      <c r="GY180" s="6">
        <v>0</v>
      </c>
      <c r="GZ180" s="6">
        <v>0</v>
      </c>
      <c r="HA180" s="6">
        <v>0</v>
      </c>
      <c r="HB180" s="6">
        <v>0</v>
      </c>
      <c r="HC180" s="6">
        <v>1</v>
      </c>
      <c r="HD180" s="6" t="s">
        <v>3055</v>
      </c>
      <c r="HE180" s="6" t="s">
        <v>537</v>
      </c>
      <c r="HF180" s="6">
        <v>0</v>
      </c>
      <c r="HG180" s="6">
        <v>0</v>
      </c>
      <c r="HH180" s="6">
        <v>0</v>
      </c>
      <c r="HI180" s="6">
        <v>0</v>
      </c>
      <c r="HJ180" s="6">
        <v>0</v>
      </c>
      <c r="HK180" s="6">
        <v>1</v>
      </c>
      <c r="HL180" s="15" t="s">
        <v>3056</v>
      </c>
      <c r="HM180" s="6" t="s">
        <v>537</v>
      </c>
      <c r="HN180" s="6" t="s">
        <v>3057</v>
      </c>
      <c r="HO180" s="6" t="s">
        <v>3047</v>
      </c>
      <c r="HP180" s="6" t="s">
        <v>537</v>
      </c>
      <c r="HQ180" s="6" t="s">
        <v>3058</v>
      </c>
      <c r="HR180" s="6" t="s">
        <v>3059</v>
      </c>
      <c r="HS180" s="6" t="s">
        <v>470</v>
      </c>
      <c r="HT180" s="6">
        <v>0</v>
      </c>
      <c r="HU180" s="6">
        <v>0</v>
      </c>
      <c r="HV180" s="6">
        <v>0</v>
      </c>
      <c r="HW180" s="6">
        <v>0</v>
      </c>
      <c r="HX180" s="6">
        <v>1</v>
      </c>
      <c r="HY180" s="6">
        <v>0</v>
      </c>
      <c r="HZ180" s="6"/>
      <c r="IA180" s="6" t="s">
        <v>114</v>
      </c>
      <c r="IB180" s="6">
        <v>0</v>
      </c>
      <c r="IC180" s="6">
        <v>0</v>
      </c>
      <c r="ID180" s="6">
        <v>0</v>
      </c>
      <c r="IE180" s="6">
        <v>1</v>
      </c>
      <c r="IF180" s="6">
        <v>0</v>
      </c>
      <c r="IG180" s="6">
        <v>0</v>
      </c>
      <c r="IH180" s="15" t="s">
        <v>3060</v>
      </c>
      <c r="II180" s="6" t="s">
        <v>453</v>
      </c>
      <c r="IJ180" s="6"/>
      <c r="IK180" s="6"/>
      <c r="IL180" s="6"/>
      <c r="IM180" s="6"/>
      <c r="IN180" s="6"/>
      <c r="IO180" s="6"/>
      <c r="IP180" s="6"/>
      <c r="IQ180" s="6"/>
      <c r="IR180" s="6"/>
      <c r="IS180" s="6"/>
      <c r="IT180" s="6"/>
      <c r="IU180" s="6"/>
      <c r="IV180" s="6"/>
      <c r="IW180" s="6" t="s">
        <v>453</v>
      </c>
      <c r="IX180" s="6"/>
      <c r="IY180" s="6" t="s">
        <v>510</v>
      </c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 t="s">
        <v>453</v>
      </c>
      <c r="JK180" s="6" t="s">
        <v>453</v>
      </c>
      <c r="JL180" s="6"/>
      <c r="JM180" s="6"/>
      <c r="JN180" s="6"/>
      <c r="JO180" s="6"/>
      <c r="JP180" s="6"/>
      <c r="JQ180" s="6"/>
      <c r="JR180" s="6"/>
      <c r="JS180" s="6"/>
      <c r="JT180" s="6"/>
      <c r="JU180" s="6" t="s">
        <v>477</v>
      </c>
      <c r="JV180" s="15"/>
      <c r="JW180" s="94" t="s">
        <v>3061</v>
      </c>
      <c r="JX180" s="6" t="s">
        <v>3062</v>
      </c>
      <c r="JY180" s="6">
        <v>0.8231676</v>
      </c>
      <c r="JZ180" s="6">
        <v>34.8650782</v>
      </c>
      <c r="KA180" s="6">
        <v>1691.8</v>
      </c>
      <c r="KB180" s="15">
        <v>4.48</v>
      </c>
      <c r="KC180" s="15"/>
    </row>
    <row r="181" spans="1:289">
      <c r="A181" s="6" t="s">
        <v>419</v>
      </c>
      <c r="B181" s="6" t="s">
        <v>2503</v>
      </c>
      <c r="C181" s="7" t="s">
        <v>2504</v>
      </c>
      <c r="D181" s="6" t="s">
        <v>3063</v>
      </c>
      <c r="E181" s="6" t="s">
        <v>3064</v>
      </c>
      <c r="F181" s="8" t="s">
        <v>483</v>
      </c>
      <c r="G181" s="6" t="s">
        <v>424</v>
      </c>
      <c r="H181" s="6" t="s">
        <v>425</v>
      </c>
      <c r="I181" s="15"/>
      <c r="J181" s="6" t="s">
        <v>426</v>
      </c>
      <c r="K181" s="6" t="s">
        <v>426</v>
      </c>
      <c r="L181" s="6" t="s">
        <v>426</v>
      </c>
      <c r="M181" s="6" t="s">
        <v>426</v>
      </c>
      <c r="N181" s="6" t="s">
        <v>426</v>
      </c>
      <c r="O181" s="6" t="s">
        <v>426</v>
      </c>
      <c r="P181" s="6" t="s">
        <v>426</v>
      </c>
      <c r="Q181" s="6" t="s">
        <v>426</v>
      </c>
      <c r="R181" s="6" t="s">
        <v>426</v>
      </c>
      <c r="S181" s="6" t="s">
        <v>426</v>
      </c>
      <c r="T181" s="6" t="s">
        <v>426</v>
      </c>
      <c r="U181" s="6" t="s">
        <v>426</v>
      </c>
      <c r="V181" s="6" t="s">
        <v>426</v>
      </c>
      <c r="W181" s="6" t="s">
        <v>426</v>
      </c>
      <c r="X181" s="6" t="s">
        <v>426</v>
      </c>
      <c r="Y181" s="6" t="s">
        <v>426</v>
      </c>
      <c r="Z181" s="6" t="s">
        <v>426</v>
      </c>
      <c r="AA181" s="6" t="s">
        <v>426</v>
      </c>
      <c r="AB181" s="6" t="s">
        <v>426</v>
      </c>
      <c r="AC181" s="15" t="s">
        <v>426</v>
      </c>
      <c r="AD181" s="6" t="s">
        <v>427</v>
      </c>
      <c r="AE181" s="6">
        <v>0</v>
      </c>
      <c r="AF181" s="6">
        <v>0</v>
      </c>
      <c r="AG181" s="6">
        <v>0</v>
      </c>
      <c r="AH181" s="6">
        <v>1</v>
      </c>
      <c r="AI181" s="6">
        <v>0</v>
      </c>
      <c r="AJ181" s="6">
        <v>0</v>
      </c>
      <c r="AK181" s="6">
        <v>0</v>
      </c>
      <c r="AL181" s="6">
        <v>0</v>
      </c>
      <c r="AM181" s="6"/>
      <c r="AN181" s="15"/>
      <c r="AO181" s="6" t="s">
        <v>426</v>
      </c>
      <c r="AP181" s="6" t="s">
        <v>985</v>
      </c>
      <c r="AQ181" s="6" t="s">
        <v>426</v>
      </c>
      <c r="AR181" s="6" t="s">
        <v>985</v>
      </c>
      <c r="AS181" s="6" t="s">
        <v>426</v>
      </c>
      <c r="AT181" s="6">
        <v>0.4</v>
      </c>
      <c r="AU181" s="6" t="s">
        <v>426</v>
      </c>
      <c r="AV181" s="6">
        <v>0.4</v>
      </c>
      <c r="AW181" s="6" t="s">
        <v>426</v>
      </c>
      <c r="AX181" s="6">
        <v>0.75</v>
      </c>
      <c r="AY181" s="6" t="s">
        <v>426</v>
      </c>
      <c r="AZ181" s="6">
        <v>1</v>
      </c>
      <c r="BA181" s="6" t="s">
        <v>426</v>
      </c>
      <c r="BB181" s="6">
        <v>0.75</v>
      </c>
      <c r="BC181" s="6" t="s">
        <v>426</v>
      </c>
      <c r="BD181" s="6">
        <v>0.2</v>
      </c>
      <c r="BE181" s="6" t="s">
        <v>426</v>
      </c>
      <c r="BF181" s="6">
        <v>3</v>
      </c>
      <c r="BG181" s="6" t="s">
        <v>426</v>
      </c>
      <c r="BH181" s="6">
        <v>0.2</v>
      </c>
      <c r="BI181" s="6" t="s">
        <v>426</v>
      </c>
      <c r="BJ181" s="6">
        <v>0.2</v>
      </c>
      <c r="BK181" s="6" t="s">
        <v>426</v>
      </c>
      <c r="BL181" s="6">
        <v>0.2</v>
      </c>
      <c r="BM181" s="6" t="s">
        <v>426</v>
      </c>
      <c r="BN181" s="6">
        <v>30</v>
      </c>
      <c r="BO181" s="6" t="s">
        <v>426</v>
      </c>
      <c r="BP181" s="6">
        <v>0.2</v>
      </c>
      <c r="BQ181" s="6" t="s">
        <v>426</v>
      </c>
      <c r="BR181" s="6">
        <v>80</v>
      </c>
      <c r="BS181" s="6" t="s">
        <v>426</v>
      </c>
      <c r="BT181" s="6">
        <v>8</v>
      </c>
      <c r="BU181" s="6" t="s">
        <v>426</v>
      </c>
      <c r="BV181" s="15">
        <v>0.2</v>
      </c>
      <c r="BW181" s="15" t="s">
        <v>428</v>
      </c>
      <c r="BX181" s="15" t="s">
        <v>429</v>
      </c>
      <c r="BY181" s="6" t="s">
        <v>430</v>
      </c>
      <c r="BZ181" s="6" t="s">
        <v>430</v>
      </c>
      <c r="CA181" s="6" t="s">
        <v>430</v>
      </c>
      <c r="CB181" s="6" t="s">
        <v>431</v>
      </c>
      <c r="CC181" s="6" t="s">
        <v>430</v>
      </c>
      <c r="CD181" s="6" t="s">
        <v>430</v>
      </c>
      <c r="CE181" s="6" t="s">
        <v>431</v>
      </c>
      <c r="CF181" s="6" t="s">
        <v>430</v>
      </c>
      <c r="CG181" s="6" t="s">
        <v>431</v>
      </c>
      <c r="CH181" s="6" t="s">
        <v>431</v>
      </c>
      <c r="CI181" s="6" t="s">
        <v>430</v>
      </c>
      <c r="CJ181" s="6" t="s">
        <v>430</v>
      </c>
      <c r="CK181" s="6" t="s">
        <v>430</v>
      </c>
      <c r="CL181" s="6" t="s">
        <v>430</v>
      </c>
      <c r="CM181" s="6" t="s">
        <v>430</v>
      </c>
      <c r="CN181" s="6" t="s">
        <v>431</v>
      </c>
      <c r="CO181" s="15" t="s">
        <v>430</v>
      </c>
      <c r="CP181" s="15" t="s">
        <v>432</v>
      </c>
      <c r="CQ181" s="6" t="s">
        <v>686</v>
      </c>
      <c r="CR181" s="15"/>
      <c r="CS181" s="6" t="s">
        <v>426</v>
      </c>
      <c r="CT181" s="6" t="s">
        <v>3065</v>
      </c>
      <c r="CU181" s="6" t="s">
        <v>693</v>
      </c>
      <c r="CV181" s="6" t="s">
        <v>1225</v>
      </c>
      <c r="CW181" s="6" t="s">
        <v>1337</v>
      </c>
      <c r="CX181" s="15" t="s">
        <v>426</v>
      </c>
      <c r="CY181" s="6" t="s">
        <v>426</v>
      </c>
      <c r="CZ181" s="6" t="s">
        <v>3065</v>
      </c>
      <c r="DA181" s="6" t="s">
        <v>1111</v>
      </c>
      <c r="DB181" s="6" t="s">
        <v>693</v>
      </c>
      <c r="DC181" s="6" t="s">
        <v>1538</v>
      </c>
      <c r="DD181" s="15" t="s">
        <v>3066</v>
      </c>
      <c r="DE181" s="15" t="s">
        <v>436</v>
      </c>
      <c r="DF181" s="6" t="s">
        <v>437</v>
      </c>
      <c r="DG181" s="6">
        <v>1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/>
      <c r="DN181" s="6"/>
      <c r="DO181" s="6"/>
      <c r="DP181" s="6"/>
      <c r="DQ181" s="6"/>
      <c r="DR181" s="6"/>
      <c r="DS181" s="6"/>
      <c r="DT181" s="66"/>
      <c r="DU181" s="6" t="s">
        <v>438</v>
      </c>
      <c r="DV181" s="6" t="s">
        <v>426</v>
      </c>
      <c r="DW181" s="6" t="s">
        <v>439</v>
      </c>
      <c r="DX181" s="6" t="s">
        <v>491</v>
      </c>
      <c r="DY181" s="6"/>
      <c r="DZ181" s="6" t="s">
        <v>940</v>
      </c>
      <c r="EA181" s="6">
        <v>1</v>
      </c>
      <c r="EB181" s="6">
        <v>1</v>
      </c>
      <c r="EC181" s="6">
        <v>1</v>
      </c>
      <c r="ED181" s="6">
        <v>1</v>
      </c>
      <c r="EE181" s="6">
        <v>0</v>
      </c>
      <c r="EF181" s="6">
        <v>0</v>
      </c>
      <c r="EG181" s="6">
        <v>0</v>
      </c>
      <c r="EH181" s="6">
        <v>0</v>
      </c>
      <c r="EI181" s="6"/>
      <c r="EJ181" s="6" t="s">
        <v>697</v>
      </c>
      <c r="EK181" s="6">
        <v>1</v>
      </c>
      <c r="EL181" s="6">
        <v>1</v>
      </c>
      <c r="EM181" s="6">
        <v>1</v>
      </c>
      <c r="EN181" s="6">
        <v>1</v>
      </c>
      <c r="EO181" s="6">
        <v>1</v>
      </c>
      <c r="EP181" s="6">
        <v>1</v>
      </c>
      <c r="EQ181" s="6">
        <v>0</v>
      </c>
      <c r="ER181" s="6">
        <v>0</v>
      </c>
      <c r="ES181" s="6">
        <v>0</v>
      </c>
      <c r="ET181" s="6"/>
      <c r="EU181" s="6" t="s">
        <v>494</v>
      </c>
      <c r="EV181" s="6" t="s">
        <v>495</v>
      </c>
      <c r="EW181" s="6"/>
      <c r="EX181" s="6" t="s">
        <v>445</v>
      </c>
      <c r="EY181" s="6">
        <v>0</v>
      </c>
      <c r="EZ181" s="6">
        <v>0</v>
      </c>
      <c r="FA181" s="6">
        <v>1</v>
      </c>
      <c r="FB181" s="6">
        <v>0</v>
      </c>
      <c r="FC181" s="6">
        <v>0</v>
      </c>
      <c r="FD181" s="6">
        <v>0</v>
      </c>
      <c r="FE181" s="6">
        <v>0</v>
      </c>
      <c r="FF181" s="6">
        <v>0</v>
      </c>
      <c r="FG181" s="6"/>
      <c r="FH181" s="6" t="s">
        <v>812</v>
      </c>
      <c r="FI181" s="6">
        <v>1</v>
      </c>
      <c r="FJ181" s="6">
        <v>0</v>
      </c>
      <c r="FK181" s="6">
        <v>0</v>
      </c>
      <c r="FL181" s="6">
        <v>0</v>
      </c>
      <c r="FM181" s="6">
        <v>0</v>
      </c>
      <c r="FN181" s="6">
        <v>0</v>
      </c>
      <c r="FO181" s="6">
        <v>0</v>
      </c>
      <c r="FP181" s="6">
        <v>0</v>
      </c>
      <c r="FQ181" s="6">
        <v>0</v>
      </c>
      <c r="FR181" s="6">
        <v>0</v>
      </c>
      <c r="FS181" s="6"/>
      <c r="FT181" s="6" t="s">
        <v>447</v>
      </c>
      <c r="FU181" s="6" t="s">
        <v>448</v>
      </c>
      <c r="FV181" s="6"/>
      <c r="FW181" s="6" t="s">
        <v>449</v>
      </c>
      <c r="FX181" s="15" t="s">
        <v>528</v>
      </c>
      <c r="FY181" s="6" t="s">
        <v>451</v>
      </c>
      <c r="FZ181" s="6"/>
      <c r="GA181" s="6" t="s">
        <v>528</v>
      </c>
      <c r="GB181" s="6" t="s">
        <v>452</v>
      </c>
      <c r="GC181" s="6" t="s">
        <v>453</v>
      </c>
      <c r="GD181" s="6"/>
      <c r="GE181" s="6" t="s">
        <v>454</v>
      </c>
      <c r="GF181" s="6" t="s">
        <v>3067</v>
      </c>
      <c r="GG181" s="6" t="s">
        <v>456</v>
      </c>
      <c r="GH181" s="15" t="s">
        <v>3068</v>
      </c>
      <c r="GI181" s="6" t="s">
        <v>458</v>
      </c>
      <c r="GJ181" s="6" t="s">
        <v>1144</v>
      </c>
      <c r="GK181" s="6" t="s">
        <v>703</v>
      </c>
      <c r="GL181" s="6" t="s">
        <v>704</v>
      </c>
      <c r="GM181" s="6">
        <v>0</v>
      </c>
      <c r="GN181" s="6">
        <v>0</v>
      </c>
      <c r="GO181" s="6">
        <v>0</v>
      </c>
      <c r="GP181" s="6">
        <v>1</v>
      </c>
      <c r="GQ181" s="6">
        <v>0</v>
      </c>
      <c r="GR181" s="6">
        <v>0</v>
      </c>
      <c r="GS181" s="6">
        <v>0</v>
      </c>
      <c r="GT181" s="6"/>
      <c r="GU181" s="6" t="s">
        <v>462</v>
      </c>
      <c r="GV181" s="6" t="s">
        <v>463</v>
      </c>
      <c r="GW181" s="6" t="s">
        <v>464</v>
      </c>
      <c r="GX181" s="6">
        <v>1</v>
      </c>
      <c r="GY181" s="6">
        <v>0</v>
      </c>
      <c r="GZ181" s="6">
        <v>0</v>
      </c>
      <c r="HA181" s="6">
        <v>0</v>
      </c>
      <c r="HB181" s="6">
        <v>0</v>
      </c>
      <c r="HC181" s="6">
        <v>0</v>
      </c>
      <c r="HD181" s="6"/>
      <c r="HE181" s="6" t="s">
        <v>535</v>
      </c>
      <c r="HF181" s="6">
        <v>1</v>
      </c>
      <c r="HG181" s="6">
        <v>0</v>
      </c>
      <c r="HH181" s="6">
        <v>0</v>
      </c>
      <c r="HI181" s="6">
        <v>0</v>
      </c>
      <c r="HJ181" s="6">
        <v>0</v>
      </c>
      <c r="HK181" s="6">
        <v>0</v>
      </c>
      <c r="HL181" s="15"/>
      <c r="HM181" s="6" t="s">
        <v>466</v>
      </c>
      <c r="HN181" s="6"/>
      <c r="HO181" s="6" t="s">
        <v>3069</v>
      </c>
      <c r="HP181" s="6" t="s">
        <v>468</v>
      </c>
      <c r="HQ181" s="6"/>
      <c r="HR181" s="6" t="s">
        <v>1297</v>
      </c>
      <c r="HS181" s="6" t="s">
        <v>470</v>
      </c>
      <c r="HT181" s="6">
        <v>0</v>
      </c>
      <c r="HU181" s="6">
        <v>0</v>
      </c>
      <c r="HV181" s="6">
        <v>0</v>
      </c>
      <c r="HW181" s="6">
        <v>0</v>
      </c>
      <c r="HX181" s="6">
        <v>1</v>
      </c>
      <c r="HY181" s="6">
        <v>0</v>
      </c>
      <c r="HZ181" s="6"/>
      <c r="IA181" s="6" t="s">
        <v>541</v>
      </c>
      <c r="IB181" s="6">
        <v>0</v>
      </c>
      <c r="IC181" s="6">
        <v>0</v>
      </c>
      <c r="ID181" s="6">
        <v>1</v>
      </c>
      <c r="IE181" s="6">
        <v>0</v>
      </c>
      <c r="IF181" s="6">
        <v>0</v>
      </c>
      <c r="IG181" s="6">
        <v>0</v>
      </c>
      <c r="IH181" s="15" t="s">
        <v>3070</v>
      </c>
      <c r="II181" s="6" t="s">
        <v>426</v>
      </c>
      <c r="IJ181" s="6" t="s">
        <v>472</v>
      </c>
      <c r="IK181" s="6">
        <v>1</v>
      </c>
      <c r="IL181" s="6">
        <v>0</v>
      </c>
      <c r="IM181" s="6">
        <v>0</v>
      </c>
      <c r="IN181" s="6"/>
      <c r="IO181" s="6" t="s">
        <v>473</v>
      </c>
      <c r="IP181" s="6">
        <v>1</v>
      </c>
      <c r="IQ181" s="6">
        <v>0</v>
      </c>
      <c r="IR181" s="6">
        <v>0</v>
      </c>
      <c r="IS181" s="6">
        <v>0</v>
      </c>
      <c r="IT181" s="6">
        <v>0</v>
      </c>
      <c r="IU181" s="6">
        <v>0</v>
      </c>
      <c r="IV181" s="6"/>
      <c r="IW181" s="6" t="s">
        <v>426</v>
      </c>
      <c r="IX181" s="6">
        <v>1</v>
      </c>
      <c r="IY181" s="6" t="s">
        <v>474</v>
      </c>
      <c r="IZ181" s="6" t="s">
        <v>475</v>
      </c>
      <c r="JA181" s="6" t="s">
        <v>426</v>
      </c>
      <c r="JB181" s="6" t="s">
        <v>476</v>
      </c>
      <c r="JC181" s="6"/>
      <c r="JD181" s="6"/>
      <c r="JE181" s="6"/>
      <c r="JF181" s="6"/>
      <c r="JG181" s="6"/>
      <c r="JH181" s="6"/>
      <c r="JI181" s="6"/>
      <c r="JJ181" s="6"/>
      <c r="JK181" s="6" t="s">
        <v>426</v>
      </c>
      <c r="JL181" s="6" t="s">
        <v>426</v>
      </c>
      <c r="JM181" s="6"/>
      <c r="JN181" s="6"/>
      <c r="JO181" s="6"/>
      <c r="JP181" s="6"/>
      <c r="JQ181" s="6"/>
      <c r="JR181" s="6"/>
      <c r="JS181" s="6"/>
      <c r="JT181" s="6"/>
      <c r="JU181" s="6" t="s">
        <v>477</v>
      </c>
      <c r="JV181" s="15"/>
      <c r="JW181" s="94" t="s">
        <v>3071</v>
      </c>
      <c r="JX181" s="6" t="s">
        <v>3072</v>
      </c>
      <c r="JY181" s="6">
        <v>0.8260483</v>
      </c>
      <c r="JZ181" s="6">
        <v>34.866105</v>
      </c>
      <c r="KA181" s="6">
        <v>1755.1</v>
      </c>
      <c r="KB181" s="15">
        <v>3.9</v>
      </c>
      <c r="KC181" s="15"/>
    </row>
    <row r="182" spans="1:289">
      <c r="A182" s="6" t="s">
        <v>2115</v>
      </c>
      <c r="B182" s="6" t="s">
        <v>2503</v>
      </c>
      <c r="C182" s="7" t="s">
        <v>2504</v>
      </c>
      <c r="D182" s="6" t="s">
        <v>2505</v>
      </c>
      <c r="E182" s="6" t="s">
        <v>3073</v>
      </c>
      <c r="F182" s="8" t="s">
        <v>423</v>
      </c>
      <c r="G182" s="6" t="s">
        <v>567</v>
      </c>
      <c r="H182" s="6" t="s">
        <v>425</v>
      </c>
      <c r="I182" s="15"/>
      <c r="J182" s="6" t="s">
        <v>426</v>
      </c>
      <c r="K182" s="6" t="s">
        <v>426</v>
      </c>
      <c r="L182" s="6" t="s">
        <v>426</v>
      </c>
      <c r="M182" s="6" t="s">
        <v>453</v>
      </c>
      <c r="N182" s="6" t="s">
        <v>426</v>
      </c>
      <c r="O182" s="6" t="s">
        <v>426</v>
      </c>
      <c r="P182" s="6" t="s">
        <v>426</v>
      </c>
      <c r="Q182" s="6" t="s">
        <v>426</v>
      </c>
      <c r="R182" s="6" t="s">
        <v>426</v>
      </c>
      <c r="S182" s="6" t="s">
        <v>426</v>
      </c>
      <c r="T182" s="6" t="s">
        <v>426</v>
      </c>
      <c r="U182" s="6" t="s">
        <v>426</v>
      </c>
      <c r="V182" s="6" t="s">
        <v>426</v>
      </c>
      <c r="W182" s="6" t="s">
        <v>426</v>
      </c>
      <c r="X182" s="6" t="s">
        <v>426</v>
      </c>
      <c r="Y182" s="6" t="s">
        <v>426</v>
      </c>
      <c r="Z182" s="6" t="s">
        <v>426</v>
      </c>
      <c r="AA182" s="6" t="s">
        <v>426</v>
      </c>
      <c r="AB182" s="6" t="s">
        <v>426</v>
      </c>
      <c r="AC182" s="15" t="s">
        <v>426</v>
      </c>
      <c r="AD182" s="6" t="s">
        <v>427</v>
      </c>
      <c r="AE182" s="6">
        <v>0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0</v>
      </c>
      <c r="AL182" s="6">
        <v>0</v>
      </c>
      <c r="AM182" s="6"/>
      <c r="AN182" s="15"/>
      <c r="AO182" s="6" t="s">
        <v>426</v>
      </c>
      <c r="AP182" s="6" t="s">
        <v>656</v>
      </c>
      <c r="AQ182" s="6" t="s">
        <v>426</v>
      </c>
      <c r="AR182" s="6" t="s">
        <v>658</v>
      </c>
      <c r="AS182" s="6" t="s">
        <v>426</v>
      </c>
      <c r="AT182" s="6">
        <v>0.2</v>
      </c>
      <c r="AU182" s="6" t="s">
        <v>426</v>
      </c>
      <c r="AV182" s="6">
        <v>0.1</v>
      </c>
      <c r="AW182" s="6" t="s">
        <v>426</v>
      </c>
      <c r="AX182" s="6">
        <v>0.05</v>
      </c>
      <c r="AY182" s="6" t="s">
        <v>426</v>
      </c>
      <c r="AZ182" s="6">
        <v>1</v>
      </c>
      <c r="BA182" s="6" t="s">
        <v>426</v>
      </c>
      <c r="BB182" s="6">
        <v>0.05</v>
      </c>
      <c r="BC182" s="6" t="s">
        <v>426</v>
      </c>
      <c r="BD182" s="6">
        <v>0.1</v>
      </c>
      <c r="BE182" s="6" t="s">
        <v>426</v>
      </c>
      <c r="BF182" s="6">
        <v>15</v>
      </c>
      <c r="BG182" s="6" t="s">
        <v>453</v>
      </c>
      <c r="BH182" s="6"/>
      <c r="BI182" s="6" t="s">
        <v>426</v>
      </c>
      <c r="BJ182" s="6">
        <v>0.1</v>
      </c>
      <c r="BK182" s="6" t="s">
        <v>426</v>
      </c>
      <c r="BL182" s="6">
        <v>0.1</v>
      </c>
      <c r="BM182" s="6" t="s">
        <v>426</v>
      </c>
      <c r="BN182" s="6">
        <v>30</v>
      </c>
      <c r="BO182" s="6" t="s">
        <v>426</v>
      </c>
      <c r="BP182" s="6">
        <v>0.1</v>
      </c>
      <c r="BQ182" s="6" t="s">
        <v>426</v>
      </c>
      <c r="BR182" s="6">
        <v>16</v>
      </c>
      <c r="BS182" s="6" t="s">
        <v>426</v>
      </c>
      <c r="BT182" s="6">
        <v>1</v>
      </c>
      <c r="BU182" s="6" t="s">
        <v>426</v>
      </c>
      <c r="BV182" s="15">
        <v>0.2</v>
      </c>
      <c r="BW182" s="15" t="s">
        <v>2263</v>
      </c>
      <c r="BX182" s="15" t="s">
        <v>1064</v>
      </c>
      <c r="BY182" s="6" t="s">
        <v>430</v>
      </c>
      <c r="BZ182" s="6" t="s">
        <v>430</v>
      </c>
      <c r="CA182" s="6" t="s">
        <v>430</v>
      </c>
      <c r="CB182" s="6" t="s">
        <v>430</v>
      </c>
      <c r="CC182" s="6" t="s">
        <v>430</v>
      </c>
      <c r="CD182" s="6" t="s">
        <v>430</v>
      </c>
      <c r="CE182" s="6" t="s">
        <v>430</v>
      </c>
      <c r="CF182" s="6" t="s">
        <v>430</v>
      </c>
      <c r="CG182" s="6" t="s">
        <v>430</v>
      </c>
      <c r="CH182" s="6" t="s">
        <v>430</v>
      </c>
      <c r="CI182" s="6" t="s">
        <v>430</v>
      </c>
      <c r="CJ182" s="6" t="s">
        <v>430</v>
      </c>
      <c r="CK182" s="6" t="s">
        <v>430</v>
      </c>
      <c r="CL182" s="6" t="s">
        <v>430</v>
      </c>
      <c r="CM182" s="6" t="s">
        <v>430</v>
      </c>
      <c r="CN182" s="6" t="s">
        <v>430</v>
      </c>
      <c r="CO182" s="15" t="s">
        <v>430</v>
      </c>
      <c r="CP182" s="15" t="s">
        <v>432</v>
      </c>
      <c r="CQ182" s="6" t="s">
        <v>433</v>
      </c>
      <c r="CR182" s="15"/>
      <c r="CS182" s="6" t="s">
        <v>426</v>
      </c>
      <c r="CT182" s="6" t="s">
        <v>1917</v>
      </c>
      <c r="CU182" s="6" t="s">
        <v>683</v>
      </c>
      <c r="CV182" s="6" t="s">
        <v>1367</v>
      </c>
      <c r="CW182" s="6" t="s">
        <v>737</v>
      </c>
      <c r="CX182" s="15" t="s">
        <v>426</v>
      </c>
      <c r="CY182" s="6" t="s">
        <v>426</v>
      </c>
      <c r="CZ182" s="6" t="s">
        <v>1917</v>
      </c>
      <c r="DA182" s="6" t="s">
        <v>868</v>
      </c>
      <c r="DB182" s="6" t="s">
        <v>809</v>
      </c>
      <c r="DC182" s="6" t="s">
        <v>1367</v>
      </c>
      <c r="DD182" s="15" t="s">
        <v>2059</v>
      </c>
      <c r="DE182" s="15" t="s">
        <v>436</v>
      </c>
      <c r="DF182" s="6" t="s">
        <v>437</v>
      </c>
      <c r="DG182" s="6">
        <v>1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/>
      <c r="DN182" s="6"/>
      <c r="DO182" s="6"/>
      <c r="DP182" s="6"/>
      <c r="DQ182" s="6"/>
      <c r="DR182" s="6"/>
      <c r="DS182" s="6"/>
      <c r="DT182" s="66"/>
      <c r="DU182" s="6" t="s">
        <v>438</v>
      </c>
      <c r="DV182" s="6" t="s">
        <v>426</v>
      </c>
      <c r="DW182" s="6" t="s">
        <v>439</v>
      </c>
      <c r="DX182" s="6" t="s">
        <v>440</v>
      </c>
      <c r="DY182" s="6"/>
      <c r="DZ182" s="6" t="s">
        <v>441</v>
      </c>
      <c r="EA182" s="6">
        <v>1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0</v>
      </c>
      <c r="EI182" s="6"/>
      <c r="EJ182" s="6" t="s">
        <v>811</v>
      </c>
      <c r="EK182" s="6">
        <v>1</v>
      </c>
      <c r="EL182" s="6">
        <v>0</v>
      </c>
      <c r="EM182" s="6">
        <v>0</v>
      </c>
      <c r="EN182" s="6">
        <v>0</v>
      </c>
      <c r="EO182" s="6">
        <v>0</v>
      </c>
      <c r="EP182" s="6">
        <v>0</v>
      </c>
      <c r="EQ182" s="6">
        <v>0</v>
      </c>
      <c r="ER182" s="6">
        <v>0</v>
      </c>
      <c r="ES182" s="6">
        <v>0</v>
      </c>
      <c r="ET182" s="6"/>
      <c r="EU182" s="6" t="s">
        <v>443</v>
      </c>
      <c r="EV182" s="6" t="s">
        <v>588</v>
      </c>
      <c r="EW182" s="6"/>
      <c r="EX182" s="6" t="s">
        <v>1123</v>
      </c>
      <c r="EY182" s="6">
        <v>1</v>
      </c>
      <c r="EZ182" s="6">
        <v>0</v>
      </c>
      <c r="FA182" s="6">
        <v>0</v>
      </c>
      <c r="FB182" s="6">
        <v>0</v>
      </c>
      <c r="FC182" s="6">
        <v>0</v>
      </c>
      <c r="FD182" s="6">
        <v>0</v>
      </c>
      <c r="FE182" s="6">
        <v>0</v>
      </c>
      <c r="FF182" s="6">
        <v>0</v>
      </c>
      <c r="FG182" s="6"/>
      <c r="FH182" s="6" t="s">
        <v>1243</v>
      </c>
      <c r="FI182" s="6">
        <v>0</v>
      </c>
      <c r="FJ182" s="6">
        <v>0</v>
      </c>
      <c r="FK182" s="6">
        <v>1</v>
      </c>
      <c r="FL182" s="6">
        <v>0</v>
      </c>
      <c r="FM182" s="6">
        <v>0</v>
      </c>
      <c r="FN182" s="6">
        <v>0</v>
      </c>
      <c r="FO182" s="6">
        <v>0</v>
      </c>
      <c r="FP182" s="6">
        <v>0</v>
      </c>
      <c r="FQ182" s="6">
        <v>0</v>
      </c>
      <c r="FR182" s="6">
        <v>0</v>
      </c>
      <c r="FS182" s="6"/>
      <c r="FT182" s="6" t="s">
        <v>447</v>
      </c>
      <c r="FU182" s="6" t="s">
        <v>499</v>
      </c>
      <c r="FV182" s="6"/>
      <c r="FW182" s="6" t="s">
        <v>449</v>
      </c>
      <c r="FX182" s="15" t="s">
        <v>450</v>
      </c>
      <c r="FY182" s="6" t="s">
        <v>529</v>
      </c>
      <c r="FZ182" s="6"/>
      <c r="GA182" s="6" t="s">
        <v>450</v>
      </c>
      <c r="GB182" s="6" t="s">
        <v>501</v>
      </c>
      <c r="GC182" s="6" t="s">
        <v>453</v>
      </c>
      <c r="GD182" s="6"/>
      <c r="GE182" s="6" t="s">
        <v>454</v>
      </c>
      <c r="GF182" s="6" t="s">
        <v>2508</v>
      </c>
      <c r="GG182" s="6" t="s">
        <v>456</v>
      </c>
      <c r="GH182" s="15" t="s">
        <v>2508</v>
      </c>
      <c r="GI182" s="6" t="s">
        <v>458</v>
      </c>
      <c r="GJ182" s="6" t="s">
        <v>3074</v>
      </c>
      <c r="GK182" s="6" t="s">
        <v>460</v>
      </c>
      <c r="GL182" s="6" t="s">
        <v>461</v>
      </c>
      <c r="GM182" s="6">
        <v>0</v>
      </c>
      <c r="GN182" s="6">
        <v>0</v>
      </c>
      <c r="GO182" s="6">
        <v>0</v>
      </c>
      <c r="GP182" s="6">
        <v>0</v>
      </c>
      <c r="GQ182" s="6">
        <v>0</v>
      </c>
      <c r="GR182" s="6">
        <v>1</v>
      </c>
      <c r="GS182" s="6">
        <v>0</v>
      </c>
      <c r="GT182" s="6"/>
      <c r="GU182" s="6" t="s">
        <v>534</v>
      </c>
      <c r="GV182" s="6" t="s">
        <v>595</v>
      </c>
      <c r="GW182" s="6" t="s">
        <v>464</v>
      </c>
      <c r="GX182" s="6">
        <v>1</v>
      </c>
      <c r="GY182" s="6">
        <v>0</v>
      </c>
      <c r="GZ182" s="6">
        <v>0</v>
      </c>
      <c r="HA182" s="6">
        <v>0</v>
      </c>
      <c r="HB182" s="6">
        <v>0</v>
      </c>
      <c r="HC182" s="6">
        <v>0</v>
      </c>
      <c r="HD182" s="6"/>
      <c r="HE182" s="6" t="s">
        <v>646</v>
      </c>
      <c r="HF182" s="6">
        <v>0</v>
      </c>
      <c r="HG182" s="6">
        <v>0</v>
      </c>
      <c r="HH182" s="6">
        <v>1</v>
      </c>
      <c r="HI182" s="6">
        <v>0</v>
      </c>
      <c r="HJ182" s="6">
        <v>0</v>
      </c>
      <c r="HK182" s="6">
        <v>0</v>
      </c>
      <c r="HL182" s="15"/>
      <c r="HM182" s="6" t="s">
        <v>505</v>
      </c>
      <c r="HN182" s="6"/>
      <c r="HO182" s="6" t="s">
        <v>3075</v>
      </c>
      <c r="HP182" s="6" t="s">
        <v>468</v>
      </c>
      <c r="HQ182" s="6"/>
      <c r="HR182" s="6" t="s">
        <v>3076</v>
      </c>
      <c r="HS182" s="6" t="s">
        <v>540</v>
      </c>
      <c r="HT182" s="6">
        <v>1</v>
      </c>
      <c r="HU182" s="6">
        <v>0</v>
      </c>
      <c r="HV182" s="6">
        <v>0</v>
      </c>
      <c r="HW182" s="6">
        <v>0</v>
      </c>
      <c r="HX182" s="6">
        <v>0</v>
      </c>
      <c r="HY182" s="6">
        <v>0</v>
      </c>
      <c r="HZ182" s="6"/>
      <c r="IA182" s="6" t="s">
        <v>112</v>
      </c>
      <c r="IB182" s="6">
        <v>0</v>
      </c>
      <c r="IC182" s="6">
        <v>1</v>
      </c>
      <c r="ID182" s="6">
        <v>0</v>
      </c>
      <c r="IE182" s="6">
        <v>0</v>
      </c>
      <c r="IF182" s="6">
        <v>0</v>
      </c>
      <c r="IG182" s="6">
        <v>0</v>
      </c>
      <c r="IH182" s="15" t="s">
        <v>3077</v>
      </c>
      <c r="II182" s="6" t="s">
        <v>426</v>
      </c>
      <c r="IJ182" s="6" t="s">
        <v>472</v>
      </c>
      <c r="IK182" s="6">
        <v>1</v>
      </c>
      <c r="IL182" s="6">
        <v>0</v>
      </c>
      <c r="IM182" s="6">
        <v>0</v>
      </c>
      <c r="IN182" s="6"/>
      <c r="IO182" s="6" t="s">
        <v>473</v>
      </c>
      <c r="IP182" s="6">
        <v>1</v>
      </c>
      <c r="IQ182" s="6">
        <v>0</v>
      </c>
      <c r="IR182" s="6">
        <v>0</v>
      </c>
      <c r="IS182" s="6">
        <v>0</v>
      </c>
      <c r="IT182" s="6">
        <v>0</v>
      </c>
      <c r="IU182" s="6">
        <v>0</v>
      </c>
      <c r="IV182" s="6"/>
      <c r="IW182" s="6" t="s">
        <v>453</v>
      </c>
      <c r="IX182" s="6"/>
      <c r="IY182" s="6" t="s">
        <v>510</v>
      </c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 t="s">
        <v>453</v>
      </c>
      <c r="JK182" s="6" t="s">
        <v>453</v>
      </c>
      <c r="JL182" s="6"/>
      <c r="JM182" s="6"/>
      <c r="JN182" s="6"/>
      <c r="JO182" s="6"/>
      <c r="JP182" s="6"/>
      <c r="JQ182" s="6"/>
      <c r="JR182" s="6"/>
      <c r="JS182" s="6"/>
      <c r="JT182" s="6"/>
      <c r="JU182" s="6" t="s">
        <v>544</v>
      </c>
      <c r="JV182" s="15"/>
      <c r="JW182" s="94" t="s">
        <v>3078</v>
      </c>
      <c r="JX182" s="6" t="s">
        <v>3079</v>
      </c>
      <c r="JY182" s="6">
        <v>0.8316697</v>
      </c>
      <c r="JZ182" s="6">
        <v>34.8654296</v>
      </c>
      <c r="KA182" s="6">
        <v>1772.641</v>
      </c>
      <c r="KB182" s="15">
        <v>2.95</v>
      </c>
      <c r="KC182" s="15"/>
    </row>
    <row r="183" spans="1:289">
      <c r="A183" s="6" t="s">
        <v>581</v>
      </c>
      <c r="B183" s="6" t="s">
        <v>2503</v>
      </c>
      <c r="C183" s="7" t="s">
        <v>2504</v>
      </c>
      <c r="D183" s="6" t="s">
        <v>2167</v>
      </c>
      <c r="E183" s="6" t="s">
        <v>3080</v>
      </c>
      <c r="F183" s="8" t="s">
        <v>483</v>
      </c>
      <c r="G183" s="6" t="s">
        <v>731</v>
      </c>
      <c r="H183" s="6" t="s">
        <v>425</v>
      </c>
      <c r="I183" s="15"/>
      <c r="J183" s="6" t="s">
        <v>426</v>
      </c>
      <c r="K183" s="6" t="s">
        <v>426</v>
      </c>
      <c r="L183" s="6" t="s">
        <v>426</v>
      </c>
      <c r="M183" s="6" t="s">
        <v>426</v>
      </c>
      <c r="N183" s="6" t="s">
        <v>426</v>
      </c>
      <c r="O183" s="6" t="s">
        <v>426</v>
      </c>
      <c r="P183" s="6" t="s">
        <v>426</v>
      </c>
      <c r="Q183" s="6" t="s">
        <v>426</v>
      </c>
      <c r="R183" s="6" t="s">
        <v>426</v>
      </c>
      <c r="S183" s="6" t="s">
        <v>426</v>
      </c>
      <c r="T183" s="6" t="s">
        <v>426</v>
      </c>
      <c r="U183" s="6" t="s">
        <v>426</v>
      </c>
      <c r="V183" s="6" t="s">
        <v>426</v>
      </c>
      <c r="W183" s="6" t="s">
        <v>426</v>
      </c>
      <c r="X183" s="6" t="s">
        <v>426</v>
      </c>
      <c r="Y183" s="6" t="s">
        <v>426</v>
      </c>
      <c r="Z183" s="6" t="s">
        <v>426</v>
      </c>
      <c r="AA183" s="6" t="s">
        <v>426</v>
      </c>
      <c r="AB183" s="6" t="s">
        <v>426</v>
      </c>
      <c r="AC183" s="15" t="s">
        <v>426</v>
      </c>
      <c r="AD183" s="6" t="s">
        <v>427</v>
      </c>
      <c r="AE183" s="6">
        <v>0</v>
      </c>
      <c r="AF183" s="6">
        <v>0</v>
      </c>
      <c r="AG183" s="6">
        <v>0</v>
      </c>
      <c r="AH183" s="6">
        <v>1</v>
      </c>
      <c r="AI183" s="6">
        <v>0</v>
      </c>
      <c r="AJ183" s="6">
        <v>0</v>
      </c>
      <c r="AK183" s="6">
        <v>0</v>
      </c>
      <c r="AL183" s="6">
        <v>0</v>
      </c>
      <c r="AM183" s="6"/>
      <c r="AN183" s="15"/>
      <c r="AO183" s="6" t="s">
        <v>426</v>
      </c>
      <c r="AP183" s="6" t="s">
        <v>920</v>
      </c>
      <c r="AQ183" s="6" t="s">
        <v>426</v>
      </c>
      <c r="AR183" s="6" t="s">
        <v>985</v>
      </c>
      <c r="AS183" s="6" t="s">
        <v>426</v>
      </c>
      <c r="AT183" s="6">
        <v>0.2</v>
      </c>
      <c r="AU183" s="6" t="s">
        <v>426</v>
      </c>
      <c r="AV183" s="6">
        <v>0.2</v>
      </c>
      <c r="AW183" s="6" t="s">
        <v>426</v>
      </c>
      <c r="AX183" s="6">
        <v>0.2</v>
      </c>
      <c r="AY183" s="6" t="s">
        <v>426</v>
      </c>
      <c r="AZ183" s="6">
        <v>1</v>
      </c>
      <c r="BA183" s="6" t="s">
        <v>426</v>
      </c>
      <c r="BB183" s="6">
        <v>0.5</v>
      </c>
      <c r="BC183" s="6" t="s">
        <v>426</v>
      </c>
      <c r="BD183" s="6">
        <v>0.2</v>
      </c>
      <c r="BE183" s="6" t="s">
        <v>426</v>
      </c>
      <c r="BF183" s="6">
        <v>10</v>
      </c>
      <c r="BG183" s="6" t="s">
        <v>426</v>
      </c>
      <c r="BH183" s="6">
        <v>0.3</v>
      </c>
      <c r="BI183" s="6" t="s">
        <v>426</v>
      </c>
      <c r="BJ183" s="6">
        <v>0.3</v>
      </c>
      <c r="BK183" s="6" t="s">
        <v>426</v>
      </c>
      <c r="BL183" s="6">
        <v>0.3</v>
      </c>
      <c r="BM183" s="6" t="s">
        <v>426</v>
      </c>
      <c r="BN183" s="6">
        <v>30</v>
      </c>
      <c r="BO183" s="6" t="s">
        <v>426</v>
      </c>
      <c r="BP183" s="6">
        <v>0.2</v>
      </c>
      <c r="BQ183" s="6" t="s">
        <v>426</v>
      </c>
      <c r="BR183" s="6">
        <v>260</v>
      </c>
      <c r="BS183" s="6" t="s">
        <v>426</v>
      </c>
      <c r="BT183" s="6">
        <v>20</v>
      </c>
      <c r="BU183" s="6" t="s">
        <v>426</v>
      </c>
      <c r="BV183" s="15">
        <v>0.3</v>
      </c>
      <c r="BW183" s="15" t="s">
        <v>518</v>
      </c>
      <c r="BX183" s="15" t="s">
        <v>429</v>
      </c>
      <c r="BY183" s="6" t="s">
        <v>430</v>
      </c>
      <c r="BZ183" s="6" t="s">
        <v>430</v>
      </c>
      <c r="CA183" s="6" t="s">
        <v>430</v>
      </c>
      <c r="CB183" s="6" t="s">
        <v>430</v>
      </c>
      <c r="CC183" s="6" t="s">
        <v>430</v>
      </c>
      <c r="CD183" s="6" t="s">
        <v>430</v>
      </c>
      <c r="CE183" s="6" t="s">
        <v>430</v>
      </c>
      <c r="CF183" s="6" t="s">
        <v>430</v>
      </c>
      <c r="CG183" s="6" t="s">
        <v>430</v>
      </c>
      <c r="CH183" s="6" t="s">
        <v>430</v>
      </c>
      <c r="CI183" s="6" t="s">
        <v>430</v>
      </c>
      <c r="CJ183" s="6" t="s">
        <v>430</v>
      </c>
      <c r="CK183" s="6" t="s">
        <v>430</v>
      </c>
      <c r="CL183" s="6" t="s">
        <v>430</v>
      </c>
      <c r="CM183" s="6" t="s">
        <v>430</v>
      </c>
      <c r="CN183" s="6" t="s">
        <v>430</v>
      </c>
      <c r="CO183" s="15" t="s">
        <v>430</v>
      </c>
      <c r="CP183" s="15" t="s">
        <v>432</v>
      </c>
      <c r="CQ183" s="6" t="s">
        <v>433</v>
      </c>
      <c r="CR183" s="15"/>
      <c r="CS183" s="6" t="s">
        <v>426</v>
      </c>
      <c r="CT183" s="6" t="s">
        <v>3081</v>
      </c>
      <c r="CU183" s="6" t="s">
        <v>3082</v>
      </c>
      <c r="CV183" s="6" t="s">
        <v>971</v>
      </c>
      <c r="CW183" s="6" t="s">
        <v>3083</v>
      </c>
      <c r="CX183" s="15" t="s">
        <v>426</v>
      </c>
      <c r="CY183" s="6" t="s">
        <v>453</v>
      </c>
      <c r="CZ183" s="6"/>
      <c r="DA183" s="6"/>
      <c r="DB183" s="6"/>
      <c r="DC183" s="6"/>
      <c r="DD183" s="15"/>
      <c r="DE183" s="15" t="s">
        <v>436</v>
      </c>
      <c r="DF183" s="6" t="s">
        <v>1171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1</v>
      </c>
      <c r="DM183" s="6" t="s">
        <v>3084</v>
      </c>
      <c r="DN183" s="6"/>
      <c r="DO183" s="6"/>
      <c r="DP183" s="6"/>
      <c r="DQ183" s="6"/>
      <c r="DR183" s="6"/>
      <c r="DS183" s="6"/>
      <c r="DT183" s="66"/>
      <c r="DU183" s="6" t="s">
        <v>438</v>
      </c>
      <c r="DV183" s="6" t="s">
        <v>426</v>
      </c>
      <c r="DW183" s="6" t="s">
        <v>490</v>
      </c>
      <c r="DX183" s="6" t="s">
        <v>440</v>
      </c>
      <c r="DY183" s="6"/>
      <c r="DZ183" s="6" t="s">
        <v>3085</v>
      </c>
      <c r="EA183" s="6">
        <v>1</v>
      </c>
      <c r="EB183" s="6">
        <v>1</v>
      </c>
      <c r="EC183" s="6">
        <v>1</v>
      </c>
      <c r="ED183" s="6">
        <v>1</v>
      </c>
      <c r="EE183" s="6">
        <v>1</v>
      </c>
      <c r="EF183" s="6">
        <v>0</v>
      </c>
      <c r="EG183" s="6">
        <v>0</v>
      </c>
      <c r="EH183" s="6">
        <v>0</v>
      </c>
      <c r="EI183" s="6"/>
      <c r="EJ183" s="6" t="s">
        <v>851</v>
      </c>
      <c r="EK183" s="6">
        <v>1</v>
      </c>
      <c r="EL183" s="6">
        <v>1</v>
      </c>
      <c r="EM183" s="6">
        <v>1</v>
      </c>
      <c r="EN183" s="6">
        <v>1</v>
      </c>
      <c r="EO183" s="6">
        <v>1</v>
      </c>
      <c r="EP183" s="6">
        <v>0</v>
      </c>
      <c r="EQ183" s="6">
        <v>0</v>
      </c>
      <c r="ER183" s="6">
        <v>0</v>
      </c>
      <c r="ES183" s="6">
        <v>0</v>
      </c>
      <c r="ET183" s="6"/>
      <c r="EU183" s="6" t="s">
        <v>443</v>
      </c>
      <c r="EV183" s="6" t="s">
        <v>588</v>
      </c>
      <c r="EW183" s="6"/>
      <c r="EX183" s="6" t="s">
        <v>3086</v>
      </c>
      <c r="EY183" s="6">
        <v>1</v>
      </c>
      <c r="EZ183" s="6">
        <v>1</v>
      </c>
      <c r="FA183" s="6">
        <v>1</v>
      </c>
      <c r="FB183" s="6">
        <v>1</v>
      </c>
      <c r="FC183" s="6">
        <v>1</v>
      </c>
      <c r="FD183" s="6">
        <v>1</v>
      </c>
      <c r="FE183" s="6">
        <v>0</v>
      </c>
      <c r="FF183" s="6">
        <v>0</v>
      </c>
      <c r="FG183" s="6"/>
      <c r="FH183" s="6" t="s">
        <v>3087</v>
      </c>
      <c r="FI183" s="6">
        <v>1</v>
      </c>
      <c r="FJ183" s="6">
        <v>0</v>
      </c>
      <c r="FK183" s="6">
        <v>1</v>
      </c>
      <c r="FL183" s="6">
        <v>1</v>
      </c>
      <c r="FM183" s="6">
        <v>1</v>
      </c>
      <c r="FN183" s="6">
        <v>1</v>
      </c>
      <c r="FO183" s="6">
        <v>0</v>
      </c>
      <c r="FP183" s="6">
        <v>0</v>
      </c>
      <c r="FQ183" s="6">
        <v>1</v>
      </c>
      <c r="FR183" s="6">
        <v>0</v>
      </c>
      <c r="FS183" s="6"/>
      <c r="FT183" s="6" t="s">
        <v>556</v>
      </c>
      <c r="FU183" s="6" t="s">
        <v>448</v>
      </c>
      <c r="FV183" s="6"/>
      <c r="FW183" s="6" t="s">
        <v>449</v>
      </c>
      <c r="FX183" s="15" t="s">
        <v>450</v>
      </c>
      <c r="FY183" s="6" t="s">
        <v>451</v>
      </c>
      <c r="FZ183" s="6"/>
      <c r="GA183" s="6" t="s">
        <v>450</v>
      </c>
      <c r="GB183" s="6" t="s">
        <v>501</v>
      </c>
      <c r="GC183" s="6" t="s">
        <v>453</v>
      </c>
      <c r="GD183" s="6"/>
      <c r="GE183" s="6" t="s">
        <v>454</v>
      </c>
      <c r="GF183" s="6" t="s">
        <v>3088</v>
      </c>
      <c r="GG183" s="6" t="s">
        <v>456</v>
      </c>
      <c r="GH183" s="15" t="s">
        <v>2363</v>
      </c>
      <c r="GI183" s="6" t="s">
        <v>458</v>
      </c>
      <c r="GJ183" s="6" t="s">
        <v>3089</v>
      </c>
      <c r="GK183" s="6" t="s">
        <v>460</v>
      </c>
      <c r="GL183" s="6" t="s">
        <v>461</v>
      </c>
      <c r="GM183" s="6">
        <v>0</v>
      </c>
      <c r="GN183" s="6">
        <v>0</v>
      </c>
      <c r="GO183" s="6">
        <v>0</v>
      </c>
      <c r="GP183" s="6">
        <v>0</v>
      </c>
      <c r="GQ183" s="6">
        <v>0</v>
      </c>
      <c r="GR183" s="6">
        <v>1</v>
      </c>
      <c r="GS183" s="6">
        <v>0</v>
      </c>
      <c r="GT183" s="6"/>
      <c r="GU183" s="6" t="s">
        <v>534</v>
      </c>
      <c r="GV183" s="6" t="s">
        <v>595</v>
      </c>
      <c r="GW183" s="6" t="s">
        <v>464</v>
      </c>
      <c r="GX183" s="6">
        <v>1</v>
      </c>
      <c r="GY183" s="6">
        <v>0</v>
      </c>
      <c r="GZ183" s="6">
        <v>0</v>
      </c>
      <c r="HA183" s="6">
        <v>0</v>
      </c>
      <c r="HB183" s="6">
        <v>0</v>
      </c>
      <c r="HC183" s="6">
        <v>0</v>
      </c>
      <c r="HD183" s="6"/>
      <c r="HE183" s="6" t="s">
        <v>596</v>
      </c>
      <c r="HF183" s="6">
        <v>1</v>
      </c>
      <c r="HG183" s="6">
        <v>1</v>
      </c>
      <c r="HH183" s="6">
        <v>1</v>
      </c>
      <c r="HI183" s="6">
        <v>1</v>
      </c>
      <c r="HJ183" s="6">
        <v>0</v>
      </c>
      <c r="HK183" s="6">
        <v>0</v>
      </c>
      <c r="HL183" s="15"/>
      <c r="HM183" s="6" t="s">
        <v>505</v>
      </c>
      <c r="HN183" s="6"/>
      <c r="HO183" s="6" t="s">
        <v>3090</v>
      </c>
      <c r="HP183" s="6" t="s">
        <v>537</v>
      </c>
      <c r="HQ183" s="6" t="s">
        <v>3091</v>
      </c>
      <c r="HR183" s="6" t="s">
        <v>3092</v>
      </c>
      <c r="HS183" s="6" t="s">
        <v>1315</v>
      </c>
      <c r="HT183" s="6">
        <v>0</v>
      </c>
      <c r="HU183" s="6">
        <v>0</v>
      </c>
      <c r="HV183" s="6">
        <v>1</v>
      </c>
      <c r="HW183" s="6">
        <v>0</v>
      </c>
      <c r="HX183" s="6">
        <v>1</v>
      </c>
      <c r="HY183" s="6">
        <v>1</v>
      </c>
      <c r="HZ183" s="6"/>
      <c r="IA183" s="6" t="s">
        <v>1284</v>
      </c>
      <c r="IB183" s="6">
        <v>1</v>
      </c>
      <c r="IC183" s="6">
        <v>1</v>
      </c>
      <c r="ID183" s="6">
        <v>1</v>
      </c>
      <c r="IE183" s="6">
        <v>1</v>
      </c>
      <c r="IF183" s="6">
        <v>0</v>
      </c>
      <c r="IG183" s="6">
        <v>0</v>
      </c>
      <c r="IH183" s="15" t="s">
        <v>3093</v>
      </c>
      <c r="II183" s="6" t="s">
        <v>426</v>
      </c>
      <c r="IJ183" s="6" t="s">
        <v>602</v>
      </c>
      <c r="IK183" s="6">
        <v>1</v>
      </c>
      <c r="IL183" s="6">
        <v>1</v>
      </c>
      <c r="IM183" s="6">
        <v>0</v>
      </c>
      <c r="IN183" s="6"/>
      <c r="IO183" s="6" t="s">
        <v>893</v>
      </c>
      <c r="IP183" s="6">
        <v>1</v>
      </c>
      <c r="IQ183" s="6">
        <v>0</v>
      </c>
      <c r="IR183" s="6">
        <v>0</v>
      </c>
      <c r="IS183" s="6">
        <v>1</v>
      </c>
      <c r="IT183" s="6">
        <v>0</v>
      </c>
      <c r="IU183" s="6">
        <v>0</v>
      </c>
      <c r="IV183" s="6"/>
      <c r="IW183" s="6" t="s">
        <v>426</v>
      </c>
      <c r="IX183" s="6">
        <v>1</v>
      </c>
      <c r="IY183" s="6" t="s">
        <v>474</v>
      </c>
      <c r="IZ183" s="6" t="s">
        <v>475</v>
      </c>
      <c r="JA183" s="6" t="s">
        <v>426</v>
      </c>
      <c r="JB183" s="6" t="s">
        <v>476</v>
      </c>
      <c r="JC183" s="6"/>
      <c r="JD183" s="6"/>
      <c r="JE183" s="6"/>
      <c r="JF183" s="6"/>
      <c r="JG183" s="6"/>
      <c r="JH183" s="6"/>
      <c r="JI183" s="6"/>
      <c r="JJ183" s="6"/>
      <c r="JK183" s="6" t="s">
        <v>426</v>
      </c>
      <c r="JL183" s="6" t="s">
        <v>426</v>
      </c>
      <c r="JM183" s="6"/>
      <c r="JN183" s="6"/>
      <c r="JO183" s="6"/>
      <c r="JP183" s="6"/>
      <c r="JQ183" s="6"/>
      <c r="JR183" s="6"/>
      <c r="JS183" s="6"/>
      <c r="JT183" s="6"/>
      <c r="JU183" s="6" t="s">
        <v>895</v>
      </c>
      <c r="JV183" s="15" t="s">
        <v>3094</v>
      </c>
      <c r="JW183" s="94" t="s">
        <v>3095</v>
      </c>
      <c r="JX183" s="6" t="s">
        <v>3096</v>
      </c>
      <c r="JY183" s="6">
        <v>0.831758</v>
      </c>
      <c r="JZ183" s="6">
        <v>34.8653169</v>
      </c>
      <c r="KA183" s="6">
        <v>1755.09997558594</v>
      </c>
      <c r="KB183" s="15">
        <v>3.966</v>
      </c>
      <c r="KC183" s="15"/>
    </row>
    <row r="184" spans="1:289">
      <c r="A184" s="6" t="s">
        <v>480</v>
      </c>
      <c r="B184" s="6" t="s">
        <v>2503</v>
      </c>
      <c r="C184" s="7" t="s">
        <v>2504</v>
      </c>
      <c r="D184" s="6" t="s">
        <v>2706</v>
      </c>
      <c r="E184" s="6" t="s">
        <v>3097</v>
      </c>
      <c r="F184" s="8" t="s">
        <v>483</v>
      </c>
      <c r="G184" s="6" t="s">
        <v>731</v>
      </c>
      <c r="H184" s="6" t="s">
        <v>425</v>
      </c>
      <c r="I184" s="15"/>
      <c r="J184" s="6" t="s">
        <v>426</v>
      </c>
      <c r="K184" s="6" t="s">
        <v>426</v>
      </c>
      <c r="L184" s="6" t="s">
        <v>426</v>
      </c>
      <c r="M184" s="6" t="s">
        <v>426</v>
      </c>
      <c r="N184" s="6" t="s">
        <v>426</v>
      </c>
      <c r="O184" s="6" t="s">
        <v>426</v>
      </c>
      <c r="P184" s="6" t="s">
        <v>426</v>
      </c>
      <c r="Q184" s="6" t="s">
        <v>426</v>
      </c>
      <c r="R184" s="6" t="s">
        <v>426</v>
      </c>
      <c r="S184" s="6" t="s">
        <v>426</v>
      </c>
      <c r="T184" s="6" t="s">
        <v>426</v>
      </c>
      <c r="U184" s="6" t="s">
        <v>426</v>
      </c>
      <c r="V184" s="6" t="s">
        <v>426</v>
      </c>
      <c r="W184" s="6" t="s">
        <v>426</v>
      </c>
      <c r="X184" s="6" t="s">
        <v>426</v>
      </c>
      <c r="Y184" s="6" t="s">
        <v>426</v>
      </c>
      <c r="Z184" s="6" t="s">
        <v>426</v>
      </c>
      <c r="AA184" s="6" t="s">
        <v>426</v>
      </c>
      <c r="AB184" s="6" t="s">
        <v>426</v>
      </c>
      <c r="AC184" s="15" t="s">
        <v>426</v>
      </c>
      <c r="AD184" s="6" t="s">
        <v>427</v>
      </c>
      <c r="AE184" s="6">
        <v>0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0</v>
      </c>
      <c r="AL184" s="6">
        <v>0</v>
      </c>
      <c r="AM184" s="6"/>
      <c r="AN184" s="15"/>
      <c r="AO184" s="6" t="s">
        <v>426</v>
      </c>
      <c r="AP184" s="6" t="s">
        <v>683</v>
      </c>
      <c r="AQ184" s="6" t="s">
        <v>426</v>
      </c>
      <c r="AR184" s="6" t="s">
        <v>1367</v>
      </c>
      <c r="AS184" s="6" t="s">
        <v>426</v>
      </c>
      <c r="AT184" s="6">
        <v>1</v>
      </c>
      <c r="AU184" s="6" t="s">
        <v>426</v>
      </c>
      <c r="AV184" s="6">
        <v>0.2</v>
      </c>
      <c r="AW184" s="6" t="s">
        <v>426</v>
      </c>
      <c r="AX184" s="6">
        <v>0.2</v>
      </c>
      <c r="AY184" s="6" t="s">
        <v>426</v>
      </c>
      <c r="AZ184" s="6">
        <v>1</v>
      </c>
      <c r="BA184" s="6" t="s">
        <v>426</v>
      </c>
      <c r="BB184" s="6">
        <v>0.4</v>
      </c>
      <c r="BC184" s="6" t="s">
        <v>426</v>
      </c>
      <c r="BD184" s="6">
        <v>1</v>
      </c>
      <c r="BE184" s="6" t="s">
        <v>426</v>
      </c>
      <c r="BF184" s="6">
        <v>20</v>
      </c>
      <c r="BG184" s="6" t="s">
        <v>426</v>
      </c>
      <c r="BH184" s="6">
        <v>0.4</v>
      </c>
      <c r="BI184" s="6" t="s">
        <v>426</v>
      </c>
      <c r="BJ184" s="6">
        <v>0.4</v>
      </c>
      <c r="BK184" s="6" t="s">
        <v>426</v>
      </c>
      <c r="BL184" s="6">
        <v>0.2</v>
      </c>
      <c r="BM184" s="6" t="s">
        <v>426</v>
      </c>
      <c r="BN184" s="6">
        <v>7</v>
      </c>
      <c r="BO184" s="6" t="s">
        <v>426</v>
      </c>
      <c r="BP184" s="6">
        <v>0.4</v>
      </c>
      <c r="BQ184" s="6" t="s">
        <v>426</v>
      </c>
      <c r="BR184" s="6">
        <v>10</v>
      </c>
      <c r="BS184" s="6" t="s">
        <v>426</v>
      </c>
      <c r="BT184" s="6">
        <v>5</v>
      </c>
      <c r="BU184" s="6" t="s">
        <v>426</v>
      </c>
      <c r="BV184" s="15">
        <v>0.2</v>
      </c>
      <c r="BW184" s="15" t="s">
        <v>518</v>
      </c>
      <c r="BX184" s="15" t="s">
        <v>429</v>
      </c>
      <c r="BY184" s="6" t="s">
        <v>430</v>
      </c>
      <c r="BZ184" s="6" t="s">
        <v>430</v>
      </c>
      <c r="CA184" s="6" t="s">
        <v>430</v>
      </c>
      <c r="CB184" s="6" t="s">
        <v>430</v>
      </c>
      <c r="CC184" s="6" t="s">
        <v>430</v>
      </c>
      <c r="CD184" s="6" t="s">
        <v>430</v>
      </c>
      <c r="CE184" s="6" t="s">
        <v>430</v>
      </c>
      <c r="CF184" s="6" t="s">
        <v>430</v>
      </c>
      <c r="CG184" s="6" t="s">
        <v>431</v>
      </c>
      <c r="CH184" s="6" t="s">
        <v>430</v>
      </c>
      <c r="CI184" s="6" t="s">
        <v>431</v>
      </c>
      <c r="CJ184" s="6" t="s">
        <v>430</v>
      </c>
      <c r="CK184" s="6" t="s">
        <v>430</v>
      </c>
      <c r="CL184" s="6" t="s">
        <v>430</v>
      </c>
      <c r="CM184" s="6" t="s">
        <v>430</v>
      </c>
      <c r="CN184" s="6" t="s">
        <v>430</v>
      </c>
      <c r="CO184" s="15" t="s">
        <v>430</v>
      </c>
      <c r="CP184" s="15" t="s">
        <v>1190</v>
      </c>
      <c r="CQ184" s="6" t="s">
        <v>433</v>
      </c>
      <c r="CR184" s="15"/>
      <c r="CS184" s="6" t="s">
        <v>453</v>
      </c>
      <c r="CT184" s="6"/>
      <c r="CU184" s="6"/>
      <c r="CV184" s="6"/>
      <c r="CW184" s="6"/>
      <c r="CX184" s="15" t="s">
        <v>426</v>
      </c>
      <c r="CY184" s="6" t="s">
        <v>453</v>
      </c>
      <c r="CZ184" s="6"/>
      <c r="DA184" s="6"/>
      <c r="DB184" s="6"/>
      <c r="DC184" s="6"/>
      <c r="DD184" s="15"/>
      <c r="DE184" s="15" t="s">
        <v>436</v>
      </c>
      <c r="DF184" s="6" t="s">
        <v>713</v>
      </c>
      <c r="DG184" s="6">
        <v>1</v>
      </c>
      <c r="DH184" s="6">
        <v>1</v>
      </c>
      <c r="DI184" s="6">
        <v>1</v>
      </c>
      <c r="DJ184" s="6">
        <v>0</v>
      </c>
      <c r="DK184" s="6">
        <v>1</v>
      </c>
      <c r="DL184" s="6">
        <v>0</v>
      </c>
      <c r="DM184" s="6"/>
      <c r="DN184" s="6"/>
      <c r="DO184" s="6"/>
      <c r="DP184" s="6"/>
      <c r="DQ184" s="6"/>
      <c r="DR184" s="6"/>
      <c r="DS184" s="6"/>
      <c r="DT184" s="66"/>
      <c r="DU184" s="6" t="s">
        <v>438</v>
      </c>
      <c r="DV184" s="6" t="s">
        <v>426</v>
      </c>
      <c r="DW184" s="6" t="s">
        <v>439</v>
      </c>
      <c r="DX184" s="6" t="s">
        <v>440</v>
      </c>
      <c r="DY184" s="6"/>
      <c r="DZ184" s="6" t="s">
        <v>954</v>
      </c>
      <c r="EA184" s="6">
        <v>1</v>
      </c>
      <c r="EB184" s="6">
        <v>0</v>
      </c>
      <c r="EC184" s="6">
        <v>0</v>
      </c>
      <c r="ED184" s="6">
        <v>0</v>
      </c>
      <c r="EE184" s="6">
        <v>1</v>
      </c>
      <c r="EF184" s="6">
        <v>0</v>
      </c>
      <c r="EG184" s="6">
        <v>0</v>
      </c>
      <c r="EH184" s="6">
        <v>0</v>
      </c>
      <c r="EI184" s="6"/>
      <c r="EJ184" s="6" t="s">
        <v>1906</v>
      </c>
      <c r="EK184" s="6">
        <v>1</v>
      </c>
      <c r="EL184" s="6">
        <v>0</v>
      </c>
      <c r="EM184" s="6">
        <v>0</v>
      </c>
      <c r="EN184" s="6">
        <v>1</v>
      </c>
      <c r="EO184" s="6">
        <v>0</v>
      </c>
      <c r="EP184" s="6">
        <v>0</v>
      </c>
      <c r="EQ184" s="6">
        <v>0</v>
      </c>
      <c r="ER184" s="6">
        <v>0</v>
      </c>
      <c r="ES184" s="6">
        <v>0</v>
      </c>
      <c r="ET184" s="6"/>
      <c r="EU184" s="6" t="s">
        <v>443</v>
      </c>
      <c r="EV184" s="6" t="s">
        <v>495</v>
      </c>
      <c r="EW184" s="6"/>
      <c r="EX184" s="6" t="s">
        <v>3098</v>
      </c>
      <c r="EY184" s="6">
        <v>0</v>
      </c>
      <c r="EZ184" s="6">
        <v>0</v>
      </c>
      <c r="FA184" s="6">
        <v>0</v>
      </c>
      <c r="FB184" s="6">
        <v>0</v>
      </c>
      <c r="FC184" s="6">
        <v>0</v>
      </c>
      <c r="FD184" s="6">
        <v>1</v>
      </c>
      <c r="FE184" s="6">
        <v>0</v>
      </c>
      <c r="FF184" s="6">
        <v>0</v>
      </c>
      <c r="FG184" s="6"/>
      <c r="FH184" s="6" t="s">
        <v>771</v>
      </c>
      <c r="FI184" s="6">
        <v>1</v>
      </c>
      <c r="FJ184" s="6">
        <v>0</v>
      </c>
      <c r="FK184" s="6">
        <v>0</v>
      </c>
      <c r="FL184" s="6">
        <v>1</v>
      </c>
      <c r="FM184" s="6">
        <v>0</v>
      </c>
      <c r="FN184" s="6">
        <v>0</v>
      </c>
      <c r="FO184" s="6">
        <v>0</v>
      </c>
      <c r="FP184" s="6">
        <v>0</v>
      </c>
      <c r="FQ184" s="6">
        <v>0</v>
      </c>
      <c r="FR184" s="6">
        <v>0</v>
      </c>
      <c r="FS184" s="6"/>
      <c r="FT184" s="6" t="s">
        <v>556</v>
      </c>
      <c r="FU184" s="6" t="s">
        <v>499</v>
      </c>
      <c r="FV184" s="6"/>
      <c r="FW184" s="6" t="s">
        <v>449</v>
      </c>
      <c r="FX184" s="15" t="s">
        <v>450</v>
      </c>
      <c r="FY184" s="6" t="s">
        <v>619</v>
      </c>
      <c r="FZ184" s="6"/>
      <c r="GA184" s="6" t="s">
        <v>450</v>
      </c>
      <c r="GB184" s="6" t="s">
        <v>501</v>
      </c>
      <c r="GC184" s="6" t="s">
        <v>453</v>
      </c>
      <c r="GD184" s="6"/>
      <c r="GE184" s="6" t="s">
        <v>454</v>
      </c>
      <c r="GF184" s="6" t="s">
        <v>3099</v>
      </c>
      <c r="GG184" s="6" t="s">
        <v>456</v>
      </c>
      <c r="GH184" s="15" t="s">
        <v>3100</v>
      </c>
      <c r="GI184" s="6" t="s">
        <v>458</v>
      </c>
      <c r="GJ184" s="6" t="s">
        <v>3101</v>
      </c>
      <c r="GK184" s="6" t="s">
        <v>460</v>
      </c>
      <c r="GL184" s="6" t="s">
        <v>461</v>
      </c>
      <c r="GM184" s="6">
        <v>0</v>
      </c>
      <c r="GN184" s="6">
        <v>0</v>
      </c>
      <c r="GO184" s="6">
        <v>0</v>
      </c>
      <c r="GP184" s="6">
        <v>0</v>
      </c>
      <c r="GQ184" s="6">
        <v>0</v>
      </c>
      <c r="GR184" s="6">
        <v>1</v>
      </c>
      <c r="GS184" s="6">
        <v>0</v>
      </c>
      <c r="GT184" s="6"/>
      <c r="GU184" s="6" t="s">
        <v>534</v>
      </c>
      <c r="GV184" s="6" t="s">
        <v>595</v>
      </c>
      <c r="GW184" s="6" t="s">
        <v>2176</v>
      </c>
      <c r="GX184" s="6">
        <v>1</v>
      </c>
      <c r="GY184" s="6">
        <v>1</v>
      </c>
      <c r="GZ184" s="6">
        <v>0</v>
      </c>
      <c r="HA184" s="6">
        <v>0</v>
      </c>
      <c r="HB184" s="6">
        <v>0</v>
      </c>
      <c r="HC184" s="6">
        <v>0</v>
      </c>
      <c r="HD184" s="6"/>
      <c r="HE184" s="6" t="s">
        <v>3102</v>
      </c>
      <c r="HF184" s="6">
        <v>1</v>
      </c>
      <c r="HG184" s="6">
        <v>1</v>
      </c>
      <c r="HH184" s="6">
        <v>0</v>
      </c>
      <c r="HI184" s="6">
        <v>1</v>
      </c>
      <c r="HJ184" s="6">
        <v>1</v>
      </c>
      <c r="HK184" s="6">
        <v>0</v>
      </c>
      <c r="HL184" s="15"/>
      <c r="HM184" s="6" t="s">
        <v>873</v>
      </c>
      <c r="HN184" s="6"/>
      <c r="HO184" s="6" t="s">
        <v>3103</v>
      </c>
      <c r="HP184" s="6" t="s">
        <v>1668</v>
      </c>
      <c r="HQ184" s="6"/>
      <c r="HR184" s="6" t="s">
        <v>3104</v>
      </c>
      <c r="HS184" s="6" t="s">
        <v>1163</v>
      </c>
      <c r="HT184" s="6">
        <v>0</v>
      </c>
      <c r="HU184" s="6">
        <v>0</v>
      </c>
      <c r="HV184" s="6">
        <v>1</v>
      </c>
      <c r="HW184" s="6">
        <v>0</v>
      </c>
      <c r="HX184" s="6">
        <v>0</v>
      </c>
      <c r="HY184" s="6">
        <v>1</v>
      </c>
      <c r="HZ184" s="6"/>
      <c r="IA184" s="6" t="s">
        <v>3105</v>
      </c>
      <c r="IB184" s="6">
        <v>1</v>
      </c>
      <c r="IC184" s="6">
        <v>1</v>
      </c>
      <c r="ID184" s="6">
        <v>0</v>
      </c>
      <c r="IE184" s="6">
        <v>1</v>
      </c>
      <c r="IF184" s="6">
        <v>1</v>
      </c>
      <c r="IG184" s="6">
        <v>0</v>
      </c>
      <c r="IH184" s="15" t="s">
        <v>3106</v>
      </c>
      <c r="II184" s="6" t="s">
        <v>426</v>
      </c>
      <c r="IJ184" s="6" t="s">
        <v>602</v>
      </c>
      <c r="IK184" s="6">
        <v>1</v>
      </c>
      <c r="IL184" s="6">
        <v>1</v>
      </c>
      <c r="IM184" s="6">
        <v>0</v>
      </c>
      <c r="IN184" s="6"/>
      <c r="IO184" s="6" t="s">
        <v>473</v>
      </c>
      <c r="IP184" s="6">
        <v>1</v>
      </c>
      <c r="IQ184" s="6">
        <v>0</v>
      </c>
      <c r="IR184" s="6">
        <v>0</v>
      </c>
      <c r="IS184" s="6">
        <v>0</v>
      </c>
      <c r="IT184" s="6">
        <v>0</v>
      </c>
      <c r="IU184" s="6">
        <v>0</v>
      </c>
      <c r="IV184" s="6"/>
      <c r="IW184" s="6" t="s">
        <v>426</v>
      </c>
      <c r="IX184" s="6">
        <v>1</v>
      </c>
      <c r="IY184" s="6" t="s">
        <v>474</v>
      </c>
      <c r="IZ184" s="6" t="s">
        <v>475</v>
      </c>
      <c r="JA184" s="6" t="s">
        <v>426</v>
      </c>
      <c r="JB184" s="6" t="s">
        <v>476</v>
      </c>
      <c r="JC184" s="6"/>
      <c r="JD184" s="6"/>
      <c r="JE184" s="6"/>
      <c r="JF184" s="6"/>
      <c r="JG184" s="6"/>
      <c r="JH184" s="6"/>
      <c r="JI184" s="6"/>
      <c r="JJ184" s="6"/>
      <c r="JK184" s="6" t="s">
        <v>453</v>
      </c>
      <c r="JL184" s="6"/>
      <c r="JM184" s="6"/>
      <c r="JN184" s="6"/>
      <c r="JO184" s="6"/>
      <c r="JP184" s="6"/>
      <c r="JQ184" s="6"/>
      <c r="JR184" s="6"/>
      <c r="JS184" s="6"/>
      <c r="JT184" s="6"/>
      <c r="JU184" s="6" t="s">
        <v>511</v>
      </c>
      <c r="JV184" s="15"/>
      <c r="JW184" s="94" t="s">
        <v>3107</v>
      </c>
      <c r="JX184" s="6" t="s">
        <v>3108</v>
      </c>
      <c r="JY184" s="6">
        <v>0.826137</v>
      </c>
      <c r="JZ184" s="6">
        <v>34.866</v>
      </c>
      <c r="KA184" s="6">
        <v>1725.45434570312</v>
      </c>
      <c r="KB184" s="15">
        <v>4.087</v>
      </c>
      <c r="KC184" s="15"/>
    </row>
    <row r="185" spans="1:289">
      <c r="A185" s="6" t="s">
        <v>864</v>
      </c>
      <c r="B185" s="6" t="s">
        <v>2503</v>
      </c>
      <c r="C185" s="7" t="s">
        <v>2504</v>
      </c>
      <c r="D185" s="6" t="s">
        <v>2599</v>
      </c>
      <c r="E185" s="6" t="s">
        <v>3109</v>
      </c>
      <c r="F185" s="8" t="s">
        <v>423</v>
      </c>
      <c r="G185" s="6" t="s">
        <v>567</v>
      </c>
      <c r="H185" s="6" t="s">
        <v>517</v>
      </c>
      <c r="I185" s="15"/>
      <c r="J185" s="6" t="s">
        <v>426</v>
      </c>
      <c r="K185" s="6" t="s">
        <v>426</v>
      </c>
      <c r="L185" s="6" t="s">
        <v>426</v>
      </c>
      <c r="M185" s="6" t="s">
        <v>426</v>
      </c>
      <c r="N185" s="6" t="s">
        <v>426</v>
      </c>
      <c r="O185" s="6" t="s">
        <v>426</v>
      </c>
      <c r="P185" s="6" t="s">
        <v>453</v>
      </c>
      <c r="Q185" s="6" t="s">
        <v>453</v>
      </c>
      <c r="R185" s="6" t="s">
        <v>426</v>
      </c>
      <c r="S185" s="6" t="s">
        <v>426</v>
      </c>
      <c r="T185" s="6" t="s">
        <v>426</v>
      </c>
      <c r="U185" s="6" t="s">
        <v>426</v>
      </c>
      <c r="V185" s="6" t="s">
        <v>453</v>
      </c>
      <c r="W185" s="6" t="s">
        <v>453</v>
      </c>
      <c r="X185" s="6" t="s">
        <v>426</v>
      </c>
      <c r="Y185" s="6" t="s">
        <v>426</v>
      </c>
      <c r="Z185" s="6" t="s">
        <v>426</v>
      </c>
      <c r="AA185" s="6" t="s">
        <v>426</v>
      </c>
      <c r="AB185" s="6" t="s">
        <v>453</v>
      </c>
      <c r="AC185" s="15" t="s">
        <v>453</v>
      </c>
      <c r="AD185" s="6" t="s">
        <v>427</v>
      </c>
      <c r="AE185" s="6">
        <v>0</v>
      </c>
      <c r="AF185" s="6">
        <v>0</v>
      </c>
      <c r="AG185" s="6">
        <v>0</v>
      </c>
      <c r="AH185" s="6">
        <v>1</v>
      </c>
      <c r="AI185" s="6">
        <v>0</v>
      </c>
      <c r="AJ185" s="6">
        <v>0</v>
      </c>
      <c r="AK185" s="6">
        <v>0</v>
      </c>
      <c r="AL185" s="6">
        <v>0</v>
      </c>
      <c r="AM185" s="6"/>
      <c r="AN185" s="15"/>
      <c r="AO185" s="6" t="s">
        <v>426</v>
      </c>
      <c r="AP185" s="6" t="s">
        <v>985</v>
      </c>
      <c r="AQ185" s="6" t="s">
        <v>426</v>
      </c>
      <c r="AR185" s="6" t="s">
        <v>656</v>
      </c>
      <c r="AS185" s="6" t="s">
        <v>426</v>
      </c>
      <c r="AT185" s="6">
        <v>0.1</v>
      </c>
      <c r="AU185" s="6" t="s">
        <v>453</v>
      </c>
      <c r="AV185" s="6"/>
      <c r="AW185" s="6" t="s">
        <v>426</v>
      </c>
      <c r="AX185" s="6">
        <v>0.3</v>
      </c>
      <c r="AY185" s="6" t="s">
        <v>426</v>
      </c>
      <c r="AZ185" s="6">
        <v>1</v>
      </c>
      <c r="BA185" s="6" t="s">
        <v>453</v>
      </c>
      <c r="BB185" s="6"/>
      <c r="BC185" s="6" t="s">
        <v>453</v>
      </c>
      <c r="BD185" s="6"/>
      <c r="BE185" s="6" t="s">
        <v>453</v>
      </c>
      <c r="BF185" s="6"/>
      <c r="BG185" s="6" t="s">
        <v>453</v>
      </c>
      <c r="BH185" s="6"/>
      <c r="BI185" s="6" t="s">
        <v>426</v>
      </c>
      <c r="BJ185" s="6">
        <v>0.1</v>
      </c>
      <c r="BK185" s="6" t="s">
        <v>426</v>
      </c>
      <c r="BL185" s="6">
        <v>0.3</v>
      </c>
      <c r="BM185" s="6" t="s">
        <v>426</v>
      </c>
      <c r="BN185" s="6">
        <v>15</v>
      </c>
      <c r="BO185" s="6" t="s">
        <v>426</v>
      </c>
      <c r="BP185" s="6">
        <v>0.1</v>
      </c>
      <c r="BQ185" s="6" t="s">
        <v>426</v>
      </c>
      <c r="BR185" s="6">
        <v>7</v>
      </c>
      <c r="BS185" s="6" t="s">
        <v>453</v>
      </c>
      <c r="BT185" s="6"/>
      <c r="BU185" s="6" t="s">
        <v>426</v>
      </c>
      <c r="BV185" s="15">
        <v>0.1</v>
      </c>
      <c r="BW185" s="15" t="s">
        <v>518</v>
      </c>
      <c r="BX185" s="15" t="s">
        <v>429</v>
      </c>
      <c r="BY185" s="6" t="s">
        <v>430</v>
      </c>
      <c r="BZ185" s="6" t="s">
        <v>430</v>
      </c>
      <c r="CA185" s="6" t="s">
        <v>486</v>
      </c>
      <c r="CB185" s="6" t="s">
        <v>487</v>
      </c>
      <c r="CC185" s="6" t="s">
        <v>430</v>
      </c>
      <c r="CD185" s="6" t="s">
        <v>430</v>
      </c>
      <c r="CE185" s="6" t="s">
        <v>487</v>
      </c>
      <c r="CF185" s="6" t="s">
        <v>609</v>
      </c>
      <c r="CG185" s="6" t="s">
        <v>430</v>
      </c>
      <c r="CH185" s="6" t="s">
        <v>487</v>
      </c>
      <c r="CI185" s="6" t="s">
        <v>431</v>
      </c>
      <c r="CJ185" s="6" t="s">
        <v>486</v>
      </c>
      <c r="CK185" s="6" t="s">
        <v>430</v>
      </c>
      <c r="CL185" s="6" t="s">
        <v>431</v>
      </c>
      <c r="CM185" s="6" t="s">
        <v>431</v>
      </c>
      <c r="CN185" s="6" t="s">
        <v>487</v>
      </c>
      <c r="CO185" s="15" t="s">
        <v>430</v>
      </c>
      <c r="CP185" s="15" t="s">
        <v>488</v>
      </c>
      <c r="CQ185" s="6" t="s">
        <v>686</v>
      </c>
      <c r="CR185" s="15"/>
      <c r="CS185" s="6" t="s">
        <v>453</v>
      </c>
      <c r="CT185" s="6"/>
      <c r="CU185" s="6"/>
      <c r="CV185" s="6"/>
      <c r="CW185" s="6"/>
      <c r="CX185" s="15" t="s">
        <v>453</v>
      </c>
      <c r="CY185" s="6"/>
      <c r="CZ185" s="6"/>
      <c r="DA185" s="6"/>
      <c r="DB185" s="6"/>
      <c r="DC185" s="6"/>
      <c r="DD185" s="15"/>
      <c r="DE185" s="15" t="s">
        <v>521</v>
      </c>
      <c r="DF185" s="6" t="s">
        <v>1171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1</v>
      </c>
      <c r="DM185" s="6" t="s">
        <v>3110</v>
      </c>
      <c r="DN185" s="6"/>
      <c r="DO185" s="6"/>
      <c r="DP185" s="6"/>
      <c r="DQ185" s="6"/>
      <c r="DR185" s="6"/>
      <c r="DS185" s="6"/>
      <c r="DT185" s="66"/>
      <c r="DU185" s="6" t="s">
        <v>438</v>
      </c>
      <c r="DV185" s="6" t="s">
        <v>426</v>
      </c>
      <c r="DW185" s="6" t="s">
        <v>1195</v>
      </c>
      <c r="DX185" s="6" t="s">
        <v>491</v>
      </c>
      <c r="DY185" s="6"/>
      <c r="DZ185" s="6" t="s">
        <v>940</v>
      </c>
      <c r="EA185" s="6">
        <v>1</v>
      </c>
      <c r="EB185" s="6">
        <v>1</v>
      </c>
      <c r="EC185" s="6">
        <v>1</v>
      </c>
      <c r="ED185" s="6">
        <v>1</v>
      </c>
      <c r="EE185" s="6">
        <v>0</v>
      </c>
      <c r="EF185" s="6">
        <v>0</v>
      </c>
      <c r="EG185" s="6">
        <v>0</v>
      </c>
      <c r="EH185" s="6">
        <v>0</v>
      </c>
      <c r="EI185" s="6"/>
      <c r="EJ185" s="6" t="s">
        <v>1094</v>
      </c>
      <c r="EK185" s="6">
        <v>1</v>
      </c>
      <c r="EL185" s="6">
        <v>0</v>
      </c>
      <c r="EM185" s="6">
        <v>1</v>
      </c>
      <c r="EN185" s="6">
        <v>1</v>
      </c>
      <c r="EO185" s="6">
        <v>1</v>
      </c>
      <c r="EP185" s="6">
        <v>0</v>
      </c>
      <c r="EQ185" s="6">
        <v>0</v>
      </c>
      <c r="ER185" s="6">
        <v>0</v>
      </c>
      <c r="ES185" s="6">
        <v>0</v>
      </c>
      <c r="ET185" s="6"/>
      <c r="EU185" s="6" t="s">
        <v>955</v>
      </c>
      <c r="EV185" s="6" t="s">
        <v>554</v>
      </c>
      <c r="EW185" s="6"/>
      <c r="EX185" s="6" t="s">
        <v>1455</v>
      </c>
      <c r="EY185" s="6">
        <v>0</v>
      </c>
      <c r="EZ185" s="6">
        <v>0</v>
      </c>
      <c r="FA185" s="6">
        <v>0</v>
      </c>
      <c r="FB185" s="6">
        <v>1</v>
      </c>
      <c r="FC185" s="6">
        <v>0</v>
      </c>
      <c r="FD185" s="6">
        <v>0</v>
      </c>
      <c r="FE185" s="6">
        <v>0</v>
      </c>
      <c r="FF185" s="6">
        <v>0</v>
      </c>
      <c r="FG185" s="6"/>
      <c r="FH185" s="6" t="s">
        <v>618</v>
      </c>
      <c r="FI185" s="6">
        <v>0</v>
      </c>
      <c r="FJ185" s="6">
        <v>0</v>
      </c>
      <c r="FK185" s="6">
        <v>0</v>
      </c>
      <c r="FL185" s="6">
        <v>1</v>
      </c>
      <c r="FM185" s="6">
        <v>0</v>
      </c>
      <c r="FN185" s="6">
        <v>0</v>
      </c>
      <c r="FO185" s="6">
        <v>0</v>
      </c>
      <c r="FP185" s="6">
        <v>0</v>
      </c>
      <c r="FQ185" s="6">
        <v>0</v>
      </c>
      <c r="FR185" s="6">
        <v>0</v>
      </c>
      <c r="FS185" s="6"/>
      <c r="FT185" s="6" t="s">
        <v>556</v>
      </c>
      <c r="FU185" s="6" t="s">
        <v>448</v>
      </c>
      <c r="FV185" s="6"/>
      <c r="FW185" s="6" t="s">
        <v>1124</v>
      </c>
      <c r="FX185" s="15" t="s">
        <v>623</v>
      </c>
      <c r="FY185" s="6" t="s">
        <v>1012</v>
      </c>
      <c r="FZ185" s="6"/>
      <c r="GA185" s="6" t="s">
        <v>528</v>
      </c>
      <c r="GB185" s="6" t="s">
        <v>501</v>
      </c>
      <c r="GC185" s="6" t="s">
        <v>453</v>
      </c>
      <c r="GD185" s="6"/>
      <c r="GE185" s="6" t="s">
        <v>642</v>
      </c>
      <c r="GF185" s="6" t="s">
        <v>3111</v>
      </c>
      <c r="GG185" s="6" t="s">
        <v>592</v>
      </c>
      <c r="GH185" s="15" t="s">
        <v>3112</v>
      </c>
      <c r="GI185" s="6" t="s">
        <v>458</v>
      </c>
      <c r="GJ185" s="6" t="s">
        <v>3113</v>
      </c>
      <c r="GK185" s="6" t="s">
        <v>460</v>
      </c>
      <c r="GL185" s="6" t="s">
        <v>674</v>
      </c>
      <c r="GM185" s="6">
        <v>1</v>
      </c>
      <c r="GN185" s="6">
        <v>1</v>
      </c>
      <c r="GO185" s="6">
        <v>0</v>
      </c>
      <c r="GP185" s="6">
        <v>0</v>
      </c>
      <c r="GQ185" s="6">
        <v>0</v>
      </c>
      <c r="GR185" s="6">
        <v>0</v>
      </c>
      <c r="GS185" s="6">
        <v>0</v>
      </c>
      <c r="GT185" s="6"/>
      <c r="GU185" s="6" t="s">
        <v>534</v>
      </c>
      <c r="GV185" s="6" t="s">
        <v>595</v>
      </c>
      <c r="GW185" s="6" t="s">
        <v>464</v>
      </c>
      <c r="GX185" s="6">
        <v>1</v>
      </c>
      <c r="GY185" s="6">
        <v>0</v>
      </c>
      <c r="GZ185" s="6">
        <v>0</v>
      </c>
      <c r="HA185" s="6">
        <v>0</v>
      </c>
      <c r="HB185" s="6">
        <v>0</v>
      </c>
      <c r="HC185" s="6">
        <v>0</v>
      </c>
      <c r="HD185" s="6"/>
      <c r="HE185" s="6" t="s">
        <v>1281</v>
      </c>
      <c r="HF185" s="6">
        <v>1</v>
      </c>
      <c r="HG185" s="6">
        <v>0</v>
      </c>
      <c r="HH185" s="6">
        <v>1</v>
      </c>
      <c r="HI185" s="6">
        <v>1</v>
      </c>
      <c r="HJ185" s="6">
        <v>0</v>
      </c>
      <c r="HK185" s="6">
        <v>0</v>
      </c>
      <c r="HL185" s="15"/>
      <c r="HM185" s="6" t="s">
        <v>873</v>
      </c>
      <c r="HN185" s="6"/>
      <c r="HO185" s="6" t="s">
        <v>3114</v>
      </c>
      <c r="HP185" s="6" t="s">
        <v>537</v>
      </c>
      <c r="HQ185" s="6" t="s">
        <v>1201</v>
      </c>
      <c r="HR185" s="6" t="s">
        <v>3115</v>
      </c>
      <c r="HS185" s="6" t="s">
        <v>540</v>
      </c>
      <c r="HT185" s="6">
        <v>1</v>
      </c>
      <c r="HU185" s="6">
        <v>0</v>
      </c>
      <c r="HV185" s="6">
        <v>0</v>
      </c>
      <c r="HW185" s="6">
        <v>0</v>
      </c>
      <c r="HX185" s="6">
        <v>0</v>
      </c>
      <c r="HY185" s="6">
        <v>0</v>
      </c>
      <c r="HZ185" s="6"/>
      <c r="IA185" s="6" t="s">
        <v>751</v>
      </c>
      <c r="IB185" s="6">
        <v>0</v>
      </c>
      <c r="IC185" s="6">
        <v>1</v>
      </c>
      <c r="ID185" s="6">
        <v>1</v>
      </c>
      <c r="IE185" s="6">
        <v>0</v>
      </c>
      <c r="IF185" s="6">
        <v>0</v>
      </c>
      <c r="IG185" s="6">
        <v>0</v>
      </c>
      <c r="IH185" s="15" t="s">
        <v>2692</v>
      </c>
      <c r="II185" s="6" t="s">
        <v>426</v>
      </c>
      <c r="IJ185" s="6" t="s">
        <v>472</v>
      </c>
      <c r="IK185" s="6">
        <v>1</v>
      </c>
      <c r="IL185" s="6">
        <v>0</v>
      </c>
      <c r="IM185" s="6">
        <v>0</v>
      </c>
      <c r="IN185" s="6"/>
      <c r="IO185" s="6" t="s">
        <v>473</v>
      </c>
      <c r="IP185" s="6">
        <v>1</v>
      </c>
      <c r="IQ185" s="6">
        <v>0</v>
      </c>
      <c r="IR185" s="6">
        <v>0</v>
      </c>
      <c r="IS185" s="6">
        <v>0</v>
      </c>
      <c r="IT185" s="6">
        <v>0</v>
      </c>
      <c r="IU185" s="6">
        <v>0</v>
      </c>
      <c r="IV185" s="6"/>
      <c r="IW185" s="6" t="s">
        <v>453</v>
      </c>
      <c r="IX185" s="6"/>
      <c r="IY185" s="6" t="s">
        <v>510</v>
      </c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 t="s">
        <v>426</v>
      </c>
      <c r="JK185" s="6" t="s">
        <v>453</v>
      </c>
      <c r="JL185" s="6"/>
      <c r="JM185" s="6"/>
      <c r="JN185" s="6"/>
      <c r="JO185" s="6"/>
      <c r="JP185" s="6"/>
      <c r="JQ185" s="6"/>
      <c r="JR185" s="6"/>
      <c r="JS185" s="6"/>
      <c r="JT185" s="6"/>
      <c r="JU185" s="6" t="s">
        <v>477</v>
      </c>
      <c r="JV185" s="15"/>
      <c r="JW185" s="94" t="s">
        <v>3116</v>
      </c>
      <c r="JX185" s="6" t="s">
        <v>3117</v>
      </c>
      <c r="JY185" s="6">
        <v>0.8260549</v>
      </c>
      <c r="JZ185" s="6">
        <v>34.8660993</v>
      </c>
      <c r="KA185" s="6">
        <v>1644.967</v>
      </c>
      <c r="KB185" s="15">
        <v>1.532</v>
      </c>
      <c r="KC185" s="15"/>
    </row>
    <row r="186" spans="1:289">
      <c r="A186" s="6" t="s">
        <v>419</v>
      </c>
      <c r="B186" s="6" t="s">
        <v>2503</v>
      </c>
      <c r="C186" s="7" t="s">
        <v>2504</v>
      </c>
      <c r="D186" s="6" t="s">
        <v>3118</v>
      </c>
      <c r="E186" s="6" t="s">
        <v>3119</v>
      </c>
      <c r="F186" s="8" t="s">
        <v>483</v>
      </c>
      <c r="G186" s="6" t="s">
        <v>424</v>
      </c>
      <c r="H186" s="6" t="s">
        <v>425</v>
      </c>
      <c r="I186" s="15"/>
      <c r="J186" s="6" t="s">
        <v>426</v>
      </c>
      <c r="K186" s="6" t="s">
        <v>426</v>
      </c>
      <c r="L186" s="6" t="s">
        <v>426</v>
      </c>
      <c r="M186" s="6" t="s">
        <v>426</v>
      </c>
      <c r="N186" s="6" t="s">
        <v>426</v>
      </c>
      <c r="O186" s="6" t="s">
        <v>426</v>
      </c>
      <c r="P186" s="6" t="s">
        <v>426</v>
      </c>
      <c r="Q186" s="6" t="s">
        <v>426</v>
      </c>
      <c r="R186" s="6" t="s">
        <v>426</v>
      </c>
      <c r="S186" s="6" t="s">
        <v>426</v>
      </c>
      <c r="T186" s="6" t="s">
        <v>426</v>
      </c>
      <c r="U186" s="6" t="s">
        <v>426</v>
      </c>
      <c r="V186" s="6" t="s">
        <v>426</v>
      </c>
      <c r="W186" s="6" t="s">
        <v>426</v>
      </c>
      <c r="X186" s="6" t="s">
        <v>426</v>
      </c>
      <c r="Y186" s="6" t="s">
        <v>426</v>
      </c>
      <c r="Z186" s="6" t="s">
        <v>426</v>
      </c>
      <c r="AA186" s="6" t="s">
        <v>426</v>
      </c>
      <c r="AB186" s="6" t="s">
        <v>426</v>
      </c>
      <c r="AC186" s="15" t="s">
        <v>426</v>
      </c>
      <c r="AD186" s="6" t="s">
        <v>427</v>
      </c>
      <c r="AE186" s="6">
        <v>0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0</v>
      </c>
      <c r="AM186" s="6"/>
      <c r="AN186" s="15"/>
      <c r="AO186" s="6" t="s">
        <v>426</v>
      </c>
      <c r="AP186" s="6" t="s">
        <v>683</v>
      </c>
      <c r="AQ186" s="6" t="s">
        <v>426</v>
      </c>
      <c r="AR186" s="6" t="s">
        <v>683</v>
      </c>
      <c r="AS186" s="6" t="s">
        <v>426</v>
      </c>
      <c r="AT186" s="6">
        <v>0.2</v>
      </c>
      <c r="AU186" s="6" t="s">
        <v>426</v>
      </c>
      <c r="AV186" s="6">
        <v>0.2</v>
      </c>
      <c r="AW186" s="6" t="s">
        <v>426</v>
      </c>
      <c r="AX186" s="6">
        <v>0.2</v>
      </c>
      <c r="AY186" s="6" t="s">
        <v>426</v>
      </c>
      <c r="AZ186" s="6">
        <v>1</v>
      </c>
      <c r="BA186" s="6" t="s">
        <v>426</v>
      </c>
      <c r="BB186" s="6">
        <v>0.75</v>
      </c>
      <c r="BC186" s="6" t="s">
        <v>426</v>
      </c>
      <c r="BD186" s="6">
        <v>0.75</v>
      </c>
      <c r="BE186" s="6" t="s">
        <v>426</v>
      </c>
      <c r="BF186" s="6">
        <v>2</v>
      </c>
      <c r="BG186" s="6" t="s">
        <v>426</v>
      </c>
      <c r="BH186" s="6">
        <v>0.75</v>
      </c>
      <c r="BI186" s="6" t="s">
        <v>426</v>
      </c>
      <c r="BJ186" s="6">
        <v>0.2</v>
      </c>
      <c r="BK186" s="6" t="s">
        <v>426</v>
      </c>
      <c r="BL186" s="6">
        <v>0.75</v>
      </c>
      <c r="BM186" s="6" t="s">
        <v>426</v>
      </c>
      <c r="BN186" s="6">
        <v>10</v>
      </c>
      <c r="BO186" s="6" t="s">
        <v>426</v>
      </c>
      <c r="BP186" s="6">
        <v>0.75</v>
      </c>
      <c r="BQ186" s="6" t="s">
        <v>426</v>
      </c>
      <c r="BR186" s="6">
        <v>78</v>
      </c>
      <c r="BS186" s="6" t="s">
        <v>426</v>
      </c>
      <c r="BT186" s="6">
        <v>7</v>
      </c>
      <c r="BU186" s="6" t="s">
        <v>426</v>
      </c>
      <c r="BV186" s="15">
        <v>0.75</v>
      </c>
      <c r="BW186" s="15" t="s">
        <v>428</v>
      </c>
      <c r="BX186" s="15" t="s">
        <v>429</v>
      </c>
      <c r="BY186" s="6" t="s">
        <v>430</v>
      </c>
      <c r="BZ186" s="6" t="s">
        <v>430</v>
      </c>
      <c r="CA186" s="6" t="s">
        <v>430</v>
      </c>
      <c r="CB186" s="6" t="s">
        <v>431</v>
      </c>
      <c r="CC186" s="6" t="s">
        <v>430</v>
      </c>
      <c r="CD186" s="6" t="s">
        <v>430</v>
      </c>
      <c r="CE186" s="6" t="s">
        <v>431</v>
      </c>
      <c r="CF186" s="6" t="s">
        <v>430</v>
      </c>
      <c r="CG186" s="6" t="s">
        <v>431</v>
      </c>
      <c r="CH186" s="6" t="s">
        <v>431</v>
      </c>
      <c r="CI186" s="6" t="s">
        <v>430</v>
      </c>
      <c r="CJ186" s="6" t="s">
        <v>430</v>
      </c>
      <c r="CK186" s="6" t="s">
        <v>430</v>
      </c>
      <c r="CL186" s="6" t="s">
        <v>430</v>
      </c>
      <c r="CM186" s="6" t="s">
        <v>430</v>
      </c>
      <c r="CN186" s="6" t="s">
        <v>431</v>
      </c>
      <c r="CO186" s="15" t="s">
        <v>431</v>
      </c>
      <c r="CP186" s="15" t="s">
        <v>432</v>
      </c>
      <c r="CQ186" s="6" t="s">
        <v>433</v>
      </c>
      <c r="CR186" s="15"/>
      <c r="CS186" s="6" t="s">
        <v>426</v>
      </c>
      <c r="CT186" s="6" t="s">
        <v>3120</v>
      </c>
      <c r="CU186" s="6" t="s">
        <v>1135</v>
      </c>
      <c r="CV186" s="6" t="s">
        <v>660</v>
      </c>
      <c r="CW186" s="6" t="s">
        <v>692</v>
      </c>
      <c r="CX186" s="15" t="s">
        <v>426</v>
      </c>
      <c r="CY186" s="6" t="s">
        <v>426</v>
      </c>
      <c r="CZ186" s="6" t="s">
        <v>3121</v>
      </c>
      <c r="DA186" s="6" t="s">
        <v>1322</v>
      </c>
      <c r="DB186" s="6" t="s">
        <v>693</v>
      </c>
      <c r="DC186" s="6" t="s">
        <v>737</v>
      </c>
      <c r="DD186" s="15" t="s">
        <v>3122</v>
      </c>
      <c r="DE186" s="15" t="s">
        <v>436</v>
      </c>
      <c r="DF186" s="6" t="s">
        <v>437</v>
      </c>
      <c r="DG186" s="6">
        <v>1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/>
      <c r="DN186" s="6"/>
      <c r="DO186" s="6"/>
      <c r="DP186" s="6"/>
      <c r="DQ186" s="6"/>
      <c r="DR186" s="6"/>
      <c r="DS186" s="6"/>
      <c r="DT186" s="66"/>
      <c r="DU186" s="6" t="s">
        <v>438</v>
      </c>
      <c r="DV186" s="6" t="s">
        <v>426</v>
      </c>
      <c r="DW186" s="6" t="s">
        <v>439</v>
      </c>
      <c r="DX186" s="6" t="s">
        <v>491</v>
      </c>
      <c r="DY186" s="6"/>
      <c r="DZ186" s="6" t="s">
        <v>940</v>
      </c>
      <c r="EA186" s="6">
        <v>1</v>
      </c>
      <c r="EB186" s="6">
        <v>1</v>
      </c>
      <c r="EC186" s="6">
        <v>1</v>
      </c>
      <c r="ED186" s="6">
        <v>1</v>
      </c>
      <c r="EE186" s="6">
        <v>0</v>
      </c>
      <c r="EF186" s="6">
        <v>0</v>
      </c>
      <c r="EG186" s="6">
        <v>0</v>
      </c>
      <c r="EH186" s="6">
        <v>0</v>
      </c>
      <c r="EI186" s="6"/>
      <c r="EJ186" s="6" t="s">
        <v>697</v>
      </c>
      <c r="EK186" s="6">
        <v>1</v>
      </c>
      <c r="EL186" s="6">
        <v>1</v>
      </c>
      <c r="EM186" s="6">
        <v>1</v>
      </c>
      <c r="EN186" s="6">
        <v>1</v>
      </c>
      <c r="EO186" s="6">
        <v>1</v>
      </c>
      <c r="EP186" s="6">
        <v>1</v>
      </c>
      <c r="EQ186" s="6">
        <v>0</v>
      </c>
      <c r="ER186" s="6">
        <v>0</v>
      </c>
      <c r="ES186" s="6">
        <v>0</v>
      </c>
      <c r="ET186" s="6"/>
      <c r="EU186" s="6" t="s">
        <v>494</v>
      </c>
      <c r="EV186" s="6" t="s">
        <v>495</v>
      </c>
      <c r="EW186" s="6"/>
      <c r="EX186" s="6" t="s">
        <v>445</v>
      </c>
      <c r="EY186" s="6">
        <v>0</v>
      </c>
      <c r="EZ186" s="6">
        <v>0</v>
      </c>
      <c r="FA186" s="6">
        <v>1</v>
      </c>
      <c r="FB186" s="6">
        <v>0</v>
      </c>
      <c r="FC186" s="6">
        <v>0</v>
      </c>
      <c r="FD186" s="6">
        <v>0</v>
      </c>
      <c r="FE186" s="6">
        <v>0</v>
      </c>
      <c r="FF186" s="6">
        <v>0</v>
      </c>
      <c r="FG186" s="6"/>
      <c r="FH186" s="6" t="s">
        <v>812</v>
      </c>
      <c r="FI186" s="6">
        <v>1</v>
      </c>
      <c r="FJ186" s="6">
        <v>0</v>
      </c>
      <c r="FK186" s="6">
        <v>0</v>
      </c>
      <c r="FL186" s="6">
        <v>0</v>
      </c>
      <c r="FM186" s="6">
        <v>0</v>
      </c>
      <c r="FN186" s="6">
        <v>0</v>
      </c>
      <c r="FO186" s="6">
        <v>0</v>
      </c>
      <c r="FP186" s="6">
        <v>0</v>
      </c>
      <c r="FQ186" s="6">
        <v>0</v>
      </c>
      <c r="FR186" s="6">
        <v>0</v>
      </c>
      <c r="FS186" s="6"/>
      <c r="FT186" s="6" t="s">
        <v>447</v>
      </c>
      <c r="FU186" s="6" t="s">
        <v>448</v>
      </c>
      <c r="FV186" s="6"/>
      <c r="FW186" s="6" t="s">
        <v>449</v>
      </c>
      <c r="FX186" s="15" t="s">
        <v>450</v>
      </c>
      <c r="FY186" s="6" t="s">
        <v>451</v>
      </c>
      <c r="FZ186" s="6"/>
      <c r="GA186" s="6" t="s">
        <v>450</v>
      </c>
      <c r="GB186" s="6" t="s">
        <v>452</v>
      </c>
      <c r="GC186" s="6" t="s">
        <v>453</v>
      </c>
      <c r="GD186" s="6"/>
      <c r="GE186" s="6" t="s">
        <v>454</v>
      </c>
      <c r="GF186" s="6" t="s">
        <v>3123</v>
      </c>
      <c r="GG186" s="6" t="s">
        <v>456</v>
      </c>
      <c r="GH186" s="15" t="s">
        <v>3124</v>
      </c>
      <c r="GI186" s="6" t="s">
        <v>458</v>
      </c>
      <c r="GJ186" s="6" t="s">
        <v>3125</v>
      </c>
      <c r="GK186" s="6" t="s">
        <v>460</v>
      </c>
      <c r="GL186" s="6" t="s">
        <v>704</v>
      </c>
      <c r="GM186" s="6">
        <v>0</v>
      </c>
      <c r="GN186" s="6">
        <v>0</v>
      </c>
      <c r="GO186" s="6">
        <v>0</v>
      </c>
      <c r="GP186" s="6">
        <v>1</v>
      </c>
      <c r="GQ186" s="6">
        <v>0</v>
      </c>
      <c r="GR186" s="6">
        <v>0</v>
      </c>
      <c r="GS186" s="6">
        <v>0</v>
      </c>
      <c r="GT186" s="6"/>
      <c r="GU186" s="6" t="s">
        <v>462</v>
      </c>
      <c r="GV186" s="6" t="s">
        <v>463</v>
      </c>
      <c r="GW186" s="6" t="s">
        <v>464</v>
      </c>
      <c r="GX186" s="6">
        <v>1</v>
      </c>
      <c r="GY186" s="6">
        <v>0</v>
      </c>
      <c r="GZ186" s="6">
        <v>0</v>
      </c>
      <c r="HA186" s="6">
        <v>0</v>
      </c>
      <c r="HB186" s="6">
        <v>0</v>
      </c>
      <c r="HC186" s="6">
        <v>0</v>
      </c>
      <c r="HD186" s="6"/>
      <c r="HE186" s="6" t="s">
        <v>535</v>
      </c>
      <c r="HF186" s="6">
        <v>1</v>
      </c>
      <c r="HG186" s="6">
        <v>0</v>
      </c>
      <c r="HH186" s="6">
        <v>0</v>
      </c>
      <c r="HI186" s="6">
        <v>0</v>
      </c>
      <c r="HJ186" s="6">
        <v>0</v>
      </c>
      <c r="HK186" s="6">
        <v>0</v>
      </c>
      <c r="HL186" s="15"/>
      <c r="HM186" s="6" t="s">
        <v>466</v>
      </c>
      <c r="HN186" s="6"/>
      <c r="HO186" s="6" t="s">
        <v>3126</v>
      </c>
      <c r="HP186" s="6" t="s">
        <v>468</v>
      </c>
      <c r="HQ186" s="6"/>
      <c r="HR186" s="6" t="s">
        <v>1616</v>
      </c>
      <c r="HS186" s="6" t="s">
        <v>470</v>
      </c>
      <c r="HT186" s="6">
        <v>0</v>
      </c>
      <c r="HU186" s="6">
        <v>0</v>
      </c>
      <c r="HV186" s="6">
        <v>0</v>
      </c>
      <c r="HW186" s="6">
        <v>0</v>
      </c>
      <c r="HX186" s="6">
        <v>1</v>
      </c>
      <c r="HY186" s="6">
        <v>0</v>
      </c>
      <c r="HZ186" s="6"/>
      <c r="IA186" s="6" t="s">
        <v>541</v>
      </c>
      <c r="IB186" s="6">
        <v>0</v>
      </c>
      <c r="IC186" s="6">
        <v>0</v>
      </c>
      <c r="ID186" s="6">
        <v>1</v>
      </c>
      <c r="IE186" s="6">
        <v>0</v>
      </c>
      <c r="IF186" s="6">
        <v>0</v>
      </c>
      <c r="IG186" s="6">
        <v>0</v>
      </c>
      <c r="IH186" s="15" t="s">
        <v>3127</v>
      </c>
      <c r="II186" s="6" t="s">
        <v>426</v>
      </c>
      <c r="IJ186" s="6" t="s">
        <v>472</v>
      </c>
      <c r="IK186" s="6">
        <v>1</v>
      </c>
      <c r="IL186" s="6">
        <v>0</v>
      </c>
      <c r="IM186" s="6">
        <v>0</v>
      </c>
      <c r="IN186" s="6"/>
      <c r="IO186" s="6" t="s">
        <v>473</v>
      </c>
      <c r="IP186" s="6">
        <v>1</v>
      </c>
      <c r="IQ186" s="6">
        <v>0</v>
      </c>
      <c r="IR186" s="6">
        <v>0</v>
      </c>
      <c r="IS186" s="6">
        <v>0</v>
      </c>
      <c r="IT186" s="6">
        <v>0</v>
      </c>
      <c r="IU186" s="6">
        <v>0</v>
      </c>
      <c r="IV186" s="6"/>
      <c r="IW186" s="6" t="s">
        <v>426</v>
      </c>
      <c r="IX186" s="6">
        <v>1</v>
      </c>
      <c r="IY186" s="6" t="s">
        <v>474</v>
      </c>
      <c r="IZ186" s="6" t="s">
        <v>475</v>
      </c>
      <c r="JA186" s="6" t="s">
        <v>426</v>
      </c>
      <c r="JB186" s="6" t="s">
        <v>476</v>
      </c>
      <c r="JC186" s="6"/>
      <c r="JD186" s="6"/>
      <c r="JE186" s="6"/>
      <c r="JF186" s="6"/>
      <c r="JG186" s="6"/>
      <c r="JH186" s="6"/>
      <c r="JI186" s="6"/>
      <c r="JJ186" s="6"/>
      <c r="JK186" s="6" t="s">
        <v>426</v>
      </c>
      <c r="JL186" s="6" t="s">
        <v>426</v>
      </c>
      <c r="JM186" s="6"/>
      <c r="JN186" s="6"/>
      <c r="JO186" s="6"/>
      <c r="JP186" s="6"/>
      <c r="JQ186" s="6"/>
      <c r="JR186" s="6"/>
      <c r="JS186" s="6"/>
      <c r="JT186" s="6"/>
      <c r="JU186" s="6" t="s">
        <v>477</v>
      </c>
      <c r="JV186" s="15"/>
      <c r="JW186" s="94" t="s">
        <v>3128</v>
      </c>
      <c r="JX186" s="6" t="s">
        <v>3129</v>
      </c>
      <c r="JY186" s="6">
        <v>0.8260867</v>
      </c>
      <c r="JZ186" s="6">
        <v>34.866105</v>
      </c>
      <c r="KA186" s="6">
        <v>1767.6</v>
      </c>
      <c r="KB186" s="15">
        <v>4</v>
      </c>
      <c r="KC186" s="15"/>
    </row>
    <row r="187" spans="1:289">
      <c r="A187" s="6" t="s">
        <v>514</v>
      </c>
      <c r="B187" s="6" t="s">
        <v>2503</v>
      </c>
      <c r="C187" s="7" t="s">
        <v>2504</v>
      </c>
      <c r="D187" s="6" t="s">
        <v>3130</v>
      </c>
      <c r="E187" s="6" t="s">
        <v>3131</v>
      </c>
      <c r="F187" s="8" t="s">
        <v>423</v>
      </c>
      <c r="G187" s="6" t="s">
        <v>424</v>
      </c>
      <c r="H187" s="6" t="s">
        <v>425</v>
      </c>
      <c r="I187" s="15"/>
      <c r="J187" s="6" t="s">
        <v>426</v>
      </c>
      <c r="K187" s="6" t="s">
        <v>426</v>
      </c>
      <c r="L187" s="6" t="s">
        <v>426</v>
      </c>
      <c r="M187" s="6" t="s">
        <v>426</v>
      </c>
      <c r="N187" s="6" t="s">
        <v>426</v>
      </c>
      <c r="O187" s="6" t="s">
        <v>426</v>
      </c>
      <c r="P187" s="6" t="s">
        <v>426</v>
      </c>
      <c r="Q187" s="6" t="s">
        <v>426</v>
      </c>
      <c r="R187" s="6" t="s">
        <v>426</v>
      </c>
      <c r="S187" s="6" t="s">
        <v>426</v>
      </c>
      <c r="T187" s="6" t="s">
        <v>426</v>
      </c>
      <c r="U187" s="6" t="s">
        <v>426</v>
      </c>
      <c r="V187" s="6" t="s">
        <v>453</v>
      </c>
      <c r="W187" s="6" t="s">
        <v>453</v>
      </c>
      <c r="X187" s="6" t="s">
        <v>426</v>
      </c>
      <c r="Y187" s="6" t="s">
        <v>426</v>
      </c>
      <c r="Z187" s="6" t="s">
        <v>426</v>
      </c>
      <c r="AA187" s="6" t="s">
        <v>426</v>
      </c>
      <c r="AB187" s="6" t="s">
        <v>426</v>
      </c>
      <c r="AC187" s="15" t="s">
        <v>426</v>
      </c>
      <c r="AD187" s="6" t="s">
        <v>427</v>
      </c>
      <c r="AE187" s="6">
        <v>0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/>
      <c r="AN187" s="15"/>
      <c r="AO187" s="6" t="s">
        <v>426</v>
      </c>
      <c r="AP187" s="6" t="s">
        <v>660</v>
      </c>
      <c r="AQ187" s="6" t="s">
        <v>426</v>
      </c>
      <c r="AR187" s="6" t="s">
        <v>766</v>
      </c>
      <c r="AS187" s="6" t="s">
        <v>426</v>
      </c>
      <c r="AT187" s="6">
        <v>0.3</v>
      </c>
      <c r="AU187" s="6" t="s">
        <v>426</v>
      </c>
      <c r="AV187" s="6">
        <v>0.3</v>
      </c>
      <c r="AW187" s="6" t="s">
        <v>426</v>
      </c>
      <c r="AX187" s="6">
        <v>0.75</v>
      </c>
      <c r="AY187" s="6" t="s">
        <v>426</v>
      </c>
      <c r="AZ187" s="6">
        <v>1</v>
      </c>
      <c r="BA187" s="6" t="s">
        <v>453</v>
      </c>
      <c r="BB187" s="6"/>
      <c r="BC187" s="6" t="s">
        <v>426</v>
      </c>
      <c r="BD187" s="6">
        <v>0.2</v>
      </c>
      <c r="BE187" s="6" t="s">
        <v>426</v>
      </c>
      <c r="BF187" s="6">
        <v>9</v>
      </c>
      <c r="BG187" s="6" t="s">
        <v>426</v>
      </c>
      <c r="BH187" s="6">
        <v>0.25</v>
      </c>
      <c r="BI187" s="6" t="s">
        <v>426</v>
      </c>
      <c r="BJ187" s="6">
        <v>0.3</v>
      </c>
      <c r="BK187" s="6" t="s">
        <v>426</v>
      </c>
      <c r="BL187" s="6">
        <v>0.25</v>
      </c>
      <c r="BM187" s="6" t="s">
        <v>426</v>
      </c>
      <c r="BN187" s="6">
        <v>5</v>
      </c>
      <c r="BO187" s="6" t="s">
        <v>426</v>
      </c>
      <c r="BP187" s="6">
        <v>0.2</v>
      </c>
      <c r="BQ187" s="6" t="s">
        <v>426</v>
      </c>
      <c r="BR187" s="6">
        <v>60</v>
      </c>
      <c r="BS187" s="6" t="s">
        <v>426</v>
      </c>
      <c r="BT187" s="6">
        <v>24</v>
      </c>
      <c r="BU187" s="6" t="s">
        <v>426</v>
      </c>
      <c r="BV187" s="15">
        <v>0.25</v>
      </c>
      <c r="BW187" s="15" t="s">
        <v>518</v>
      </c>
      <c r="BX187" s="15" t="s">
        <v>429</v>
      </c>
      <c r="BY187" s="6" t="s">
        <v>430</v>
      </c>
      <c r="BZ187" s="6" t="s">
        <v>430</v>
      </c>
      <c r="CA187" s="6" t="s">
        <v>430</v>
      </c>
      <c r="CB187" s="6" t="s">
        <v>430</v>
      </c>
      <c r="CC187" s="6" t="s">
        <v>430</v>
      </c>
      <c r="CD187" s="6" t="s">
        <v>430</v>
      </c>
      <c r="CE187" s="6" t="s">
        <v>430</v>
      </c>
      <c r="CF187" s="6" t="s">
        <v>430</v>
      </c>
      <c r="CG187" s="6" t="s">
        <v>430</v>
      </c>
      <c r="CH187" s="6" t="s">
        <v>430</v>
      </c>
      <c r="CI187" s="6" t="s">
        <v>430</v>
      </c>
      <c r="CJ187" s="6" t="s">
        <v>430</v>
      </c>
      <c r="CK187" s="6" t="s">
        <v>430</v>
      </c>
      <c r="CL187" s="6" t="s">
        <v>430</v>
      </c>
      <c r="CM187" s="6" t="s">
        <v>430</v>
      </c>
      <c r="CN187" s="6" t="s">
        <v>430</v>
      </c>
      <c r="CO187" s="15" t="s">
        <v>430</v>
      </c>
      <c r="CP187" s="15" t="s">
        <v>432</v>
      </c>
      <c r="CQ187" s="6" t="s">
        <v>433</v>
      </c>
      <c r="CR187" s="15"/>
      <c r="CS187" s="6" t="s">
        <v>426</v>
      </c>
      <c r="CT187" s="6" t="s">
        <v>3132</v>
      </c>
      <c r="CU187" s="6" t="s">
        <v>665</v>
      </c>
      <c r="CV187" s="6" t="s">
        <v>734</v>
      </c>
      <c r="CW187" s="6" t="s">
        <v>662</v>
      </c>
      <c r="CX187" s="15" t="s">
        <v>426</v>
      </c>
      <c r="CY187" s="6" t="s">
        <v>426</v>
      </c>
      <c r="CZ187" s="6" t="s">
        <v>3133</v>
      </c>
      <c r="DA187" s="6" t="s">
        <v>829</v>
      </c>
      <c r="DB187" s="6" t="s">
        <v>692</v>
      </c>
      <c r="DC187" s="6" t="s">
        <v>2603</v>
      </c>
      <c r="DD187" s="15" t="s">
        <v>3134</v>
      </c>
      <c r="DE187" s="15" t="s">
        <v>436</v>
      </c>
      <c r="DF187" s="6" t="s">
        <v>3135</v>
      </c>
      <c r="DG187" s="6">
        <v>1</v>
      </c>
      <c r="DH187" s="6">
        <v>0</v>
      </c>
      <c r="DI187" s="6">
        <v>0</v>
      </c>
      <c r="DJ187" s="6">
        <v>0</v>
      </c>
      <c r="DK187" s="6">
        <v>1</v>
      </c>
      <c r="DL187" s="6">
        <v>0</v>
      </c>
      <c r="DM187" s="6"/>
      <c r="DN187" s="6"/>
      <c r="DO187" s="6"/>
      <c r="DP187" s="6"/>
      <c r="DQ187" s="6"/>
      <c r="DR187" s="6"/>
      <c r="DS187" s="6"/>
      <c r="DT187" s="66"/>
      <c r="DU187" s="6" t="s">
        <v>438</v>
      </c>
      <c r="DV187" s="6" t="s">
        <v>426</v>
      </c>
      <c r="DW187" s="6" t="s">
        <v>439</v>
      </c>
      <c r="DX187" s="6" t="s">
        <v>440</v>
      </c>
      <c r="DY187" s="6"/>
      <c r="DZ187" s="6" t="s">
        <v>3136</v>
      </c>
      <c r="EA187" s="6">
        <v>0</v>
      </c>
      <c r="EB187" s="6">
        <v>0</v>
      </c>
      <c r="EC187" s="6">
        <v>1</v>
      </c>
      <c r="ED187" s="6">
        <v>1</v>
      </c>
      <c r="EE187" s="6">
        <v>1</v>
      </c>
      <c r="EF187" s="6">
        <v>0</v>
      </c>
      <c r="EG187" s="6">
        <v>0</v>
      </c>
      <c r="EH187" s="6">
        <v>0</v>
      </c>
      <c r="EI187" s="6"/>
      <c r="EJ187" s="6" t="s">
        <v>3137</v>
      </c>
      <c r="EK187" s="6">
        <v>1</v>
      </c>
      <c r="EL187" s="6">
        <v>0</v>
      </c>
      <c r="EM187" s="6">
        <v>1</v>
      </c>
      <c r="EN187" s="6">
        <v>0</v>
      </c>
      <c r="EO187" s="6">
        <v>0</v>
      </c>
      <c r="EP187" s="6">
        <v>0</v>
      </c>
      <c r="EQ187" s="6">
        <v>0</v>
      </c>
      <c r="ER187" s="6">
        <v>0</v>
      </c>
      <c r="ES187" s="6">
        <v>0</v>
      </c>
      <c r="ET187" s="6"/>
      <c r="EU187" s="6" t="s">
        <v>443</v>
      </c>
      <c r="EV187" s="6" t="s">
        <v>495</v>
      </c>
      <c r="EW187" s="6"/>
      <c r="EX187" s="6" t="s">
        <v>617</v>
      </c>
      <c r="EY187" s="6">
        <v>1</v>
      </c>
      <c r="EZ187" s="6">
        <v>1</v>
      </c>
      <c r="FA187" s="6">
        <v>0</v>
      </c>
      <c r="FB187" s="6">
        <v>0</v>
      </c>
      <c r="FC187" s="6">
        <v>0</v>
      </c>
      <c r="FD187" s="6">
        <v>0</v>
      </c>
      <c r="FE187" s="6">
        <v>0</v>
      </c>
      <c r="FF187" s="6">
        <v>0</v>
      </c>
      <c r="FG187" s="6"/>
      <c r="FH187" s="6" t="s">
        <v>618</v>
      </c>
      <c r="FI187" s="6">
        <v>0</v>
      </c>
      <c r="FJ187" s="6">
        <v>0</v>
      </c>
      <c r="FK187" s="6">
        <v>0</v>
      </c>
      <c r="FL187" s="6">
        <v>1</v>
      </c>
      <c r="FM187" s="6">
        <v>0</v>
      </c>
      <c r="FN187" s="6">
        <v>0</v>
      </c>
      <c r="FO187" s="6">
        <v>0</v>
      </c>
      <c r="FP187" s="6">
        <v>0</v>
      </c>
      <c r="FQ187" s="6">
        <v>0</v>
      </c>
      <c r="FR187" s="6">
        <v>0</v>
      </c>
      <c r="FS187" s="6"/>
      <c r="FT187" s="6" t="s">
        <v>447</v>
      </c>
      <c r="FU187" s="6" t="s">
        <v>499</v>
      </c>
      <c r="FV187" s="6"/>
      <c r="FW187" s="6" t="s">
        <v>449</v>
      </c>
      <c r="FX187" s="15" t="s">
        <v>450</v>
      </c>
      <c r="FY187" s="6" t="s">
        <v>500</v>
      </c>
      <c r="FZ187" s="6"/>
      <c r="GA187" s="6" t="s">
        <v>450</v>
      </c>
      <c r="GB187" s="6" t="s">
        <v>501</v>
      </c>
      <c r="GC187" s="6" t="s">
        <v>453</v>
      </c>
      <c r="GD187" s="6"/>
      <c r="GE187" s="6" t="s">
        <v>454</v>
      </c>
      <c r="GF187" s="6" t="s">
        <v>3138</v>
      </c>
      <c r="GG187" s="6" t="s">
        <v>456</v>
      </c>
      <c r="GH187" s="15" t="s">
        <v>1074</v>
      </c>
      <c r="GI187" s="6" t="s">
        <v>458</v>
      </c>
      <c r="GJ187" s="6" t="s">
        <v>3139</v>
      </c>
      <c r="GK187" s="6" t="s">
        <v>460</v>
      </c>
      <c r="GL187" s="6" t="s">
        <v>461</v>
      </c>
      <c r="GM187" s="6">
        <v>0</v>
      </c>
      <c r="GN187" s="6">
        <v>0</v>
      </c>
      <c r="GO187" s="6">
        <v>0</v>
      </c>
      <c r="GP187" s="6">
        <v>0</v>
      </c>
      <c r="GQ187" s="6">
        <v>0</v>
      </c>
      <c r="GR187" s="6">
        <v>1</v>
      </c>
      <c r="GS187" s="6">
        <v>0</v>
      </c>
      <c r="GT187" s="6"/>
      <c r="GU187" s="6" t="s">
        <v>534</v>
      </c>
      <c r="GV187" s="6" t="s">
        <v>595</v>
      </c>
      <c r="GW187" s="6" t="s">
        <v>464</v>
      </c>
      <c r="GX187" s="6">
        <v>1</v>
      </c>
      <c r="GY187" s="6">
        <v>0</v>
      </c>
      <c r="GZ187" s="6">
        <v>0</v>
      </c>
      <c r="HA187" s="6">
        <v>0</v>
      </c>
      <c r="HB187" s="6">
        <v>0</v>
      </c>
      <c r="HC187" s="6">
        <v>0</v>
      </c>
      <c r="HD187" s="6"/>
      <c r="HE187" s="6" t="s">
        <v>535</v>
      </c>
      <c r="HF187" s="6">
        <v>1</v>
      </c>
      <c r="HG187" s="6">
        <v>0</v>
      </c>
      <c r="HH187" s="6">
        <v>0</v>
      </c>
      <c r="HI187" s="6">
        <v>0</v>
      </c>
      <c r="HJ187" s="6">
        <v>0</v>
      </c>
      <c r="HK187" s="6">
        <v>0</v>
      </c>
      <c r="HL187" s="15"/>
      <c r="HM187" s="6" t="s">
        <v>505</v>
      </c>
      <c r="HN187" s="6"/>
      <c r="HO187" s="6" t="s">
        <v>3140</v>
      </c>
      <c r="HP187" s="6" t="s">
        <v>468</v>
      </c>
      <c r="HQ187" s="6"/>
      <c r="HR187" s="6" t="s">
        <v>3141</v>
      </c>
      <c r="HS187" s="6" t="s">
        <v>540</v>
      </c>
      <c r="HT187" s="6">
        <v>1</v>
      </c>
      <c r="HU187" s="6">
        <v>0</v>
      </c>
      <c r="HV187" s="6">
        <v>0</v>
      </c>
      <c r="HW187" s="6">
        <v>0</v>
      </c>
      <c r="HX187" s="6">
        <v>0</v>
      </c>
      <c r="HY187" s="6">
        <v>0</v>
      </c>
      <c r="HZ187" s="6"/>
      <c r="IA187" s="6" t="s">
        <v>112</v>
      </c>
      <c r="IB187" s="6">
        <v>0</v>
      </c>
      <c r="IC187" s="6">
        <v>1</v>
      </c>
      <c r="ID187" s="6">
        <v>0</v>
      </c>
      <c r="IE187" s="6">
        <v>0</v>
      </c>
      <c r="IF187" s="6">
        <v>0</v>
      </c>
      <c r="IG187" s="6">
        <v>0</v>
      </c>
      <c r="IH187" s="15" t="s">
        <v>3142</v>
      </c>
      <c r="II187" s="6" t="s">
        <v>426</v>
      </c>
      <c r="IJ187" s="6" t="s">
        <v>472</v>
      </c>
      <c r="IK187" s="6">
        <v>1</v>
      </c>
      <c r="IL187" s="6">
        <v>0</v>
      </c>
      <c r="IM187" s="6">
        <v>0</v>
      </c>
      <c r="IN187" s="6"/>
      <c r="IO187" s="6" t="s">
        <v>473</v>
      </c>
      <c r="IP187" s="6">
        <v>1</v>
      </c>
      <c r="IQ187" s="6">
        <v>0</v>
      </c>
      <c r="IR187" s="6">
        <v>0</v>
      </c>
      <c r="IS187" s="6">
        <v>0</v>
      </c>
      <c r="IT187" s="6">
        <v>0</v>
      </c>
      <c r="IU187" s="6">
        <v>0</v>
      </c>
      <c r="IV187" s="6"/>
      <c r="IW187" s="6" t="s">
        <v>453</v>
      </c>
      <c r="IX187" s="6"/>
      <c r="IY187" s="6" t="s">
        <v>474</v>
      </c>
      <c r="IZ187" s="6" t="s">
        <v>475</v>
      </c>
      <c r="JA187" s="6" t="s">
        <v>426</v>
      </c>
      <c r="JB187" s="6" t="s">
        <v>476</v>
      </c>
      <c r="JC187" s="6"/>
      <c r="JD187" s="6"/>
      <c r="JE187" s="6"/>
      <c r="JF187" s="6"/>
      <c r="JG187" s="6"/>
      <c r="JH187" s="6"/>
      <c r="JI187" s="6"/>
      <c r="JJ187" s="6" t="s">
        <v>426</v>
      </c>
      <c r="JK187" s="6" t="s">
        <v>426</v>
      </c>
      <c r="JL187" s="6" t="s">
        <v>426</v>
      </c>
      <c r="JM187" s="6"/>
      <c r="JN187" s="6"/>
      <c r="JO187" s="6"/>
      <c r="JP187" s="6"/>
      <c r="JQ187" s="6"/>
      <c r="JR187" s="6"/>
      <c r="JS187" s="6"/>
      <c r="JT187" s="6"/>
      <c r="JU187" s="6" t="s">
        <v>895</v>
      </c>
      <c r="JV187" s="15" t="s">
        <v>1184</v>
      </c>
      <c r="JW187" s="94" t="s">
        <v>3143</v>
      </c>
      <c r="JX187" s="6" t="s">
        <v>3144</v>
      </c>
      <c r="JY187" s="6">
        <v>0.8232961</v>
      </c>
      <c r="JZ187" s="6">
        <v>34.8649566</v>
      </c>
      <c r="KA187" s="6">
        <v>1751.813</v>
      </c>
      <c r="KB187" s="15">
        <v>1.655</v>
      </c>
      <c r="KC187" s="15"/>
    </row>
    <row r="188" spans="1:289">
      <c r="A188" s="6" t="s">
        <v>581</v>
      </c>
      <c r="B188" s="6" t="s">
        <v>2503</v>
      </c>
      <c r="C188" s="7" t="s">
        <v>2504</v>
      </c>
      <c r="D188" s="6" t="s">
        <v>2167</v>
      </c>
      <c r="E188" s="6" t="s">
        <v>3145</v>
      </c>
      <c r="F188" s="8" t="s">
        <v>483</v>
      </c>
      <c r="G188" s="6" t="s">
        <v>567</v>
      </c>
      <c r="H188" s="6" t="s">
        <v>425</v>
      </c>
      <c r="I188" s="15"/>
      <c r="J188" s="6" t="s">
        <v>426</v>
      </c>
      <c r="K188" s="6" t="s">
        <v>426</v>
      </c>
      <c r="L188" s="6" t="s">
        <v>426</v>
      </c>
      <c r="M188" s="6" t="s">
        <v>426</v>
      </c>
      <c r="N188" s="6" t="s">
        <v>426</v>
      </c>
      <c r="O188" s="6" t="s">
        <v>426</v>
      </c>
      <c r="P188" s="6" t="s">
        <v>426</v>
      </c>
      <c r="Q188" s="6" t="s">
        <v>426</v>
      </c>
      <c r="R188" s="6" t="s">
        <v>426</v>
      </c>
      <c r="S188" s="6" t="s">
        <v>426</v>
      </c>
      <c r="T188" s="6" t="s">
        <v>426</v>
      </c>
      <c r="U188" s="6" t="s">
        <v>426</v>
      </c>
      <c r="V188" s="6" t="s">
        <v>426</v>
      </c>
      <c r="W188" s="6" t="s">
        <v>426</v>
      </c>
      <c r="X188" s="6" t="s">
        <v>426</v>
      </c>
      <c r="Y188" s="6" t="s">
        <v>426</v>
      </c>
      <c r="Z188" s="6" t="s">
        <v>426</v>
      </c>
      <c r="AA188" s="6" t="s">
        <v>426</v>
      </c>
      <c r="AB188" s="6" t="s">
        <v>426</v>
      </c>
      <c r="AC188" s="15" t="s">
        <v>426</v>
      </c>
      <c r="AD188" s="6" t="s">
        <v>427</v>
      </c>
      <c r="AE188" s="6">
        <v>0</v>
      </c>
      <c r="AF188" s="6">
        <v>0</v>
      </c>
      <c r="AG188" s="6">
        <v>0</v>
      </c>
      <c r="AH188" s="6">
        <v>1</v>
      </c>
      <c r="AI188" s="6">
        <v>0</v>
      </c>
      <c r="AJ188" s="6">
        <v>0</v>
      </c>
      <c r="AK188" s="6">
        <v>0</v>
      </c>
      <c r="AL188" s="6">
        <v>0</v>
      </c>
      <c r="AM188" s="6"/>
      <c r="AN188" s="15"/>
      <c r="AO188" s="6" t="s">
        <v>426</v>
      </c>
      <c r="AP188" s="6" t="s">
        <v>805</v>
      </c>
      <c r="AQ188" s="6" t="s">
        <v>426</v>
      </c>
      <c r="AR188" s="6" t="s">
        <v>823</v>
      </c>
      <c r="AS188" s="6" t="s">
        <v>426</v>
      </c>
      <c r="AT188" s="6">
        <v>0.4</v>
      </c>
      <c r="AU188" s="6" t="s">
        <v>453</v>
      </c>
      <c r="AV188" s="6"/>
      <c r="AW188" s="6" t="s">
        <v>426</v>
      </c>
      <c r="AX188" s="6">
        <v>0.5</v>
      </c>
      <c r="AY188" s="6" t="s">
        <v>426</v>
      </c>
      <c r="AZ188" s="6">
        <v>2</v>
      </c>
      <c r="BA188" s="6" t="s">
        <v>426</v>
      </c>
      <c r="BB188" s="6">
        <v>1</v>
      </c>
      <c r="BC188" s="6" t="s">
        <v>426</v>
      </c>
      <c r="BD188" s="6">
        <v>1</v>
      </c>
      <c r="BE188" s="6" t="s">
        <v>426</v>
      </c>
      <c r="BF188" s="6">
        <v>5</v>
      </c>
      <c r="BG188" s="6" t="s">
        <v>426</v>
      </c>
      <c r="BH188" s="6">
        <v>0.2</v>
      </c>
      <c r="BI188" s="6" t="s">
        <v>426</v>
      </c>
      <c r="BJ188" s="6">
        <v>0.3</v>
      </c>
      <c r="BK188" s="6" t="s">
        <v>453</v>
      </c>
      <c r="BL188" s="6"/>
      <c r="BM188" s="6" t="s">
        <v>426</v>
      </c>
      <c r="BN188" s="6">
        <v>50</v>
      </c>
      <c r="BO188" s="6" t="s">
        <v>426</v>
      </c>
      <c r="BP188" s="6">
        <v>0.4</v>
      </c>
      <c r="BQ188" s="6" t="s">
        <v>426</v>
      </c>
      <c r="BR188" s="6">
        <v>500</v>
      </c>
      <c r="BS188" s="6" t="s">
        <v>426</v>
      </c>
      <c r="BT188" s="6">
        <v>10</v>
      </c>
      <c r="BU188" s="6" t="s">
        <v>426</v>
      </c>
      <c r="BV188" s="15">
        <v>1</v>
      </c>
      <c r="BW188" s="15" t="s">
        <v>518</v>
      </c>
      <c r="BX188" s="15" t="s">
        <v>429</v>
      </c>
      <c r="BY188" s="6" t="s">
        <v>430</v>
      </c>
      <c r="BZ188" s="6" t="s">
        <v>430</v>
      </c>
      <c r="CA188" s="6" t="s">
        <v>430</v>
      </c>
      <c r="CB188" s="6" t="s">
        <v>430</v>
      </c>
      <c r="CC188" s="6" t="s">
        <v>430</v>
      </c>
      <c r="CD188" s="6" t="s">
        <v>430</v>
      </c>
      <c r="CE188" s="6" t="s">
        <v>430</v>
      </c>
      <c r="CF188" s="6" t="s">
        <v>430</v>
      </c>
      <c r="CG188" s="6" t="s">
        <v>430</v>
      </c>
      <c r="CH188" s="6" t="s">
        <v>430</v>
      </c>
      <c r="CI188" s="6" t="s">
        <v>430</v>
      </c>
      <c r="CJ188" s="6" t="s">
        <v>430</v>
      </c>
      <c r="CK188" s="6" t="s">
        <v>430</v>
      </c>
      <c r="CL188" s="6" t="s">
        <v>430</v>
      </c>
      <c r="CM188" s="6" t="s">
        <v>430</v>
      </c>
      <c r="CN188" s="6" t="s">
        <v>430</v>
      </c>
      <c r="CO188" s="15" t="s">
        <v>430</v>
      </c>
      <c r="CP188" s="15" t="s">
        <v>432</v>
      </c>
      <c r="CQ188" s="6" t="s">
        <v>433</v>
      </c>
      <c r="CR188" s="15"/>
      <c r="CS188" s="6" t="s">
        <v>453</v>
      </c>
      <c r="CT188" s="6"/>
      <c r="CU188" s="6"/>
      <c r="CV188" s="6"/>
      <c r="CW188" s="6"/>
      <c r="CX188" s="15" t="s">
        <v>426</v>
      </c>
      <c r="CY188" s="6" t="s">
        <v>426</v>
      </c>
      <c r="CZ188" s="6" t="s">
        <v>3146</v>
      </c>
      <c r="DA188" s="6" t="s">
        <v>3147</v>
      </c>
      <c r="DB188" s="6" t="s">
        <v>660</v>
      </c>
      <c r="DC188" s="6" t="s">
        <v>789</v>
      </c>
      <c r="DD188" s="15" t="s">
        <v>974</v>
      </c>
      <c r="DE188" s="15" t="s">
        <v>436</v>
      </c>
      <c r="DF188" s="6" t="s">
        <v>3148</v>
      </c>
      <c r="DG188" s="6">
        <v>1</v>
      </c>
      <c r="DH188" s="6">
        <v>1</v>
      </c>
      <c r="DI188" s="6">
        <v>1</v>
      </c>
      <c r="DJ188" s="6">
        <v>0</v>
      </c>
      <c r="DK188" s="6">
        <v>0</v>
      </c>
      <c r="DL188" s="6">
        <v>0</v>
      </c>
      <c r="DM188" s="6"/>
      <c r="DN188" s="6"/>
      <c r="DO188" s="6"/>
      <c r="DP188" s="6"/>
      <c r="DQ188" s="6"/>
      <c r="DR188" s="6"/>
      <c r="DS188" s="6"/>
      <c r="DT188" s="66"/>
      <c r="DU188" s="6" t="s">
        <v>438</v>
      </c>
      <c r="DV188" s="6" t="s">
        <v>426</v>
      </c>
      <c r="DW188" s="6" t="s">
        <v>439</v>
      </c>
      <c r="DX188" s="6" t="s">
        <v>440</v>
      </c>
      <c r="DY188" s="6"/>
      <c r="DZ188" s="6" t="s">
        <v>3149</v>
      </c>
      <c r="EA188" s="6">
        <v>1</v>
      </c>
      <c r="EB188" s="6">
        <v>1</v>
      </c>
      <c r="EC188" s="6">
        <v>1</v>
      </c>
      <c r="ED188" s="6">
        <v>1</v>
      </c>
      <c r="EE188" s="6">
        <v>1</v>
      </c>
      <c r="EF188" s="6">
        <v>1</v>
      </c>
      <c r="EG188" s="6">
        <v>0</v>
      </c>
      <c r="EH188" s="6">
        <v>0</v>
      </c>
      <c r="EI188" s="6"/>
      <c r="EJ188" s="6" t="s">
        <v>697</v>
      </c>
      <c r="EK188" s="6">
        <v>1</v>
      </c>
      <c r="EL188" s="6">
        <v>1</v>
      </c>
      <c r="EM188" s="6">
        <v>1</v>
      </c>
      <c r="EN188" s="6">
        <v>1</v>
      </c>
      <c r="EO188" s="6">
        <v>1</v>
      </c>
      <c r="EP188" s="6">
        <v>1</v>
      </c>
      <c r="EQ188" s="6">
        <v>0</v>
      </c>
      <c r="ER188" s="6">
        <v>0</v>
      </c>
      <c r="ES188" s="6">
        <v>0</v>
      </c>
      <c r="ET188" s="6"/>
      <c r="EU188" s="6" t="s">
        <v>443</v>
      </c>
      <c r="EV188" s="6" t="s">
        <v>588</v>
      </c>
      <c r="EW188" s="6"/>
      <c r="EX188" s="6" t="s">
        <v>3150</v>
      </c>
      <c r="EY188" s="6">
        <v>1</v>
      </c>
      <c r="EZ188" s="6">
        <v>1</v>
      </c>
      <c r="FA188" s="6">
        <v>1</v>
      </c>
      <c r="FB188" s="6">
        <v>1</v>
      </c>
      <c r="FC188" s="6">
        <v>1</v>
      </c>
      <c r="FD188" s="6">
        <v>1</v>
      </c>
      <c r="FE188" s="6">
        <v>0</v>
      </c>
      <c r="FF188" s="6">
        <v>0</v>
      </c>
      <c r="FG188" s="6"/>
      <c r="FH188" s="6" t="s">
        <v>1398</v>
      </c>
      <c r="FI188" s="6">
        <v>1</v>
      </c>
      <c r="FJ188" s="6">
        <v>0</v>
      </c>
      <c r="FK188" s="6">
        <v>0</v>
      </c>
      <c r="FL188" s="6">
        <v>0</v>
      </c>
      <c r="FM188" s="6">
        <v>1</v>
      </c>
      <c r="FN188" s="6">
        <v>1</v>
      </c>
      <c r="FO188" s="6">
        <v>0</v>
      </c>
      <c r="FP188" s="6">
        <v>0</v>
      </c>
      <c r="FQ188" s="6">
        <v>0</v>
      </c>
      <c r="FR188" s="6">
        <v>0</v>
      </c>
      <c r="FS188" s="6"/>
      <c r="FT188" s="6" t="s">
        <v>556</v>
      </c>
      <c r="FU188" s="6" t="s">
        <v>448</v>
      </c>
      <c r="FV188" s="6"/>
      <c r="FW188" s="6" t="s">
        <v>449</v>
      </c>
      <c r="FX188" s="15" t="s">
        <v>450</v>
      </c>
      <c r="FY188" s="6" t="s">
        <v>451</v>
      </c>
      <c r="FZ188" s="6"/>
      <c r="GA188" s="6" t="s">
        <v>450</v>
      </c>
      <c r="GB188" s="6" t="s">
        <v>501</v>
      </c>
      <c r="GC188" s="6" t="s">
        <v>453</v>
      </c>
      <c r="GD188" s="6"/>
      <c r="GE188" s="6" t="s">
        <v>454</v>
      </c>
      <c r="GF188" s="6" t="s">
        <v>1176</v>
      </c>
      <c r="GG188" s="6" t="s">
        <v>456</v>
      </c>
      <c r="GH188" s="15" t="s">
        <v>3151</v>
      </c>
      <c r="GI188" s="6" t="s">
        <v>458</v>
      </c>
      <c r="GJ188" s="6" t="s">
        <v>3152</v>
      </c>
      <c r="GK188" s="6" t="s">
        <v>460</v>
      </c>
      <c r="GL188" s="6" t="s">
        <v>461</v>
      </c>
      <c r="GM188" s="6">
        <v>0</v>
      </c>
      <c r="GN188" s="6">
        <v>0</v>
      </c>
      <c r="GO188" s="6">
        <v>0</v>
      </c>
      <c r="GP188" s="6">
        <v>0</v>
      </c>
      <c r="GQ188" s="6">
        <v>0</v>
      </c>
      <c r="GR188" s="6">
        <v>1</v>
      </c>
      <c r="GS188" s="6">
        <v>0</v>
      </c>
      <c r="GT188" s="6"/>
      <c r="GU188" s="6" t="s">
        <v>534</v>
      </c>
      <c r="GV188" s="6" t="s">
        <v>595</v>
      </c>
      <c r="GW188" s="6" t="s">
        <v>464</v>
      </c>
      <c r="GX188" s="6">
        <v>1</v>
      </c>
      <c r="GY188" s="6">
        <v>0</v>
      </c>
      <c r="GZ188" s="6">
        <v>0</v>
      </c>
      <c r="HA188" s="6">
        <v>0</v>
      </c>
      <c r="HB188" s="6">
        <v>0</v>
      </c>
      <c r="HC188" s="6">
        <v>0</v>
      </c>
      <c r="HD188" s="6"/>
      <c r="HE188" s="6" t="s">
        <v>596</v>
      </c>
      <c r="HF188" s="6">
        <v>1</v>
      </c>
      <c r="HG188" s="6">
        <v>1</v>
      </c>
      <c r="HH188" s="6">
        <v>1</v>
      </c>
      <c r="HI188" s="6">
        <v>1</v>
      </c>
      <c r="HJ188" s="6">
        <v>0</v>
      </c>
      <c r="HK188" s="6">
        <v>0</v>
      </c>
      <c r="HL188" s="15"/>
      <c r="HM188" s="6" t="s">
        <v>505</v>
      </c>
      <c r="HN188" s="6"/>
      <c r="HO188" s="6" t="s">
        <v>3153</v>
      </c>
      <c r="HP188" s="6" t="s">
        <v>537</v>
      </c>
      <c r="HQ188" s="6" t="s">
        <v>1283</v>
      </c>
      <c r="HR188" s="6" t="s">
        <v>3154</v>
      </c>
      <c r="HS188" s="6" t="s">
        <v>3155</v>
      </c>
      <c r="HT188" s="6">
        <v>1</v>
      </c>
      <c r="HU188" s="6">
        <v>0</v>
      </c>
      <c r="HV188" s="6">
        <v>1</v>
      </c>
      <c r="HW188" s="6">
        <v>0</v>
      </c>
      <c r="HX188" s="6">
        <v>1</v>
      </c>
      <c r="HY188" s="6">
        <v>1</v>
      </c>
      <c r="HZ188" s="6"/>
      <c r="IA188" s="6" t="s">
        <v>798</v>
      </c>
      <c r="IB188" s="6">
        <v>1</v>
      </c>
      <c r="IC188" s="6">
        <v>1</v>
      </c>
      <c r="ID188" s="6">
        <v>1</v>
      </c>
      <c r="IE188" s="6">
        <v>1</v>
      </c>
      <c r="IF188" s="6">
        <v>1</v>
      </c>
      <c r="IG188" s="6">
        <v>0</v>
      </c>
      <c r="IH188" s="15" t="s">
        <v>3156</v>
      </c>
      <c r="II188" s="6" t="s">
        <v>426</v>
      </c>
      <c r="IJ188" s="6" t="s">
        <v>602</v>
      </c>
      <c r="IK188" s="6">
        <v>1</v>
      </c>
      <c r="IL188" s="6">
        <v>1</v>
      </c>
      <c r="IM188" s="6">
        <v>0</v>
      </c>
      <c r="IN188" s="6"/>
      <c r="IO188" s="6" t="s">
        <v>473</v>
      </c>
      <c r="IP188" s="6">
        <v>1</v>
      </c>
      <c r="IQ188" s="6">
        <v>0</v>
      </c>
      <c r="IR188" s="6">
        <v>0</v>
      </c>
      <c r="IS188" s="6">
        <v>0</v>
      </c>
      <c r="IT188" s="6">
        <v>0</v>
      </c>
      <c r="IU188" s="6">
        <v>0</v>
      </c>
      <c r="IV188" s="6"/>
      <c r="IW188" s="6" t="s">
        <v>426</v>
      </c>
      <c r="IX188" s="6">
        <v>1</v>
      </c>
      <c r="IY188" s="6" t="s">
        <v>474</v>
      </c>
      <c r="IZ188" s="6" t="s">
        <v>475</v>
      </c>
      <c r="JA188" s="6" t="s">
        <v>426</v>
      </c>
      <c r="JB188" s="6" t="s">
        <v>476</v>
      </c>
      <c r="JC188" s="6"/>
      <c r="JD188" s="6"/>
      <c r="JE188" s="6"/>
      <c r="JF188" s="6"/>
      <c r="JG188" s="6"/>
      <c r="JH188" s="6"/>
      <c r="JI188" s="6"/>
      <c r="JJ188" s="6"/>
      <c r="JK188" s="6" t="s">
        <v>426</v>
      </c>
      <c r="JL188" s="6" t="s">
        <v>426</v>
      </c>
      <c r="JM188" s="6"/>
      <c r="JN188" s="6"/>
      <c r="JO188" s="6"/>
      <c r="JP188" s="6"/>
      <c r="JQ188" s="6"/>
      <c r="JR188" s="6"/>
      <c r="JS188" s="6"/>
      <c r="JT188" s="6"/>
      <c r="JU188" s="6" t="s">
        <v>895</v>
      </c>
      <c r="JV188" s="15" t="s">
        <v>1422</v>
      </c>
      <c r="JW188" s="94" t="s">
        <v>3157</v>
      </c>
      <c r="JX188" s="6" t="s">
        <v>3158</v>
      </c>
      <c r="JY188" s="6">
        <v>0.8317702</v>
      </c>
      <c r="JZ188" s="6">
        <v>34.8653551</v>
      </c>
      <c r="KA188" s="6">
        <v>1728.8</v>
      </c>
      <c r="KB188" s="15">
        <v>4.74</v>
      </c>
      <c r="KC188" s="15"/>
    </row>
    <row r="189" s="9" customFormat="1" spans="1:289">
      <c r="A189" s="9" t="s">
        <v>581</v>
      </c>
      <c r="B189" s="9" t="s">
        <v>2503</v>
      </c>
      <c r="C189" s="7" t="s">
        <v>2504</v>
      </c>
      <c r="D189" s="9" t="s">
        <v>2505</v>
      </c>
      <c r="E189" s="9" t="s">
        <v>3159</v>
      </c>
      <c r="F189" s="9" t="s">
        <v>483</v>
      </c>
      <c r="G189" s="9" t="s">
        <v>484</v>
      </c>
      <c r="H189" s="9" t="s">
        <v>425</v>
      </c>
      <c r="J189" s="36" t="s">
        <v>426</v>
      </c>
      <c r="K189" s="36" t="s">
        <v>426</v>
      </c>
      <c r="L189" s="9" t="s">
        <v>426</v>
      </c>
      <c r="M189" s="9" t="s">
        <v>426</v>
      </c>
      <c r="N189" s="36" t="s">
        <v>426</v>
      </c>
      <c r="O189" s="9" t="s">
        <v>426</v>
      </c>
      <c r="P189" s="9" t="s">
        <v>426</v>
      </c>
      <c r="Q189" s="36" t="s">
        <v>426</v>
      </c>
      <c r="R189" s="9" t="s">
        <v>426</v>
      </c>
      <c r="S189" s="9" t="s">
        <v>426</v>
      </c>
      <c r="T189" s="36" t="s">
        <v>426</v>
      </c>
      <c r="U189" s="9" t="s">
        <v>426</v>
      </c>
      <c r="V189" s="9" t="s">
        <v>426</v>
      </c>
      <c r="W189" s="36" t="s">
        <v>426</v>
      </c>
      <c r="X189" s="9" t="s">
        <v>426</v>
      </c>
      <c r="Y189" s="9" t="s">
        <v>426</v>
      </c>
      <c r="Z189" s="36" t="s">
        <v>426</v>
      </c>
      <c r="AA189" s="9" t="s">
        <v>426</v>
      </c>
      <c r="AB189" s="9" t="s">
        <v>426</v>
      </c>
      <c r="AC189" s="36" t="s">
        <v>426</v>
      </c>
      <c r="AD189" s="9" t="s">
        <v>426</v>
      </c>
      <c r="AE189" s="9" t="s">
        <v>426</v>
      </c>
      <c r="AG189" s="9" t="s">
        <v>426</v>
      </c>
      <c r="AH189" s="9" t="s">
        <v>426</v>
      </c>
      <c r="AJ189" s="9" t="s">
        <v>426</v>
      </c>
      <c r="AK189" s="9" t="s">
        <v>426</v>
      </c>
      <c r="AM189" s="9" t="s">
        <v>426</v>
      </c>
      <c r="AN189" s="9" t="s">
        <v>426</v>
      </c>
      <c r="AO189" s="36" t="s">
        <v>3160</v>
      </c>
      <c r="AP189" s="16" t="s">
        <v>805</v>
      </c>
      <c r="AQ189" s="16" t="s">
        <v>426</v>
      </c>
      <c r="AR189" s="16" t="s">
        <v>823</v>
      </c>
      <c r="AS189" s="16" t="s">
        <v>426</v>
      </c>
      <c r="AT189" s="16">
        <v>0.4</v>
      </c>
      <c r="AU189" s="16" t="s">
        <v>453</v>
      </c>
      <c r="AV189" s="16"/>
      <c r="AW189" s="16" t="s">
        <v>426</v>
      </c>
      <c r="AX189" s="16">
        <v>0.5</v>
      </c>
      <c r="AY189" s="16" t="s">
        <v>426</v>
      </c>
      <c r="AZ189" s="16">
        <v>2</v>
      </c>
      <c r="BA189" s="16" t="s">
        <v>426</v>
      </c>
      <c r="BB189" s="16">
        <v>1</v>
      </c>
      <c r="BC189" s="16" t="s">
        <v>426</v>
      </c>
      <c r="BD189" s="16">
        <v>1</v>
      </c>
      <c r="BE189" s="16" t="s">
        <v>426</v>
      </c>
      <c r="BF189" s="16">
        <v>5</v>
      </c>
      <c r="BG189" s="16" t="s">
        <v>426</v>
      </c>
      <c r="BH189" s="16">
        <v>0.2</v>
      </c>
      <c r="BI189" s="16" t="s">
        <v>426</v>
      </c>
      <c r="BJ189" s="16">
        <v>0.3</v>
      </c>
      <c r="BK189" s="16" t="s">
        <v>453</v>
      </c>
      <c r="BL189" s="16"/>
      <c r="BM189" s="16" t="s">
        <v>426</v>
      </c>
      <c r="BN189" s="16">
        <v>50</v>
      </c>
      <c r="BO189" s="16" t="s">
        <v>426</v>
      </c>
      <c r="BP189" s="16">
        <v>0.4</v>
      </c>
      <c r="BQ189" s="16" t="s">
        <v>426</v>
      </c>
      <c r="BR189" s="16">
        <v>500</v>
      </c>
      <c r="BS189" s="16" t="s">
        <v>426</v>
      </c>
      <c r="BT189" s="16">
        <v>10</v>
      </c>
      <c r="BU189" s="16" t="s">
        <v>426</v>
      </c>
      <c r="BV189" s="42">
        <v>1</v>
      </c>
      <c r="BW189" s="42" t="s">
        <v>518</v>
      </c>
      <c r="BX189" s="42" t="s">
        <v>429</v>
      </c>
      <c r="BY189" s="16" t="s">
        <v>430</v>
      </c>
      <c r="BZ189" s="16" t="s">
        <v>430</v>
      </c>
      <c r="CA189" s="16" t="s">
        <v>430</v>
      </c>
      <c r="CB189" s="16" t="s">
        <v>430</v>
      </c>
      <c r="CC189" s="16" t="s">
        <v>430</v>
      </c>
      <c r="CD189" s="16" t="s">
        <v>430</v>
      </c>
      <c r="CE189" s="16" t="s">
        <v>430</v>
      </c>
      <c r="CF189" s="16" t="s">
        <v>430</v>
      </c>
      <c r="CG189" s="16" t="s">
        <v>430</v>
      </c>
      <c r="CH189" s="16" t="s">
        <v>430</v>
      </c>
      <c r="CI189" s="16" t="s">
        <v>430</v>
      </c>
      <c r="CJ189" s="16" t="s">
        <v>430</v>
      </c>
      <c r="CK189" s="16" t="s">
        <v>430</v>
      </c>
      <c r="CL189" s="16" t="s">
        <v>430</v>
      </c>
      <c r="CM189" s="16" t="s">
        <v>430</v>
      </c>
      <c r="CN189" s="16" t="s">
        <v>430</v>
      </c>
      <c r="CO189" s="42" t="s">
        <v>430</v>
      </c>
      <c r="CP189" s="42" t="s">
        <v>432</v>
      </c>
      <c r="CQ189" s="16" t="s">
        <v>433</v>
      </c>
      <c r="CR189" s="42"/>
      <c r="CS189" s="16" t="s">
        <v>453</v>
      </c>
      <c r="CT189" s="16"/>
      <c r="CU189" s="16"/>
      <c r="CV189" s="16"/>
      <c r="CW189" s="16"/>
      <c r="CX189" s="42" t="s">
        <v>426</v>
      </c>
      <c r="CY189" s="16" t="s">
        <v>426</v>
      </c>
      <c r="CZ189" s="16" t="s">
        <v>3146</v>
      </c>
      <c r="DA189" s="16" t="s">
        <v>3147</v>
      </c>
      <c r="DB189" s="16" t="s">
        <v>660</v>
      </c>
      <c r="DC189" s="16" t="s">
        <v>789</v>
      </c>
      <c r="DD189" s="42" t="s">
        <v>974</v>
      </c>
      <c r="DE189" s="42" t="s">
        <v>436</v>
      </c>
      <c r="DF189" s="16" t="s">
        <v>3148</v>
      </c>
      <c r="DG189" s="16">
        <v>1</v>
      </c>
      <c r="DH189" s="16">
        <v>1</v>
      </c>
      <c r="DI189" s="16">
        <v>1</v>
      </c>
      <c r="DJ189" s="16">
        <v>0</v>
      </c>
      <c r="DK189" s="16">
        <v>0</v>
      </c>
      <c r="DL189" s="16">
        <v>0</v>
      </c>
      <c r="DM189" s="16"/>
      <c r="DN189" s="16"/>
      <c r="DO189" s="16"/>
      <c r="DP189" s="16"/>
      <c r="DQ189" s="16"/>
      <c r="DR189" s="16"/>
      <c r="DS189" s="16"/>
      <c r="DT189" s="67"/>
      <c r="DU189" s="16" t="s">
        <v>438</v>
      </c>
      <c r="DV189" s="16" t="s">
        <v>426</v>
      </c>
      <c r="DW189" s="16" t="s">
        <v>439</v>
      </c>
      <c r="DX189" s="16" t="s">
        <v>440</v>
      </c>
      <c r="DY189" s="16"/>
      <c r="DZ189" s="16" t="s">
        <v>3149</v>
      </c>
      <c r="EA189" s="16">
        <v>1</v>
      </c>
      <c r="EB189" s="16">
        <v>1</v>
      </c>
      <c r="EC189" s="16">
        <v>1</v>
      </c>
      <c r="ED189" s="16">
        <v>1</v>
      </c>
      <c r="EE189" s="16">
        <v>1</v>
      </c>
      <c r="EF189" s="16">
        <v>1</v>
      </c>
      <c r="EG189" s="16">
        <v>0</v>
      </c>
      <c r="EH189" s="16">
        <v>0</v>
      </c>
      <c r="EI189" s="16"/>
      <c r="EJ189" s="16" t="s">
        <v>697</v>
      </c>
      <c r="EK189" s="16">
        <v>1</v>
      </c>
      <c r="EL189" s="16">
        <v>1</v>
      </c>
      <c r="EM189" s="16">
        <v>1</v>
      </c>
      <c r="EN189" s="16">
        <v>1</v>
      </c>
      <c r="EO189" s="16">
        <v>1</v>
      </c>
      <c r="EP189" s="16">
        <v>1</v>
      </c>
      <c r="EQ189" s="16">
        <v>0</v>
      </c>
      <c r="ER189" s="16">
        <v>0</v>
      </c>
      <c r="ES189" s="16">
        <v>0</v>
      </c>
      <c r="ET189" s="16"/>
      <c r="EU189" s="16" t="s">
        <v>443</v>
      </c>
      <c r="EV189" s="16" t="s">
        <v>588</v>
      </c>
      <c r="EW189" s="16"/>
      <c r="EX189" s="16" t="s">
        <v>3150</v>
      </c>
      <c r="EY189" s="16">
        <v>1</v>
      </c>
      <c r="EZ189" s="16">
        <v>1</v>
      </c>
      <c r="FA189" s="16">
        <v>1</v>
      </c>
      <c r="FB189" s="16">
        <v>1</v>
      </c>
      <c r="FC189" s="16">
        <v>1</v>
      </c>
      <c r="FD189" s="16">
        <v>1</v>
      </c>
      <c r="FE189" s="16">
        <v>0</v>
      </c>
      <c r="FF189" s="16">
        <v>0</v>
      </c>
      <c r="FG189" s="16"/>
      <c r="FH189" s="16" t="s">
        <v>1398</v>
      </c>
      <c r="FI189" s="16">
        <v>1</v>
      </c>
      <c r="FJ189" s="16">
        <v>0</v>
      </c>
      <c r="FK189" s="16">
        <v>0</v>
      </c>
      <c r="FL189" s="16">
        <v>0</v>
      </c>
      <c r="FM189" s="16">
        <v>1</v>
      </c>
      <c r="FN189" s="16">
        <v>1</v>
      </c>
      <c r="FO189" s="16">
        <v>0</v>
      </c>
      <c r="FP189" s="16">
        <v>0</v>
      </c>
      <c r="FQ189" s="16">
        <v>0</v>
      </c>
      <c r="FR189" s="16">
        <v>0</v>
      </c>
      <c r="FS189" s="16"/>
      <c r="FT189" s="16" t="s">
        <v>556</v>
      </c>
      <c r="FU189" s="16" t="s">
        <v>448</v>
      </c>
      <c r="FV189" s="16"/>
      <c r="FW189" s="16" t="s">
        <v>449</v>
      </c>
      <c r="FX189" s="42" t="s">
        <v>450</v>
      </c>
      <c r="FY189" s="16" t="s">
        <v>451</v>
      </c>
      <c r="FZ189" s="16"/>
      <c r="GA189" s="16" t="s">
        <v>450</v>
      </c>
      <c r="GB189" s="16" t="s">
        <v>501</v>
      </c>
      <c r="GC189" s="16" t="s">
        <v>453</v>
      </c>
      <c r="GD189" s="16"/>
      <c r="GE189" s="16" t="s">
        <v>454</v>
      </c>
      <c r="GF189" s="16" t="s">
        <v>1176</v>
      </c>
      <c r="GG189" s="16" t="s">
        <v>456</v>
      </c>
      <c r="GH189" s="42" t="s">
        <v>3151</v>
      </c>
      <c r="GI189" s="16" t="s">
        <v>458</v>
      </c>
      <c r="GJ189" s="16" t="s">
        <v>3152</v>
      </c>
      <c r="GK189" s="16" t="s">
        <v>460</v>
      </c>
      <c r="GL189" s="16" t="s">
        <v>461</v>
      </c>
      <c r="GM189" s="16">
        <v>0</v>
      </c>
      <c r="GN189" s="16">
        <v>0</v>
      </c>
      <c r="GO189" s="16">
        <v>0</v>
      </c>
      <c r="GP189" s="16">
        <v>0</v>
      </c>
      <c r="GQ189" s="16">
        <v>0</v>
      </c>
      <c r="GR189" s="16">
        <v>1</v>
      </c>
      <c r="GS189" s="16">
        <v>0</v>
      </c>
      <c r="GT189" s="16"/>
      <c r="GU189" s="16" t="s">
        <v>534</v>
      </c>
      <c r="GV189" s="16" t="s">
        <v>595</v>
      </c>
      <c r="GW189" s="16" t="s">
        <v>464</v>
      </c>
      <c r="GX189" s="16">
        <v>1</v>
      </c>
      <c r="GY189" s="16">
        <v>0</v>
      </c>
      <c r="GZ189" s="16">
        <v>0</v>
      </c>
      <c r="HA189" s="16">
        <v>0</v>
      </c>
      <c r="HB189" s="16">
        <v>0</v>
      </c>
      <c r="HC189" s="16">
        <v>0</v>
      </c>
      <c r="HD189" s="16"/>
      <c r="HE189" s="16" t="s">
        <v>596</v>
      </c>
      <c r="HF189" s="16">
        <v>1</v>
      </c>
      <c r="HG189" s="16">
        <v>1</v>
      </c>
      <c r="HH189" s="16">
        <v>1</v>
      </c>
      <c r="HI189" s="16">
        <v>1</v>
      </c>
      <c r="HJ189" s="16">
        <v>0</v>
      </c>
      <c r="HK189" s="16">
        <v>0</v>
      </c>
      <c r="HL189" s="42"/>
      <c r="HM189" s="16" t="s">
        <v>505</v>
      </c>
      <c r="HN189" s="16"/>
      <c r="HO189" s="16" t="s">
        <v>3153</v>
      </c>
      <c r="HP189" s="16" t="s">
        <v>537</v>
      </c>
      <c r="HQ189" s="16" t="s">
        <v>1283</v>
      </c>
      <c r="HR189" s="16" t="s">
        <v>3154</v>
      </c>
      <c r="HS189" s="16" t="s">
        <v>3155</v>
      </c>
      <c r="HT189" s="16">
        <v>1</v>
      </c>
      <c r="HU189" s="16">
        <v>0</v>
      </c>
      <c r="HV189" s="16">
        <v>1</v>
      </c>
      <c r="HW189" s="16">
        <v>0</v>
      </c>
      <c r="HX189" s="16">
        <v>1</v>
      </c>
      <c r="HY189" s="16">
        <v>1</v>
      </c>
      <c r="HZ189" s="16"/>
      <c r="IA189" s="16" t="s">
        <v>798</v>
      </c>
      <c r="IB189" s="16">
        <v>1</v>
      </c>
      <c r="IC189" s="16">
        <v>1</v>
      </c>
      <c r="ID189" s="16">
        <v>1</v>
      </c>
      <c r="IE189" s="16">
        <v>1</v>
      </c>
      <c r="IF189" s="16">
        <v>1</v>
      </c>
      <c r="IG189" s="16">
        <v>0</v>
      </c>
      <c r="IH189" s="42" t="s">
        <v>3156</v>
      </c>
      <c r="II189" s="16" t="s">
        <v>426</v>
      </c>
      <c r="IJ189" s="16" t="s">
        <v>602</v>
      </c>
      <c r="IK189" s="16">
        <v>1</v>
      </c>
      <c r="IL189" s="16">
        <v>1</v>
      </c>
      <c r="IM189" s="16">
        <v>0</v>
      </c>
      <c r="IN189" s="16"/>
      <c r="IO189" s="16" t="s">
        <v>473</v>
      </c>
      <c r="IP189" s="16">
        <v>1</v>
      </c>
      <c r="IQ189" s="16">
        <v>0</v>
      </c>
      <c r="IR189" s="16">
        <v>0</v>
      </c>
      <c r="IS189" s="16">
        <v>0</v>
      </c>
      <c r="IT189" s="16">
        <v>0</v>
      </c>
      <c r="IU189" s="16">
        <v>0</v>
      </c>
      <c r="IV189" s="16"/>
      <c r="IW189" s="16" t="s">
        <v>426</v>
      </c>
      <c r="IX189" s="16">
        <v>1</v>
      </c>
      <c r="IY189" s="16" t="s">
        <v>474</v>
      </c>
      <c r="IZ189" s="16" t="s">
        <v>475</v>
      </c>
      <c r="JA189" s="16" t="s">
        <v>426</v>
      </c>
      <c r="JB189" s="16" t="s">
        <v>476</v>
      </c>
      <c r="JC189" s="16"/>
      <c r="JD189" s="16"/>
      <c r="JE189" s="16"/>
      <c r="JF189" s="16"/>
      <c r="JG189" s="16"/>
      <c r="JH189" s="16"/>
      <c r="JI189" s="16"/>
      <c r="JJ189" s="16"/>
      <c r="JK189" s="16" t="s">
        <v>426</v>
      </c>
      <c r="JL189" s="16" t="s">
        <v>426</v>
      </c>
      <c r="JM189" s="16"/>
      <c r="JN189" s="16"/>
      <c r="JO189" s="16"/>
      <c r="JP189" s="16"/>
      <c r="JQ189" s="16"/>
      <c r="JR189" s="16"/>
      <c r="JS189" s="16"/>
      <c r="JT189" s="16"/>
      <c r="JU189" s="16" t="s">
        <v>895</v>
      </c>
      <c r="JV189" s="42" t="s">
        <v>1422</v>
      </c>
      <c r="JW189" s="95" t="s">
        <v>3157</v>
      </c>
      <c r="JX189" s="16" t="s">
        <v>3158</v>
      </c>
      <c r="JY189" s="16">
        <v>0.8317702</v>
      </c>
      <c r="JZ189" s="16">
        <v>34.8653551</v>
      </c>
      <c r="KA189" s="16">
        <v>1728.8</v>
      </c>
      <c r="KB189" s="42">
        <v>4.74</v>
      </c>
      <c r="KC189" s="42"/>
    </row>
    <row r="190" spans="1:289">
      <c r="A190" s="6" t="s">
        <v>2115</v>
      </c>
      <c r="B190" s="6" t="s">
        <v>2503</v>
      </c>
      <c r="C190" s="7" t="s">
        <v>2504</v>
      </c>
      <c r="D190" s="6" t="s">
        <v>3161</v>
      </c>
      <c r="E190" s="6" t="s">
        <v>3162</v>
      </c>
      <c r="F190" s="8" t="s">
        <v>483</v>
      </c>
      <c r="G190" s="6" t="s">
        <v>567</v>
      </c>
      <c r="H190" s="6" t="s">
        <v>425</v>
      </c>
      <c r="I190" s="15"/>
      <c r="J190" s="6" t="s">
        <v>426</v>
      </c>
      <c r="K190" s="6" t="s">
        <v>426</v>
      </c>
      <c r="L190" s="6" t="s">
        <v>426</v>
      </c>
      <c r="M190" s="6" t="s">
        <v>426</v>
      </c>
      <c r="N190" s="6" t="s">
        <v>426</v>
      </c>
      <c r="O190" s="6" t="s">
        <v>426</v>
      </c>
      <c r="P190" s="6" t="s">
        <v>426</v>
      </c>
      <c r="Q190" s="6" t="s">
        <v>426</v>
      </c>
      <c r="R190" s="6" t="s">
        <v>426</v>
      </c>
      <c r="S190" s="6" t="s">
        <v>426</v>
      </c>
      <c r="T190" s="6" t="s">
        <v>426</v>
      </c>
      <c r="U190" s="6" t="s">
        <v>426</v>
      </c>
      <c r="V190" s="6" t="s">
        <v>426</v>
      </c>
      <c r="W190" s="6" t="s">
        <v>426</v>
      </c>
      <c r="X190" s="6" t="s">
        <v>426</v>
      </c>
      <c r="Y190" s="6" t="s">
        <v>426</v>
      </c>
      <c r="Z190" s="6" t="s">
        <v>426</v>
      </c>
      <c r="AA190" s="6" t="s">
        <v>426</v>
      </c>
      <c r="AB190" s="6" t="s">
        <v>426</v>
      </c>
      <c r="AC190" s="15" t="s">
        <v>426</v>
      </c>
      <c r="AD190" s="6" t="s">
        <v>427</v>
      </c>
      <c r="AE190" s="6">
        <v>0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0</v>
      </c>
      <c r="AL190" s="6">
        <v>0</v>
      </c>
      <c r="AM190" s="6"/>
      <c r="AN190" s="15"/>
      <c r="AO190" s="6" t="s">
        <v>426</v>
      </c>
      <c r="AP190" s="6" t="s">
        <v>683</v>
      </c>
      <c r="AQ190" s="6" t="s">
        <v>426</v>
      </c>
      <c r="AR190" s="6" t="s">
        <v>920</v>
      </c>
      <c r="AS190" s="6" t="s">
        <v>426</v>
      </c>
      <c r="AT190" s="6">
        <v>1</v>
      </c>
      <c r="AU190" s="6" t="s">
        <v>426</v>
      </c>
      <c r="AV190" s="6">
        <v>1</v>
      </c>
      <c r="AW190" s="6" t="s">
        <v>426</v>
      </c>
      <c r="AX190" s="6">
        <v>1</v>
      </c>
      <c r="AY190" s="6" t="s">
        <v>426</v>
      </c>
      <c r="AZ190" s="6">
        <v>2</v>
      </c>
      <c r="BA190" s="6" t="s">
        <v>426</v>
      </c>
      <c r="BB190" s="6">
        <v>0.5</v>
      </c>
      <c r="BC190" s="6" t="s">
        <v>426</v>
      </c>
      <c r="BD190" s="6">
        <v>0.5</v>
      </c>
      <c r="BE190" s="6" t="s">
        <v>426</v>
      </c>
      <c r="BF190" s="6">
        <v>3</v>
      </c>
      <c r="BG190" s="6" t="s">
        <v>426</v>
      </c>
      <c r="BH190" s="6">
        <v>2.5</v>
      </c>
      <c r="BI190" s="6" t="s">
        <v>426</v>
      </c>
      <c r="BJ190" s="6">
        <v>1</v>
      </c>
      <c r="BK190" s="6" t="s">
        <v>426</v>
      </c>
      <c r="BL190" s="6">
        <v>0.5</v>
      </c>
      <c r="BM190" s="6" t="s">
        <v>426</v>
      </c>
      <c r="BN190" s="6">
        <v>70</v>
      </c>
      <c r="BO190" s="6" t="s">
        <v>426</v>
      </c>
      <c r="BP190" s="6">
        <v>0.5</v>
      </c>
      <c r="BQ190" s="6" t="s">
        <v>426</v>
      </c>
      <c r="BR190" s="6">
        <v>200</v>
      </c>
      <c r="BS190" s="6" t="s">
        <v>426</v>
      </c>
      <c r="BT190" s="6">
        <v>1</v>
      </c>
      <c r="BU190" s="6" t="s">
        <v>426</v>
      </c>
      <c r="BV190" s="15">
        <v>0.5</v>
      </c>
      <c r="BW190" s="15" t="s">
        <v>1819</v>
      </c>
      <c r="BX190" s="15" t="s">
        <v>485</v>
      </c>
      <c r="BY190" s="6" t="s">
        <v>430</v>
      </c>
      <c r="BZ190" s="6" t="s">
        <v>430</v>
      </c>
      <c r="CA190" s="6" t="s">
        <v>430</v>
      </c>
      <c r="CB190" s="6" t="s">
        <v>430</v>
      </c>
      <c r="CC190" s="6" t="s">
        <v>430</v>
      </c>
      <c r="CD190" s="6" t="s">
        <v>430</v>
      </c>
      <c r="CE190" s="6" t="s">
        <v>430</v>
      </c>
      <c r="CF190" s="6" t="s">
        <v>430</v>
      </c>
      <c r="CG190" s="6" t="s">
        <v>430</v>
      </c>
      <c r="CH190" s="6" t="s">
        <v>430</v>
      </c>
      <c r="CI190" s="6" t="s">
        <v>430</v>
      </c>
      <c r="CJ190" s="6" t="s">
        <v>430</v>
      </c>
      <c r="CK190" s="6" t="s">
        <v>430</v>
      </c>
      <c r="CL190" s="6" t="s">
        <v>430</v>
      </c>
      <c r="CM190" s="6" t="s">
        <v>430</v>
      </c>
      <c r="CN190" s="6" t="s">
        <v>430</v>
      </c>
      <c r="CO190" s="15" t="s">
        <v>430</v>
      </c>
      <c r="CP190" s="15" t="s">
        <v>432</v>
      </c>
      <c r="CQ190" s="6" t="s">
        <v>433</v>
      </c>
      <c r="CR190" s="15"/>
      <c r="CS190" s="6" t="s">
        <v>426</v>
      </c>
      <c r="CT190" s="6" t="s">
        <v>2441</v>
      </c>
      <c r="CU190" s="6" t="s">
        <v>688</v>
      </c>
      <c r="CV190" s="6" t="s">
        <v>688</v>
      </c>
      <c r="CW190" s="6" t="s">
        <v>1305</v>
      </c>
      <c r="CX190" s="15" t="s">
        <v>426</v>
      </c>
      <c r="CY190" s="6" t="s">
        <v>426</v>
      </c>
      <c r="CZ190" s="6" t="s">
        <v>2441</v>
      </c>
      <c r="DA190" s="6" t="s">
        <v>660</v>
      </c>
      <c r="DB190" s="6" t="s">
        <v>868</v>
      </c>
      <c r="DC190" s="6" t="s">
        <v>660</v>
      </c>
      <c r="DD190" s="15" t="s">
        <v>1088</v>
      </c>
      <c r="DE190" s="15" t="s">
        <v>436</v>
      </c>
      <c r="DF190" s="6" t="s">
        <v>437</v>
      </c>
      <c r="DG190" s="6">
        <v>1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/>
      <c r="DN190" s="6"/>
      <c r="DO190" s="6"/>
      <c r="DP190" s="6"/>
      <c r="DQ190" s="6"/>
      <c r="DR190" s="6"/>
      <c r="DS190" s="6"/>
      <c r="DT190" s="66"/>
      <c r="DU190" s="6" t="s">
        <v>438</v>
      </c>
      <c r="DV190" s="6" t="s">
        <v>426</v>
      </c>
      <c r="DW190" s="6" t="s">
        <v>439</v>
      </c>
      <c r="DX190" s="6" t="s">
        <v>440</v>
      </c>
      <c r="DY190" s="6"/>
      <c r="DZ190" s="6" t="s">
        <v>441</v>
      </c>
      <c r="EA190" s="6">
        <v>1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/>
      <c r="EJ190" s="6" t="s">
        <v>811</v>
      </c>
      <c r="EK190" s="6">
        <v>1</v>
      </c>
      <c r="EL190" s="6">
        <v>0</v>
      </c>
      <c r="EM190" s="6">
        <v>0</v>
      </c>
      <c r="EN190" s="6">
        <v>0</v>
      </c>
      <c r="EO190" s="6">
        <v>0</v>
      </c>
      <c r="EP190" s="6">
        <v>0</v>
      </c>
      <c r="EQ190" s="6">
        <v>0</v>
      </c>
      <c r="ER190" s="6">
        <v>0</v>
      </c>
      <c r="ES190" s="6">
        <v>0</v>
      </c>
      <c r="ET190" s="6"/>
      <c r="EU190" s="6" t="s">
        <v>443</v>
      </c>
      <c r="EV190" s="6" t="s">
        <v>616</v>
      </c>
      <c r="EW190" s="6"/>
      <c r="EX190" s="6" t="s">
        <v>1123</v>
      </c>
      <c r="EY190" s="6">
        <v>1</v>
      </c>
      <c r="EZ190" s="6">
        <v>0</v>
      </c>
      <c r="FA190" s="6">
        <v>0</v>
      </c>
      <c r="FB190" s="6">
        <v>0</v>
      </c>
      <c r="FC190" s="6">
        <v>0</v>
      </c>
      <c r="FD190" s="6">
        <v>0</v>
      </c>
      <c r="FE190" s="6">
        <v>0</v>
      </c>
      <c r="FF190" s="6">
        <v>0</v>
      </c>
      <c r="FG190" s="6"/>
      <c r="FH190" s="6" t="s">
        <v>1243</v>
      </c>
      <c r="FI190" s="6">
        <v>0</v>
      </c>
      <c r="FJ190" s="6">
        <v>0</v>
      </c>
      <c r="FK190" s="6">
        <v>1</v>
      </c>
      <c r="FL190" s="6">
        <v>0</v>
      </c>
      <c r="FM190" s="6">
        <v>0</v>
      </c>
      <c r="FN190" s="6">
        <v>0</v>
      </c>
      <c r="FO190" s="6">
        <v>0</v>
      </c>
      <c r="FP190" s="6">
        <v>0</v>
      </c>
      <c r="FQ190" s="6">
        <v>0</v>
      </c>
      <c r="FR190" s="6">
        <v>0</v>
      </c>
      <c r="FS190" s="6"/>
      <c r="FT190" s="6" t="s">
        <v>447</v>
      </c>
      <c r="FU190" s="6" t="s">
        <v>499</v>
      </c>
      <c r="FV190" s="6"/>
      <c r="FW190" s="6" t="s">
        <v>449</v>
      </c>
      <c r="FX190" s="15" t="s">
        <v>450</v>
      </c>
      <c r="FY190" s="6" t="s">
        <v>619</v>
      </c>
      <c r="FZ190" s="6"/>
      <c r="GA190" s="6" t="s">
        <v>450</v>
      </c>
      <c r="GB190" s="6" t="s">
        <v>501</v>
      </c>
      <c r="GC190" s="6" t="s">
        <v>453</v>
      </c>
      <c r="GD190" s="6"/>
      <c r="GE190" s="6" t="s">
        <v>454</v>
      </c>
      <c r="GF190" s="6" t="s">
        <v>1074</v>
      </c>
      <c r="GG190" s="6" t="s">
        <v>456</v>
      </c>
      <c r="GH190" s="15" t="s">
        <v>1074</v>
      </c>
      <c r="GI190" s="6" t="s">
        <v>458</v>
      </c>
      <c r="GJ190" s="6" t="s">
        <v>2122</v>
      </c>
      <c r="GK190" s="6" t="s">
        <v>460</v>
      </c>
      <c r="GL190" s="6" t="s">
        <v>461</v>
      </c>
      <c r="GM190" s="6">
        <v>0</v>
      </c>
      <c r="GN190" s="6">
        <v>0</v>
      </c>
      <c r="GO190" s="6">
        <v>0</v>
      </c>
      <c r="GP190" s="6">
        <v>0</v>
      </c>
      <c r="GQ190" s="6">
        <v>0</v>
      </c>
      <c r="GR190" s="6">
        <v>1</v>
      </c>
      <c r="GS190" s="6">
        <v>0</v>
      </c>
      <c r="GT190" s="6"/>
      <c r="GU190" s="6" t="s">
        <v>534</v>
      </c>
      <c r="GV190" s="6" t="s">
        <v>595</v>
      </c>
      <c r="GW190" s="6" t="s">
        <v>464</v>
      </c>
      <c r="GX190" s="6">
        <v>1</v>
      </c>
      <c r="GY190" s="6">
        <v>0</v>
      </c>
      <c r="GZ190" s="6">
        <v>0</v>
      </c>
      <c r="HA190" s="6">
        <v>0</v>
      </c>
      <c r="HB190" s="6">
        <v>0</v>
      </c>
      <c r="HC190" s="6">
        <v>0</v>
      </c>
      <c r="HD190" s="6"/>
      <c r="HE190" s="6" t="s">
        <v>111</v>
      </c>
      <c r="HF190" s="6">
        <v>0</v>
      </c>
      <c r="HG190" s="6">
        <v>0</v>
      </c>
      <c r="HH190" s="6">
        <v>0</v>
      </c>
      <c r="HI190" s="6">
        <v>1</v>
      </c>
      <c r="HJ190" s="6">
        <v>0</v>
      </c>
      <c r="HK190" s="6">
        <v>0</v>
      </c>
      <c r="HL190" s="15"/>
      <c r="HM190" s="6" t="s">
        <v>505</v>
      </c>
      <c r="HN190" s="6"/>
      <c r="HO190" s="6" t="s">
        <v>3163</v>
      </c>
      <c r="HP190" s="6" t="s">
        <v>561</v>
      </c>
      <c r="HQ190" s="6"/>
      <c r="HR190" s="6" t="s">
        <v>2552</v>
      </c>
      <c r="HS190" s="6" t="s">
        <v>540</v>
      </c>
      <c r="HT190" s="6">
        <v>1</v>
      </c>
      <c r="HU190" s="6">
        <v>0</v>
      </c>
      <c r="HV190" s="6">
        <v>0</v>
      </c>
      <c r="HW190" s="6">
        <v>0</v>
      </c>
      <c r="HX190" s="6">
        <v>0</v>
      </c>
      <c r="HY190" s="6">
        <v>0</v>
      </c>
      <c r="HZ190" s="6"/>
      <c r="IA190" s="6" t="s">
        <v>112</v>
      </c>
      <c r="IB190" s="6">
        <v>0</v>
      </c>
      <c r="IC190" s="6">
        <v>1</v>
      </c>
      <c r="ID190" s="6">
        <v>0</v>
      </c>
      <c r="IE190" s="6">
        <v>0</v>
      </c>
      <c r="IF190" s="6">
        <v>0</v>
      </c>
      <c r="IG190" s="6">
        <v>0</v>
      </c>
      <c r="IH190" s="15" t="s">
        <v>3164</v>
      </c>
      <c r="II190" s="6" t="s">
        <v>426</v>
      </c>
      <c r="IJ190" s="6" t="s">
        <v>602</v>
      </c>
      <c r="IK190" s="6">
        <v>1</v>
      </c>
      <c r="IL190" s="6">
        <v>1</v>
      </c>
      <c r="IM190" s="6">
        <v>0</v>
      </c>
      <c r="IN190" s="6"/>
      <c r="IO190" s="6" t="s">
        <v>473</v>
      </c>
      <c r="IP190" s="6">
        <v>1</v>
      </c>
      <c r="IQ190" s="6">
        <v>0</v>
      </c>
      <c r="IR190" s="6">
        <v>0</v>
      </c>
      <c r="IS190" s="6">
        <v>0</v>
      </c>
      <c r="IT190" s="6">
        <v>0</v>
      </c>
      <c r="IU190" s="6">
        <v>0</v>
      </c>
      <c r="IV190" s="6"/>
      <c r="IW190" s="6" t="s">
        <v>426</v>
      </c>
      <c r="IX190" s="6">
        <v>1</v>
      </c>
      <c r="IY190" s="6" t="s">
        <v>474</v>
      </c>
      <c r="IZ190" s="6" t="s">
        <v>475</v>
      </c>
      <c r="JA190" s="6" t="s">
        <v>426</v>
      </c>
      <c r="JB190" s="6" t="s">
        <v>476</v>
      </c>
      <c r="JC190" s="6"/>
      <c r="JD190" s="6"/>
      <c r="JE190" s="6"/>
      <c r="JF190" s="6"/>
      <c r="JG190" s="6"/>
      <c r="JH190" s="6"/>
      <c r="JI190" s="6"/>
      <c r="JJ190" s="6"/>
      <c r="JK190" s="6" t="s">
        <v>426</v>
      </c>
      <c r="JL190" s="6" t="s">
        <v>453</v>
      </c>
      <c r="JM190" s="6" t="s">
        <v>913</v>
      </c>
      <c r="JN190" s="6">
        <v>1</v>
      </c>
      <c r="JO190" s="6">
        <v>0</v>
      </c>
      <c r="JP190" s="6">
        <v>0</v>
      </c>
      <c r="JQ190" s="6">
        <v>0</v>
      </c>
      <c r="JR190" s="6">
        <v>0</v>
      </c>
      <c r="JS190" s="6">
        <v>0</v>
      </c>
      <c r="JT190" s="6"/>
      <c r="JU190" s="6" t="s">
        <v>544</v>
      </c>
      <c r="JV190" s="15"/>
      <c r="JW190" s="94" t="s">
        <v>3165</v>
      </c>
      <c r="JX190" s="6" t="s">
        <v>3166</v>
      </c>
      <c r="JY190" s="6">
        <v>0.8316251</v>
      </c>
      <c r="JZ190" s="6">
        <v>34.8653843</v>
      </c>
      <c r="KA190" s="6">
        <v>1763.351</v>
      </c>
      <c r="KB190" s="15">
        <v>2.31</v>
      </c>
      <c r="KC190" s="15"/>
    </row>
    <row r="191" spans="1:289">
      <c r="A191" s="6" t="s">
        <v>480</v>
      </c>
      <c r="B191" s="6" t="s">
        <v>2503</v>
      </c>
      <c r="C191" s="7" t="s">
        <v>2504</v>
      </c>
      <c r="D191" s="6" t="s">
        <v>2706</v>
      </c>
      <c r="E191" s="6" t="s">
        <v>3167</v>
      </c>
      <c r="F191" s="8" t="s">
        <v>483</v>
      </c>
      <c r="G191" s="6" t="s">
        <v>567</v>
      </c>
      <c r="H191" s="6" t="s">
        <v>425</v>
      </c>
      <c r="I191" s="15"/>
      <c r="J191" s="6" t="s">
        <v>426</v>
      </c>
      <c r="K191" s="6" t="s">
        <v>426</v>
      </c>
      <c r="L191" s="6" t="s">
        <v>426</v>
      </c>
      <c r="M191" s="6" t="s">
        <v>426</v>
      </c>
      <c r="N191" s="6" t="s">
        <v>426</v>
      </c>
      <c r="O191" s="6" t="s">
        <v>426</v>
      </c>
      <c r="P191" s="6" t="s">
        <v>426</v>
      </c>
      <c r="Q191" s="6" t="s">
        <v>426</v>
      </c>
      <c r="R191" s="6" t="s">
        <v>426</v>
      </c>
      <c r="S191" s="6" t="s">
        <v>426</v>
      </c>
      <c r="T191" s="6" t="s">
        <v>426</v>
      </c>
      <c r="U191" s="6" t="s">
        <v>426</v>
      </c>
      <c r="V191" s="6" t="s">
        <v>426</v>
      </c>
      <c r="W191" s="6" t="s">
        <v>426</v>
      </c>
      <c r="X191" s="6" t="s">
        <v>426</v>
      </c>
      <c r="Y191" s="6" t="s">
        <v>426</v>
      </c>
      <c r="Z191" s="6" t="s">
        <v>426</v>
      </c>
      <c r="AA191" s="6" t="s">
        <v>426</v>
      </c>
      <c r="AB191" s="6" t="s">
        <v>426</v>
      </c>
      <c r="AC191" s="15" t="s">
        <v>426</v>
      </c>
      <c r="AD191" s="6" t="s">
        <v>427</v>
      </c>
      <c r="AE191" s="6">
        <v>0</v>
      </c>
      <c r="AF191" s="6">
        <v>0</v>
      </c>
      <c r="AG191" s="6">
        <v>0</v>
      </c>
      <c r="AH191" s="6">
        <v>1</v>
      </c>
      <c r="AI191" s="6">
        <v>0</v>
      </c>
      <c r="AJ191" s="6">
        <v>0</v>
      </c>
      <c r="AK191" s="6">
        <v>0</v>
      </c>
      <c r="AL191" s="6">
        <v>0</v>
      </c>
      <c r="AM191" s="6"/>
      <c r="AN191" s="15"/>
      <c r="AO191" s="6" t="s">
        <v>426</v>
      </c>
      <c r="AP191" s="6" t="s">
        <v>901</v>
      </c>
      <c r="AQ191" s="6" t="s">
        <v>426</v>
      </c>
      <c r="AR191" s="6" t="s">
        <v>656</v>
      </c>
      <c r="AS191" s="6" t="s">
        <v>426</v>
      </c>
      <c r="AT191" s="6">
        <v>1</v>
      </c>
      <c r="AU191" s="6" t="s">
        <v>426</v>
      </c>
      <c r="AV191" s="6">
        <v>0.2</v>
      </c>
      <c r="AW191" s="6" t="s">
        <v>426</v>
      </c>
      <c r="AX191" s="6">
        <v>1</v>
      </c>
      <c r="AY191" s="6" t="s">
        <v>426</v>
      </c>
      <c r="AZ191" s="6">
        <v>1</v>
      </c>
      <c r="BA191" s="6" t="s">
        <v>426</v>
      </c>
      <c r="BB191" s="6">
        <v>0.4</v>
      </c>
      <c r="BC191" s="6" t="s">
        <v>426</v>
      </c>
      <c r="BD191" s="6">
        <v>1</v>
      </c>
      <c r="BE191" s="6" t="s">
        <v>453</v>
      </c>
      <c r="BF191" s="6"/>
      <c r="BG191" s="6" t="s">
        <v>426</v>
      </c>
      <c r="BH191" s="6">
        <v>0.4</v>
      </c>
      <c r="BI191" s="6" t="s">
        <v>426</v>
      </c>
      <c r="BJ191" s="6">
        <v>0.2</v>
      </c>
      <c r="BK191" s="6" t="s">
        <v>426</v>
      </c>
      <c r="BL191" s="6">
        <v>0.4</v>
      </c>
      <c r="BM191" s="6" t="s">
        <v>426</v>
      </c>
      <c r="BN191" s="6">
        <v>20</v>
      </c>
      <c r="BO191" s="6" t="s">
        <v>426</v>
      </c>
      <c r="BP191" s="6">
        <v>0.2</v>
      </c>
      <c r="BQ191" s="6" t="s">
        <v>426</v>
      </c>
      <c r="BR191" s="6">
        <v>70</v>
      </c>
      <c r="BS191" s="6" t="s">
        <v>426</v>
      </c>
      <c r="BT191" s="6">
        <v>3</v>
      </c>
      <c r="BU191" s="6" t="s">
        <v>426</v>
      </c>
      <c r="BV191" s="15">
        <v>1</v>
      </c>
      <c r="BW191" s="15" t="s">
        <v>1689</v>
      </c>
      <c r="BX191" s="15" t="s">
        <v>786</v>
      </c>
      <c r="BY191" s="6" t="s">
        <v>430</v>
      </c>
      <c r="BZ191" s="6" t="s">
        <v>430</v>
      </c>
      <c r="CA191" s="6" t="s">
        <v>430</v>
      </c>
      <c r="CB191" s="6" t="s">
        <v>430</v>
      </c>
      <c r="CC191" s="6" t="s">
        <v>430</v>
      </c>
      <c r="CD191" s="6" t="s">
        <v>430</v>
      </c>
      <c r="CE191" s="6" t="s">
        <v>430</v>
      </c>
      <c r="CF191" s="6" t="s">
        <v>430</v>
      </c>
      <c r="CG191" s="6" t="s">
        <v>487</v>
      </c>
      <c r="CH191" s="6" t="s">
        <v>486</v>
      </c>
      <c r="CI191" s="6" t="s">
        <v>430</v>
      </c>
      <c r="CJ191" s="6" t="s">
        <v>430</v>
      </c>
      <c r="CK191" s="6" t="s">
        <v>430</v>
      </c>
      <c r="CL191" s="6" t="s">
        <v>430</v>
      </c>
      <c r="CM191" s="6" t="s">
        <v>430</v>
      </c>
      <c r="CN191" s="6" t="s">
        <v>430</v>
      </c>
      <c r="CO191" s="15" t="s">
        <v>430</v>
      </c>
      <c r="CP191" s="15" t="s">
        <v>432</v>
      </c>
      <c r="CQ191" s="6" t="s">
        <v>433</v>
      </c>
      <c r="CR191" s="15"/>
      <c r="CS191" s="6" t="s">
        <v>453</v>
      </c>
      <c r="CT191" s="6"/>
      <c r="CU191" s="6"/>
      <c r="CV191" s="6"/>
      <c r="CW191" s="6"/>
      <c r="CX191" s="15" t="s">
        <v>453</v>
      </c>
      <c r="CY191" s="6"/>
      <c r="CZ191" s="6"/>
      <c r="DA191" s="6"/>
      <c r="DB191" s="6"/>
      <c r="DC191" s="6"/>
      <c r="DD191" s="15"/>
      <c r="DE191" s="15" t="s">
        <v>436</v>
      </c>
      <c r="DF191" s="6" t="s">
        <v>3168</v>
      </c>
      <c r="DG191" s="6">
        <v>1</v>
      </c>
      <c r="DH191" s="6">
        <v>1</v>
      </c>
      <c r="DI191" s="6">
        <v>1</v>
      </c>
      <c r="DJ191" s="6">
        <v>1</v>
      </c>
      <c r="DK191" s="6">
        <v>1</v>
      </c>
      <c r="DL191" s="6">
        <v>0</v>
      </c>
      <c r="DM191" s="6"/>
      <c r="DN191" s="6"/>
      <c r="DO191" s="6"/>
      <c r="DP191" s="6"/>
      <c r="DQ191" s="6"/>
      <c r="DR191" s="6"/>
      <c r="DS191" s="6"/>
      <c r="DT191" s="66"/>
      <c r="DU191" s="6" t="s">
        <v>438</v>
      </c>
      <c r="DV191" s="6" t="s">
        <v>426</v>
      </c>
      <c r="DW191" s="6" t="s">
        <v>439</v>
      </c>
      <c r="DX191" s="6" t="s">
        <v>440</v>
      </c>
      <c r="DY191" s="6"/>
      <c r="DZ191" s="6" t="s">
        <v>810</v>
      </c>
      <c r="EA191" s="6">
        <v>0</v>
      </c>
      <c r="EB191" s="6">
        <v>1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/>
      <c r="EJ191" s="6" t="s">
        <v>811</v>
      </c>
      <c r="EK191" s="6">
        <v>1</v>
      </c>
      <c r="EL191" s="6">
        <v>0</v>
      </c>
      <c r="EM191" s="6">
        <v>0</v>
      </c>
      <c r="EN191" s="6">
        <v>0</v>
      </c>
      <c r="EO191" s="6">
        <v>0</v>
      </c>
      <c r="EP191" s="6">
        <v>0</v>
      </c>
      <c r="EQ191" s="6">
        <v>0</v>
      </c>
      <c r="ER191" s="6">
        <v>0</v>
      </c>
      <c r="ES191" s="6">
        <v>0</v>
      </c>
      <c r="ET191" s="6"/>
      <c r="EU191" s="6" t="s">
        <v>443</v>
      </c>
      <c r="EV191" s="6" t="s">
        <v>495</v>
      </c>
      <c r="EW191" s="6"/>
      <c r="EX191" s="6" t="s">
        <v>2015</v>
      </c>
      <c r="EY191" s="6">
        <v>1</v>
      </c>
      <c r="EZ191" s="6">
        <v>0</v>
      </c>
      <c r="FA191" s="6">
        <v>1</v>
      </c>
      <c r="FB191" s="6">
        <v>1</v>
      </c>
      <c r="FC191" s="6">
        <v>0</v>
      </c>
      <c r="FD191" s="6">
        <v>0</v>
      </c>
      <c r="FE191" s="6">
        <v>0</v>
      </c>
      <c r="FF191" s="6">
        <v>0</v>
      </c>
      <c r="FG191" s="6"/>
      <c r="FH191" s="6" t="s">
        <v>3169</v>
      </c>
      <c r="FI191" s="6">
        <v>1</v>
      </c>
      <c r="FJ191" s="6">
        <v>0</v>
      </c>
      <c r="FK191" s="6">
        <v>1</v>
      </c>
      <c r="FL191" s="6">
        <v>0</v>
      </c>
      <c r="FM191" s="6">
        <v>0</v>
      </c>
      <c r="FN191" s="6">
        <v>0</v>
      </c>
      <c r="FO191" s="6">
        <v>0</v>
      </c>
      <c r="FP191" s="6">
        <v>0</v>
      </c>
      <c r="FQ191" s="6">
        <v>1</v>
      </c>
      <c r="FR191" s="6">
        <v>0</v>
      </c>
      <c r="FS191" s="6"/>
      <c r="FT191" s="6" t="s">
        <v>556</v>
      </c>
      <c r="FU191" s="6" t="s">
        <v>499</v>
      </c>
      <c r="FV191" s="6"/>
      <c r="FW191" s="6" t="s">
        <v>449</v>
      </c>
      <c r="FX191" s="15" t="s">
        <v>450</v>
      </c>
      <c r="FY191" s="6" t="s">
        <v>500</v>
      </c>
      <c r="FZ191" s="6"/>
      <c r="GA191" s="6" t="s">
        <v>450</v>
      </c>
      <c r="GB191" s="6" t="s">
        <v>501</v>
      </c>
      <c r="GC191" s="6" t="s">
        <v>453</v>
      </c>
      <c r="GD191" s="6"/>
      <c r="GE191" s="6" t="s">
        <v>454</v>
      </c>
      <c r="GF191" s="6" t="s">
        <v>3170</v>
      </c>
      <c r="GG191" s="6" t="s">
        <v>456</v>
      </c>
      <c r="GH191" s="15" t="s">
        <v>3171</v>
      </c>
      <c r="GI191" s="6" t="s">
        <v>458</v>
      </c>
      <c r="GJ191" s="6" t="s">
        <v>3172</v>
      </c>
      <c r="GK191" s="6" t="s">
        <v>460</v>
      </c>
      <c r="GL191" s="6" t="s">
        <v>461</v>
      </c>
      <c r="GM191" s="6">
        <v>0</v>
      </c>
      <c r="GN191" s="6">
        <v>0</v>
      </c>
      <c r="GO191" s="6">
        <v>0</v>
      </c>
      <c r="GP191" s="6">
        <v>0</v>
      </c>
      <c r="GQ191" s="6">
        <v>0</v>
      </c>
      <c r="GR191" s="6">
        <v>1</v>
      </c>
      <c r="GS191" s="6">
        <v>0</v>
      </c>
      <c r="GT191" s="6"/>
      <c r="GU191" s="6" t="s">
        <v>534</v>
      </c>
      <c r="GV191" s="6" t="s">
        <v>595</v>
      </c>
      <c r="GW191" s="6" t="s">
        <v>1529</v>
      </c>
      <c r="GX191" s="6">
        <v>1</v>
      </c>
      <c r="GY191" s="6">
        <v>0</v>
      </c>
      <c r="GZ191" s="6">
        <v>1</v>
      </c>
      <c r="HA191" s="6">
        <v>1</v>
      </c>
      <c r="HB191" s="6">
        <v>0</v>
      </c>
      <c r="HC191" s="6">
        <v>0</v>
      </c>
      <c r="HD191" s="6"/>
      <c r="HE191" s="6" t="s">
        <v>3173</v>
      </c>
      <c r="HF191" s="6">
        <v>0</v>
      </c>
      <c r="HG191" s="6">
        <v>0</v>
      </c>
      <c r="HH191" s="6">
        <v>1</v>
      </c>
      <c r="HI191" s="6">
        <v>1</v>
      </c>
      <c r="HJ191" s="6">
        <v>1</v>
      </c>
      <c r="HK191" s="6">
        <v>0</v>
      </c>
      <c r="HL191" s="15"/>
      <c r="HM191" s="6" t="s">
        <v>676</v>
      </c>
      <c r="HN191" s="6"/>
      <c r="HO191" s="6" t="s">
        <v>3174</v>
      </c>
      <c r="HP191" s="6" t="s">
        <v>561</v>
      </c>
      <c r="HQ191" s="6"/>
      <c r="HR191" s="6" t="s">
        <v>3175</v>
      </c>
      <c r="HS191" s="6" t="s">
        <v>3176</v>
      </c>
      <c r="HT191" s="6">
        <v>1</v>
      </c>
      <c r="HU191" s="6">
        <v>0</v>
      </c>
      <c r="HV191" s="6">
        <v>1</v>
      </c>
      <c r="HW191" s="6">
        <v>0</v>
      </c>
      <c r="HX191" s="6">
        <v>1</v>
      </c>
      <c r="HY191" s="6">
        <v>1</v>
      </c>
      <c r="HZ191" s="6"/>
      <c r="IA191" s="6" t="s">
        <v>726</v>
      </c>
      <c r="IB191" s="6">
        <v>1</v>
      </c>
      <c r="IC191" s="6">
        <v>1</v>
      </c>
      <c r="ID191" s="6">
        <v>1</v>
      </c>
      <c r="IE191" s="6">
        <v>0</v>
      </c>
      <c r="IF191" s="6">
        <v>0</v>
      </c>
      <c r="IG191" s="6">
        <v>0</v>
      </c>
      <c r="IH191" s="15" t="s">
        <v>3177</v>
      </c>
      <c r="II191" s="6" t="s">
        <v>426</v>
      </c>
      <c r="IJ191" s="6" t="s">
        <v>602</v>
      </c>
      <c r="IK191" s="6">
        <v>1</v>
      </c>
      <c r="IL191" s="6">
        <v>1</v>
      </c>
      <c r="IM191" s="6">
        <v>0</v>
      </c>
      <c r="IN191" s="6"/>
      <c r="IO191" s="6" t="s">
        <v>473</v>
      </c>
      <c r="IP191" s="6">
        <v>1</v>
      </c>
      <c r="IQ191" s="6">
        <v>0</v>
      </c>
      <c r="IR191" s="6">
        <v>0</v>
      </c>
      <c r="IS191" s="6">
        <v>0</v>
      </c>
      <c r="IT191" s="6">
        <v>0</v>
      </c>
      <c r="IU191" s="6">
        <v>0</v>
      </c>
      <c r="IV191" s="6"/>
      <c r="IW191" s="6" t="s">
        <v>426</v>
      </c>
      <c r="IX191" s="6">
        <v>1</v>
      </c>
      <c r="IY191" s="6" t="s">
        <v>474</v>
      </c>
      <c r="IZ191" s="6" t="s">
        <v>475</v>
      </c>
      <c r="JA191" s="6" t="s">
        <v>426</v>
      </c>
      <c r="JB191" s="6" t="s">
        <v>476</v>
      </c>
      <c r="JC191" s="6"/>
      <c r="JD191" s="6"/>
      <c r="JE191" s="6"/>
      <c r="JF191" s="6"/>
      <c r="JG191" s="6"/>
      <c r="JH191" s="6"/>
      <c r="JI191" s="6"/>
      <c r="JJ191" s="6"/>
      <c r="JK191" s="6" t="s">
        <v>453</v>
      </c>
      <c r="JL191" s="6"/>
      <c r="JM191" s="6"/>
      <c r="JN191" s="6"/>
      <c r="JO191" s="6"/>
      <c r="JP191" s="6"/>
      <c r="JQ191" s="6"/>
      <c r="JR191" s="6"/>
      <c r="JS191" s="6"/>
      <c r="JT191" s="6"/>
      <c r="JU191" s="6" t="s">
        <v>477</v>
      </c>
      <c r="JV191" s="15"/>
      <c r="JW191" s="94" t="s">
        <v>3178</v>
      </c>
      <c r="JX191" s="6" t="s">
        <v>3179</v>
      </c>
      <c r="JY191" s="6">
        <v>0.8260988</v>
      </c>
      <c r="JZ191" s="6">
        <v>34.8660098</v>
      </c>
      <c r="KA191" s="6">
        <v>1730.6875</v>
      </c>
      <c r="KB191" s="15">
        <v>4.632</v>
      </c>
      <c r="KC191" s="15"/>
    </row>
    <row r="192" spans="1:289">
      <c r="A192" s="6" t="s">
        <v>864</v>
      </c>
      <c r="B192" s="6" t="s">
        <v>2503</v>
      </c>
      <c r="C192" s="7" t="s">
        <v>2504</v>
      </c>
      <c r="D192" s="6" t="s">
        <v>2599</v>
      </c>
      <c r="E192" s="6" t="s">
        <v>3180</v>
      </c>
      <c r="F192" s="8" t="s">
        <v>483</v>
      </c>
      <c r="G192" s="6" t="s">
        <v>567</v>
      </c>
      <c r="H192" s="6" t="s">
        <v>517</v>
      </c>
      <c r="I192" s="15"/>
      <c r="J192" s="6" t="s">
        <v>426</v>
      </c>
      <c r="K192" s="6" t="s">
        <v>426</v>
      </c>
      <c r="L192" s="6" t="s">
        <v>426</v>
      </c>
      <c r="M192" s="6" t="s">
        <v>426</v>
      </c>
      <c r="N192" s="6" t="s">
        <v>426</v>
      </c>
      <c r="O192" s="6" t="s">
        <v>426</v>
      </c>
      <c r="P192" s="6" t="s">
        <v>426</v>
      </c>
      <c r="Q192" s="6" t="s">
        <v>453</v>
      </c>
      <c r="R192" s="6" t="s">
        <v>426</v>
      </c>
      <c r="S192" s="6" t="s">
        <v>426</v>
      </c>
      <c r="T192" s="6" t="s">
        <v>426</v>
      </c>
      <c r="U192" s="6" t="s">
        <v>426</v>
      </c>
      <c r="V192" s="6" t="s">
        <v>453</v>
      </c>
      <c r="W192" s="6" t="s">
        <v>453</v>
      </c>
      <c r="X192" s="6" t="s">
        <v>426</v>
      </c>
      <c r="Y192" s="6" t="s">
        <v>426</v>
      </c>
      <c r="Z192" s="6" t="s">
        <v>426</v>
      </c>
      <c r="AA192" s="6" t="s">
        <v>426</v>
      </c>
      <c r="AB192" s="6" t="s">
        <v>426</v>
      </c>
      <c r="AC192" s="15" t="s">
        <v>426</v>
      </c>
      <c r="AD192" s="6" t="s">
        <v>427</v>
      </c>
      <c r="AE192" s="6">
        <v>0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/>
      <c r="AN192" s="15"/>
      <c r="AO192" s="6" t="s">
        <v>426</v>
      </c>
      <c r="AP192" s="6" t="s">
        <v>985</v>
      </c>
      <c r="AQ192" s="6" t="s">
        <v>426</v>
      </c>
      <c r="AR192" s="6" t="s">
        <v>920</v>
      </c>
      <c r="AS192" s="6" t="s">
        <v>426</v>
      </c>
      <c r="AT192" s="6">
        <v>0.1</v>
      </c>
      <c r="AU192" s="6" t="s">
        <v>453</v>
      </c>
      <c r="AV192" s="6"/>
      <c r="AW192" s="6" t="s">
        <v>426</v>
      </c>
      <c r="AX192" s="6">
        <v>0.1</v>
      </c>
      <c r="AY192" s="6" t="s">
        <v>426</v>
      </c>
      <c r="AZ192" s="6">
        <v>1</v>
      </c>
      <c r="BA192" s="6" t="s">
        <v>453</v>
      </c>
      <c r="BB192" s="6"/>
      <c r="BC192" s="6" t="s">
        <v>453</v>
      </c>
      <c r="BD192" s="6"/>
      <c r="BE192" s="6" t="s">
        <v>426</v>
      </c>
      <c r="BF192" s="6">
        <v>10</v>
      </c>
      <c r="BG192" s="6" t="s">
        <v>426</v>
      </c>
      <c r="BH192" s="6">
        <v>0.1</v>
      </c>
      <c r="BI192" s="6" t="s">
        <v>426</v>
      </c>
      <c r="BJ192" s="6">
        <v>0.2</v>
      </c>
      <c r="BK192" s="6" t="s">
        <v>453</v>
      </c>
      <c r="BL192" s="6"/>
      <c r="BM192" s="6" t="s">
        <v>426</v>
      </c>
      <c r="BN192" s="6">
        <v>16</v>
      </c>
      <c r="BO192" s="6" t="s">
        <v>426</v>
      </c>
      <c r="BP192" s="6">
        <v>0.2</v>
      </c>
      <c r="BQ192" s="6" t="s">
        <v>426</v>
      </c>
      <c r="BR192" s="6">
        <v>25</v>
      </c>
      <c r="BS192" s="6" t="s">
        <v>453</v>
      </c>
      <c r="BT192" s="6"/>
      <c r="BU192" s="6" t="s">
        <v>426</v>
      </c>
      <c r="BV192" s="15">
        <v>0.2</v>
      </c>
      <c r="BW192" s="15" t="s">
        <v>428</v>
      </c>
      <c r="BX192" s="15" t="s">
        <v>429</v>
      </c>
      <c r="BY192" s="6" t="s">
        <v>430</v>
      </c>
      <c r="BZ192" s="6" t="s">
        <v>430</v>
      </c>
      <c r="CA192" s="6" t="s">
        <v>486</v>
      </c>
      <c r="CB192" s="6" t="s">
        <v>487</v>
      </c>
      <c r="CC192" s="6" t="s">
        <v>486</v>
      </c>
      <c r="CD192" s="6" t="s">
        <v>430</v>
      </c>
      <c r="CE192" s="6" t="s">
        <v>487</v>
      </c>
      <c r="CF192" s="6" t="s">
        <v>609</v>
      </c>
      <c r="CG192" s="6" t="s">
        <v>430</v>
      </c>
      <c r="CH192" s="6" t="s">
        <v>486</v>
      </c>
      <c r="CI192" s="6" t="s">
        <v>431</v>
      </c>
      <c r="CJ192" s="6" t="s">
        <v>487</v>
      </c>
      <c r="CK192" s="6" t="s">
        <v>430</v>
      </c>
      <c r="CL192" s="6" t="s">
        <v>430</v>
      </c>
      <c r="CM192" s="6" t="s">
        <v>486</v>
      </c>
      <c r="CN192" s="6" t="s">
        <v>487</v>
      </c>
      <c r="CO192" s="15" t="s">
        <v>430</v>
      </c>
      <c r="CP192" s="15" t="s">
        <v>1190</v>
      </c>
      <c r="CQ192" s="6" t="s">
        <v>975</v>
      </c>
      <c r="CR192" s="15"/>
      <c r="CS192" s="6" t="s">
        <v>453</v>
      </c>
      <c r="CT192" s="6"/>
      <c r="CU192" s="6"/>
      <c r="CV192" s="6"/>
      <c r="CW192" s="6"/>
      <c r="CX192" s="15" t="s">
        <v>453</v>
      </c>
      <c r="CY192" s="6"/>
      <c r="CZ192" s="6"/>
      <c r="DA192" s="6"/>
      <c r="DB192" s="6"/>
      <c r="DC192" s="6"/>
      <c r="DD192" s="15"/>
      <c r="DE192" s="15" t="s">
        <v>521</v>
      </c>
      <c r="DF192" s="6" t="s">
        <v>437</v>
      </c>
      <c r="DG192" s="6">
        <v>1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/>
      <c r="DN192" s="6"/>
      <c r="DO192" s="6"/>
      <c r="DP192" s="6"/>
      <c r="DQ192" s="6"/>
      <c r="DR192" s="6"/>
      <c r="DS192" s="6"/>
      <c r="DT192" s="66"/>
      <c r="DU192" s="6" t="s">
        <v>438</v>
      </c>
      <c r="DV192" s="6" t="s">
        <v>426</v>
      </c>
      <c r="DW192" s="6" t="s">
        <v>1195</v>
      </c>
      <c r="DX192" s="6" t="s">
        <v>491</v>
      </c>
      <c r="DY192" s="6"/>
      <c r="DZ192" s="6" t="s">
        <v>3181</v>
      </c>
      <c r="EA192" s="6">
        <v>1</v>
      </c>
      <c r="EB192" s="6">
        <v>1</v>
      </c>
      <c r="EC192" s="6">
        <v>0</v>
      </c>
      <c r="ED192" s="6">
        <v>1</v>
      </c>
      <c r="EE192" s="6">
        <v>1</v>
      </c>
      <c r="EF192" s="6">
        <v>0</v>
      </c>
      <c r="EG192" s="6">
        <v>0</v>
      </c>
      <c r="EH192" s="6">
        <v>0</v>
      </c>
      <c r="EI192" s="6"/>
      <c r="EJ192" s="6" t="s">
        <v>3182</v>
      </c>
      <c r="EK192" s="6">
        <v>1</v>
      </c>
      <c r="EL192" s="6">
        <v>1</v>
      </c>
      <c r="EM192" s="6">
        <v>0</v>
      </c>
      <c r="EN192" s="6">
        <v>1</v>
      </c>
      <c r="EO192" s="6">
        <v>1</v>
      </c>
      <c r="EP192" s="6">
        <v>0</v>
      </c>
      <c r="EQ192" s="6">
        <v>0</v>
      </c>
      <c r="ER192" s="6">
        <v>0</v>
      </c>
      <c r="ES192" s="6">
        <v>0</v>
      </c>
      <c r="ET192" s="6"/>
      <c r="EU192" s="6" t="s">
        <v>494</v>
      </c>
      <c r="EV192" s="6" t="s">
        <v>554</v>
      </c>
      <c r="EW192" s="6"/>
      <c r="EX192" s="6" t="s">
        <v>669</v>
      </c>
      <c r="EY192" s="6">
        <v>0</v>
      </c>
      <c r="EZ192" s="6">
        <v>1</v>
      </c>
      <c r="FA192" s="6">
        <v>0</v>
      </c>
      <c r="FB192" s="6">
        <v>0</v>
      </c>
      <c r="FC192" s="6">
        <v>0</v>
      </c>
      <c r="FD192" s="6">
        <v>0</v>
      </c>
      <c r="FE192" s="6">
        <v>0</v>
      </c>
      <c r="FF192" s="6">
        <v>0</v>
      </c>
      <c r="FG192" s="6"/>
      <c r="FH192" s="6" t="s">
        <v>618</v>
      </c>
      <c r="FI192" s="6">
        <v>0</v>
      </c>
      <c r="FJ192" s="6">
        <v>0</v>
      </c>
      <c r="FK192" s="6">
        <v>0</v>
      </c>
      <c r="FL192" s="6">
        <v>1</v>
      </c>
      <c r="FM192" s="6">
        <v>0</v>
      </c>
      <c r="FN192" s="6">
        <v>0</v>
      </c>
      <c r="FO192" s="6">
        <v>0</v>
      </c>
      <c r="FP192" s="6">
        <v>0</v>
      </c>
      <c r="FQ192" s="6">
        <v>0</v>
      </c>
      <c r="FR192" s="6">
        <v>0</v>
      </c>
      <c r="FS192" s="6"/>
      <c r="FT192" s="6" t="s">
        <v>556</v>
      </c>
      <c r="FU192" s="6" t="s">
        <v>743</v>
      </c>
      <c r="FV192" s="6" t="s">
        <v>3183</v>
      </c>
      <c r="FW192" s="6" t="s">
        <v>449</v>
      </c>
      <c r="FX192" s="15" t="s">
        <v>528</v>
      </c>
      <c r="FY192" s="6" t="s">
        <v>529</v>
      </c>
      <c r="FZ192" s="6"/>
      <c r="GA192" s="6" t="s">
        <v>528</v>
      </c>
      <c r="GB192" s="6" t="s">
        <v>501</v>
      </c>
      <c r="GC192" s="6" t="s">
        <v>453</v>
      </c>
      <c r="GD192" s="6"/>
      <c r="GE192" s="6" t="s">
        <v>454</v>
      </c>
      <c r="GF192" s="6" t="s">
        <v>3184</v>
      </c>
      <c r="GG192" s="6" t="s">
        <v>456</v>
      </c>
      <c r="GH192" s="15" t="s">
        <v>3185</v>
      </c>
      <c r="GI192" s="6" t="s">
        <v>701</v>
      </c>
      <c r="GJ192" s="6" t="s">
        <v>3186</v>
      </c>
      <c r="GK192" s="6" t="s">
        <v>460</v>
      </c>
      <c r="GL192" s="6" t="s">
        <v>857</v>
      </c>
      <c r="GM192" s="6">
        <v>0</v>
      </c>
      <c r="GN192" s="6">
        <v>1</v>
      </c>
      <c r="GO192" s="6">
        <v>0</v>
      </c>
      <c r="GP192" s="6">
        <v>0</v>
      </c>
      <c r="GQ192" s="6">
        <v>0</v>
      </c>
      <c r="GR192" s="6">
        <v>0</v>
      </c>
      <c r="GS192" s="6">
        <v>0</v>
      </c>
      <c r="GT192" s="6"/>
      <c r="GU192" s="6" t="s">
        <v>534</v>
      </c>
      <c r="GV192" s="6" t="s">
        <v>595</v>
      </c>
      <c r="GW192" s="6" t="s">
        <v>464</v>
      </c>
      <c r="GX192" s="6">
        <v>1</v>
      </c>
      <c r="GY192" s="6">
        <v>0</v>
      </c>
      <c r="GZ192" s="6">
        <v>0</v>
      </c>
      <c r="HA192" s="6">
        <v>0</v>
      </c>
      <c r="HB192" s="6">
        <v>0</v>
      </c>
      <c r="HC192" s="6">
        <v>0</v>
      </c>
      <c r="HD192" s="6"/>
      <c r="HE192" s="6" t="s">
        <v>2283</v>
      </c>
      <c r="HF192" s="6">
        <v>1</v>
      </c>
      <c r="HG192" s="6">
        <v>0</v>
      </c>
      <c r="HH192" s="6">
        <v>1</v>
      </c>
      <c r="HI192" s="6">
        <v>0</v>
      </c>
      <c r="HJ192" s="6">
        <v>0</v>
      </c>
      <c r="HK192" s="6">
        <v>0</v>
      </c>
      <c r="HL192" s="15"/>
      <c r="HM192" s="6" t="s">
        <v>873</v>
      </c>
      <c r="HN192" s="6"/>
      <c r="HO192" s="6" t="s">
        <v>3187</v>
      </c>
      <c r="HP192" s="6" t="s">
        <v>537</v>
      </c>
      <c r="HQ192" s="6" t="s">
        <v>1201</v>
      </c>
      <c r="HR192" s="6" t="s">
        <v>3115</v>
      </c>
      <c r="HS192" s="6" t="s">
        <v>508</v>
      </c>
      <c r="HT192" s="6">
        <v>0</v>
      </c>
      <c r="HU192" s="6">
        <v>0</v>
      </c>
      <c r="HV192" s="6">
        <v>1</v>
      </c>
      <c r="HW192" s="6">
        <v>0</v>
      </c>
      <c r="HX192" s="6">
        <v>0</v>
      </c>
      <c r="HY192" s="6">
        <v>0</v>
      </c>
      <c r="HZ192" s="6"/>
      <c r="IA192" s="6" t="s">
        <v>751</v>
      </c>
      <c r="IB192" s="6">
        <v>0</v>
      </c>
      <c r="IC192" s="6">
        <v>1</v>
      </c>
      <c r="ID192" s="6">
        <v>1</v>
      </c>
      <c r="IE192" s="6">
        <v>0</v>
      </c>
      <c r="IF192" s="6">
        <v>0</v>
      </c>
      <c r="IG192" s="6">
        <v>0</v>
      </c>
      <c r="IH192" s="15" t="s">
        <v>3188</v>
      </c>
      <c r="II192" s="6" t="s">
        <v>426</v>
      </c>
      <c r="IJ192" s="6" t="s">
        <v>1266</v>
      </c>
      <c r="IK192" s="6">
        <v>1</v>
      </c>
      <c r="IL192" s="6">
        <v>1</v>
      </c>
      <c r="IM192" s="6">
        <v>0</v>
      </c>
      <c r="IN192" s="6"/>
      <c r="IO192" s="6" t="s">
        <v>473</v>
      </c>
      <c r="IP192" s="6">
        <v>1</v>
      </c>
      <c r="IQ192" s="6">
        <v>0</v>
      </c>
      <c r="IR192" s="6">
        <v>0</v>
      </c>
      <c r="IS192" s="6">
        <v>0</v>
      </c>
      <c r="IT192" s="6">
        <v>0</v>
      </c>
      <c r="IU192" s="6">
        <v>0</v>
      </c>
      <c r="IV192" s="6"/>
      <c r="IW192" s="6" t="s">
        <v>453</v>
      </c>
      <c r="IX192" s="6"/>
      <c r="IY192" s="6" t="s">
        <v>510</v>
      </c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 t="s">
        <v>426</v>
      </c>
      <c r="JK192" s="6" t="s">
        <v>453</v>
      </c>
      <c r="JL192" s="6"/>
      <c r="JM192" s="6"/>
      <c r="JN192" s="6"/>
      <c r="JO192" s="6"/>
      <c r="JP192" s="6"/>
      <c r="JQ192" s="6"/>
      <c r="JR192" s="6"/>
      <c r="JS192" s="6"/>
      <c r="JT192" s="6"/>
      <c r="JU192" s="6" t="s">
        <v>477</v>
      </c>
      <c r="JV192" s="15"/>
      <c r="JW192" s="94" t="s">
        <v>3189</v>
      </c>
      <c r="JX192" s="6" t="s">
        <v>3190</v>
      </c>
      <c r="JY192" s="6">
        <v>0.8262597</v>
      </c>
      <c r="JZ192" s="6">
        <v>34.8660675</v>
      </c>
      <c r="KA192" s="6">
        <v>1768.557</v>
      </c>
      <c r="KB192" s="15">
        <v>10.342</v>
      </c>
      <c r="KC192" s="15"/>
    </row>
    <row r="193" spans="1:289">
      <c r="A193" s="6" t="s">
        <v>514</v>
      </c>
      <c r="B193" s="6" t="s">
        <v>2503</v>
      </c>
      <c r="C193" s="7" t="s">
        <v>2504</v>
      </c>
      <c r="D193" s="6" t="s">
        <v>2167</v>
      </c>
      <c r="E193" s="6" t="s">
        <v>3191</v>
      </c>
      <c r="F193" s="8" t="s">
        <v>423</v>
      </c>
      <c r="G193" s="6" t="s">
        <v>731</v>
      </c>
      <c r="H193" s="6" t="s">
        <v>517</v>
      </c>
      <c r="I193" s="15"/>
      <c r="J193" s="6" t="s">
        <v>426</v>
      </c>
      <c r="K193" s="6" t="s">
        <v>426</v>
      </c>
      <c r="L193" s="6" t="s">
        <v>426</v>
      </c>
      <c r="M193" s="6" t="s">
        <v>426</v>
      </c>
      <c r="N193" s="6" t="s">
        <v>426</v>
      </c>
      <c r="O193" s="6" t="s">
        <v>426</v>
      </c>
      <c r="P193" s="6" t="s">
        <v>426</v>
      </c>
      <c r="Q193" s="6" t="s">
        <v>426</v>
      </c>
      <c r="R193" s="6" t="s">
        <v>426</v>
      </c>
      <c r="S193" s="6" t="s">
        <v>426</v>
      </c>
      <c r="T193" s="6" t="s">
        <v>426</v>
      </c>
      <c r="U193" s="6" t="s">
        <v>426</v>
      </c>
      <c r="V193" s="6" t="s">
        <v>426</v>
      </c>
      <c r="W193" s="6" t="s">
        <v>426</v>
      </c>
      <c r="X193" s="6" t="s">
        <v>426</v>
      </c>
      <c r="Y193" s="6" t="s">
        <v>426</v>
      </c>
      <c r="Z193" s="6" t="s">
        <v>426</v>
      </c>
      <c r="AA193" s="6" t="s">
        <v>426</v>
      </c>
      <c r="AB193" s="6" t="s">
        <v>426</v>
      </c>
      <c r="AC193" s="15" t="s">
        <v>426</v>
      </c>
      <c r="AD193" s="6" t="s">
        <v>427</v>
      </c>
      <c r="AE193" s="6">
        <v>0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0</v>
      </c>
      <c r="AL193" s="6">
        <v>0</v>
      </c>
      <c r="AM193" s="6"/>
      <c r="AN193" s="15"/>
      <c r="AO193" s="6" t="s">
        <v>426</v>
      </c>
      <c r="AP193" s="6" t="s">
        <v>658</v>
      </c>
      <c r="AQ193" s="6" t="s">
        <v>426</v>
      </c>
      <c r="AR193" s="6" t="s">
        <v>823</v>
      </c>
      <c r="AS193" s="6" t="s">
        <v>426</v>
      </c>
      <c r="AT193" s="6">
        <v>0.25</v>
      </c>
      <c r="AU193" s="6" t="s">
        <v>426</v>
      </c>
      <c r="AV193" s="6">
        <v>0.25</v>
      </c>
      <c r="AW193" s="6" t="s">
        <v>426</v>
      </c>
      <c r="AX193" s="6">
        <v>0.25</v>
      </c>
      <c r="AY193" s="6" t="s">
        <v>426</v>
      </c>
      <c r="AZ193" s="6">
        <v>1</v>
      </c>
      <c r="BA193" s="6" t="s">
        <v>426</v>
      </c>
      <c r="BB193" s="6">
        <v>0.25</v>
      </c>
      <c r="BC193" s="6" t="s">
        <v>426</v>
      </c>
      <c r="BD193" s="6">
        <v>0.25</v>
      </c>
      <c r="BE193" s="6" t="s">
        <v>426</v>
      </c>
      <c r="BF193" s="6">
        <v>5</v>
      </c>
      <c r="BG193" s="6" t="s">
        <v>426</v>
      </c>
      <c r="BH193" s="6">
        <v>0.25</v>
      </c>
      <c r="BI193" s="6" t="s">
        <v>426</v>
      </c>
      <c r="BJ193" s="6">
        <v>0.25</v>
      </c>
      <c r="BK193" s="6" t="s">
        <v>426</v>
      </c>
      <c r="BL193" s="6">
        <v>0.25</v>
      </c>
      <c r="BM193" s="6" t="s">
        <v>426</v>
      </c>
      <c r="BN193" s="6">
        <v>3</v>
      </c>
      <c r="BO193" s="6" t="s">
        <v>426</v>
      </c>
      <c r="BP193" s="6">
        <v>0.25</v>
      </c>
      <c r="BQ193" s="6" t="s">
        <v>426</v>
      </c>
      <c r="BR193" s="6">
        <v>15</v>
      </c>
      <c r="BS193" s="6" t="s">
        <v>426</v>
      </c>
      <c r="BT193" s="6">
        <v>3</v>
      </c>
      <c r="BU193" s="6" t="s">
        <v>426</v>
      </c>
      <c r="BV193" s="15">
        <v>0.25</v>
      </c>
      <c r="BW193" s="15" t="s">
        <v>518</v>
      </c>
      <c r="BX193" s="15" t="s">
        <v>429</v>
      </c>
      <c r="BY193" s="6" t="s">
        <v>430</v>
      </c>
      <c r="BZ193" s="6" t="s">
        <v>430</v>
      </c>
      <c r="CA193" s="6" t="s">
        <v>430</v>
      </c>
      <c r="CB193" s="6" t="s">
        <v>430</v>
      </c>
      <c r="CC193" s="6" t="s">
        <v>430</v>
      </c>
      <c r="CD193" s="6" t="s">
        <v>430</v>
      </c>
      <c r="CE193" s="6" t="s">
        <v>430</v>
      </c>
      <c r="CF193" s="6" t="s">
        <v>430</v>
      </c>
      <c r="CG193" s="6" t="s">
        <v>430</v>
      </c>
      <c r="CH193" s="6" t="s">
        <v>430</v>
      </c>
      <c r="CI193" s="6" t="s">
        <v>430</v>
      </c>
      <c r="CJ193" s="6" t="s">
        <v>430</v>
      </c>
      <c r="CK193" s="6" t="s">
        <v>430</v>
      </c>
      <c r="CL193" s="6" t="s">
        <v>430</v>
      </c>
      <c r="CM193" s="6" t="s">
        <v>430</v>
      </c>
      <c r="CN193" s="6" t="s">
        <v>430</v>
      </c>
      <c r="CO193" s="15" t="s">
        <v>430</v>
      </c>
      <c r="CP193" s="15" t="s">
        <v>636</v>
      </c>
      <c r="CQ193" s="6" t="s">
        <v>433</v>
      </c>
      <c r="CR193" s="15"/>
      <c r="CS193" s="6" t="s">
        <v>426</v>
      </c>
      <c r="CT193" s="6" t="s">
        <v>3192</v>
      </c>
      <c r="CU193" s="6" t="s">
        <v>1091</v>
      </c>
      <c r="CV193" s="6" t="s">
        <v>935</v>
      </c>
      <c r="CW193" s="6" t="s">
        <v>1090</v>
      </c>
      <c r="CX193" s="15" t="s">
        <v>426</v>
      </c>
      <c r="CY193" s="6" t="s">
        <v>426</v>
      </c>
      <c r="CZ193" s="6" t="s">
        <v>3193</v>
      </c>
      <c r="DA193" s="6" t="s">
        <v>988</v>
      </c>
      <c r="DB193" s="6" t="s">
        <v>1024</v>
      </c>
      <c r="DC193" s="6" t="s">
        <v>1538</v>
      </c>
      <c r="DD193" s="15" t="s">
        <v>1090</v>
      </c>
      <c r="DE193" s="15" t="s">
        <v>436</v>
      </c>
      <c r="DF193" s="6" t="s">
        <v>522</v>
      </c>
      <c r="DG193" s="6">
        <v>0</v>
      </c>
      <c r="DH193" s="6">
        <v>1</v>
      </c>
      <c r="DI193" s="6">
        <v>0</v>
      </c>
      <c r="DJ193" s="6">
        <v>0</v>
      </c>
      <c r="DK193" s="6">
        <v>0</v>
      </c>
      <c r="DL193" s="6">
        <v>0</v>
      </c>
      <c r="DM193" s="6"/>
      <c r="DN193" s="6"/>
      <c r="DO193" s="6"/>
      <c r="DP193" s="6"/>
      <c r="DQ193" s="6"/>
      <c r="DR193" s="6"/>
      <c r="DS193" s="6"/>
      <c r="DT193" s="66"/>
      <c r="DU193" s="6" t="s">
        <v>438</v>
      </c>
      <c r="DV193" s="6" t="s">
        <v>426</v>
      </c>
      <c r="DW193" s="6" t="s">
        <v>439</v>
      </c>
      <c r="DX193" s="6" t="s">
        <v>440</v>
      </c>
      <c r="DY193" s="6"/>
      <c r="DZ193" s="6" t="s">
        <v>2376</v>
      </c>
      <c r="EA193" s="6">
        <v>0</v>
      </c>
      <c r="EB193" s="6">
        <v>1</v>
      </c>
      <c r="EC193" s="6">
        <v>1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/>
      <c r="EJ193" s="6" t="s">
        <v>811</v>
      </c>
      <c r="EK193" s="6">
        <v>1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</v>
      </c>
      <c r="ER193" s="6">
        <v>0</v>
      </c>
      <c r="ES193" s="6">
        <v>0</v>
      </c>
      <c r="ET193" s="6"/>
      <c r="EU193" s="6" t="s">
        <v>443</v>
      </c>
      <c r="EV193" s="6" t="s">
        <v>495</v>
      </c>
      <c r="EW193" s="6"/>
      <c r="EX193" s="6" t="s">
        <v>617</v>
      </c>
      <c r="EY193" s="6">
        <v>1</v>
      </c>
      <c r="EZ193" s="6">
        <v>1</v>
      </c>
      <c r="FA193" s="6">
        <v>0</v>
      </c>
      <c r="FB193" s="6">
        <v>0</v>
      </c>
      <c r="FC193" s="6">
        <v>0</v>
      </c>
      <c r="FD193" s="6">
        <v>0</v>
      </c>
      <c r="FE193" s="6">
        <v>0</v>
      </c>
      <c r="FF193" s="6">
        <v>0</v>
      </c>
      <c r="FG193" s="6"/>
      <c r="FH193" s="6" t="s">
        <v>555</v>
      </c>
      <c r="FI193" s="6">
        <v>0</v>
      </c>
      <c r="FJ193" s="6">
        <v>0</v>
      </c>
      <c r="FK193" s="6">
        <v>0</v>
      </c>
      <c r="FL193" s="6">
        <v>0</v>
      </c>
      <c r="FM193" s="6">
        <v>0</v>
      </c>
      <c r="FN193" s="6">
        <v>0</v>
      </c>
      <c r="FO193" s="6">
        <v>0</v>
      </c>
      <c r="FP193" s="6">
        <v>0</v>
      </c>
      <c r="FQ193" s="6">
        <v>1</v>
      </c>
      <c r="FR193" s="6">
        <v>0</v>
      </c>
      <c r="FS193" s="6"/>
      <c r="FT193" s="6" t="s">
        <v>447</v>
      </c>
      <c r="FU193" s="6" t="s">
        <v>499</v>
      </c>
      <c r="FV193" s="6"/>
      <c r="FW193" s="6" t="s">
        <v>449</v>
      </c>
      <c r="FX193" s="15" t="s">
        <v>450</v>
      </c>
      <c r="FY193" s="6" t="s">
        <v>451</v>
      </c>
      <c r="FZ193" s="6"/>
      <c r="GA193" s="6" t="s">
        <v>450</v>
      </c>
      <c r="GB193" s="6" t="s">
        <v>501</v>
      </c>
      <c r="GC193" s="6" t="s">
        <v>453</v>
      </c>
      <c r="GD193" s="6"/>
      <c r="GE193" s="6" t="s">
        <v>642</v>
      </c>
      <c r="GF193" s="6" t="s">
        <v>3194</v>
      </c>
      <c r="GG193" s="6" t="s">
        <v>456</v>
      </c>
      <c r="GH193" s="15" t="s">
        <v>593</v>
      </c>
      <c r="GI193" s="6" t="s">
        <v>458</v>
      </c>
      <c r="GJ193" s="6" t="s">
        <v>3195</v>
      </c>
      <c r="GK193" s="6" t="s">
        <v>460</v>
      </c>
      <c r="GL193" s="6" t="s">
        <v>461</v>
      </c>
      <c r="GM193" s="6">
        <v>0</v>
      </c>
      <c r="GN193" s="6">
        <v>0</v>
      </c>
      <c r="GO193" s="6">
        <v>0</v>
      </c>
      <c r="GP193" s="6">
        <v>0</v>
      </c>
      <c r="GQ193" s="6">
        <v>0</v>
      </c>
      <c r="GR193" s="6">
        <v>1</v>
      </c>
      <c r="GS193" s="6">
        <v>0</v>
      </c>
      <c r="GT193" s="6"/>
      <c r="GU193" s="6" t="s">
        <v>534</v>
      </c>
      <c r="GV193" s="6" t="s">
        <v>595</v>
      </c>
      <c r="GW193" s="6" t="s">
        <v>464</v>
      </c>
      <c r="GX193" s="6">
        <v>1</v>
      </c>
      <c r="GY193" s="6">
        <v>0</v>
      </c>
      <c r="GZ193" s="6">
        <v>0</v>
      </c>
      <c r="HA193" s="6">
        <v>0</v>
      </c>
      <c r="HB193" s="6">
        <v>0</v>
      </c>
      <c r="HC193" s="6">
        <v>0</v>
      </c>
      <c r="HD193" s="6"/>
      <c r="HE193" s="6" t="s">
        <v>535</v>
      </c>
      <c r="HF193" s="6">
        <v>1</v>
      </c>
      <c r="HG193" s="6">
        <v>0</v>
      </c>
      <c r="HH193" s="6">
        <v>0</v>
      </c>
      <c r="HI193" s="6">
        <v>0</v>
      </c>
      <c r="HJ193" s="6">
        <v>0</v>
      </c>
      <c r="HK193" s="6">
        <v>0</v>
      </c>
      <c r="HL193" s="15"/>
      <c r="HM193" s="6" t="s">
        <v>676</v>
      </c>
      <c r="HN193" s="6"/>
      <c r="HO193" s="6" t="s">
        <v>3196</v>
      </c>
      <c r="HP193" s="6" t="s">
        <v>537</v>
      </c>
      <c r="HQ193" s="6" t="s">
        <v>538</v>
      </c>
      <c r="HR193" s="6" t="s">
        <v>539</v>
      </c>
      <c r="HS193" s="6" t="s">
        <v>540</v>
      </c>
      <c r="HT193" s="6">
        <v>1</v>
      </c>
      <c r="HU193" s="6">
        <v>0</v>
      </c>
      <c r="HV193" s="6">
        <v>0</v>
      </c>
      <c r="HW193" s="6">
        <v>0</v>
      </c>
      <c r="HX193" s="6">
        <v>0</v>
      </c>
      <c r="HY193" s="6">
        <v>0</v>
      </c>
      <c r="HZ193" s="6"/>
      <c r="IA193" s="6" t="s">
        <v>112</v>
      </c>
      <c r="IB193" s="6">
        <v>0</v>
      </c>
      <c r="IC193" s="6">
        <v>1</v>
      </c>
      <c r="ID193" s="6">
        <v>0</v>
      </c>
      <c r="IE193" s="6">
        <v>0</v>
      </c>
      <c r="IF193" s="6">
        <v>0</v>
      </c>
      <c r="IG193" s="6">
        <v>0</v>
      </c>
      <c r="IH193" s="15" t="s">
        <v>3197</v>
      </c>
      <c r="II193" s="6" t="s">
        <v>426</v>
      </c>
      <c r="IJ193" s="6" t="s">
        <v>472</v>
      </c>
      <c r="IK193" s="6">
        <v>1</v>
      </c>
      <c r="IL193" s="6">
        <v>0</v>
      </c>
      <c r="IM193" s="6">
        <v>0</v>
      </c>
      <c r="IN193" s="6"/>
      <c r="IO193" s="6" t="s">
        <v>473</v>
      </c>
      <c r="IP193" s="6">
        <v>1</v>
      </c>
      <c r="IQ193" s="6">
        <v>0</v>
      </c>
      <c r="IR193" s="6">
        <v>0</v>
      </c>
      <c r="IS193" s="6">
        <v>0</v>
      </c>
      <c r="IT193" s="6">
        <v>0</v>
      </c>
      <c r="IU193" s="6">
        <v>0</v>
      </c>
      <c r="IV193" s="6"/>
      <c r="IW193" s="6" t="s">
        <v>453</v>
      </c>
      <c r="IX193" s="6"/>
      <c r="IY193" s="6" t="s">
        <v>510</v>
      </c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 t="s">
        <v>453</v>
      </c>
      <c r="JK193" s="6" t="s">
        <v>453</v>
      </c>
      <c r="JL193" s="6"/>
      <c r="JM193" s="6"/>
      <c r="JN193" s="6"/>
      <c r="JO193" s="6"/>
      <c r="JP193" s="6"/>
      <c r="JQ193" s="6"/>
      <c r="JR193" s="6"/>
      <c r="JS193" s="6"/>
      <c r="JT193" s="6"/>
      <c r="JU193" s="6" t="s">
        <v>477</v>
      </c>
      <c r="JV193" s="15"/>
      <c r="JW193" s="94" t="s">
        <v>3198</v>
      </c>
      <c r="JX193" s="6" t="s">
        <v>3199</v>
      </c>
      <c r="JY193" s="6">
        <v>0.8231077</v>
      </c>
      <c r="JZ193" s="6">
        <v>34.8650201</v>
      </c>
      <c r="KA193" s="6">
        <v>1733.073</v>
      </c>
      <c r="KB193" s="15">
        <v>1.629</v>
      </c>
      <c r="KC193" s="15"/>
    </row>
    <row r="194" spans="1:289">
      <c r="A194" s="6" t="s">
        <v>514</v>
      </c>
      <c r="B194" s="6" t="s">
        <v>2503</v>
      </c>
      <c r="C194" s="7" t="s">
        <v>2504</v>
      </c>
      <c r="D194" s="6" t="s">
        <v>2599</v>
      </c>
      <c r="E194" s="6" t="s">
        <v>3200</v>
      </c>
      <c r="F194" s="8" t="s">
        <v>483</v>
      </c>
      <c r="G194" s="6" t="s">
        <v>424</v>
      </c>
      <c r="H194" s="6" t="s">
        <v>425</v>
      </c>
      <c r="I194" s="15"/>
      <c r="J194" s="6" t="s">
        <v>426</v>
      </c>
      <c r="K194" s="6" t="s">
        <v>426</v>
      </c>
      <c r="L194" s="6" t="s">
        <v>426</v>
      </c>
      <c r="M194" s="6" t="s">
        <v>426</v>
      </c>
      <c r="N194" s="6" t="s">
        <v>426</v>
      </c>
      <c r="O194" s="6" t="s">
        <v>426</v>
      </c>
      <c r="P194" s="6" t="s">
        <v>426</v>
      </c>
      <c r="Q194" s="6" t="s">
        <v>426</v>
      </c>
      <c r="R194" s="6" t="s">
        <v>426</v>
      </c>
      <c r="S194" s="6" t="s">
        <v>426</v>
      </c>
      <c r="T194" s="6" t="s">
        <v>426</v>
      </c>
      <c r="U194" s="6" t="s">
        <v>426</v>
      </c>
      <c r="V194" s="6" t="s">
        <v>426</v>
      </c>
      <c r="W194" s="6" t="s">
        <v>426</v>
      </c>
      <c r="X194" s="6" t="s">
        <v>426</v>
      </c>
      <c r="Y194" s="6" t="s">
        <v>426</v>
      </c>
      <c r="Z194" s="6" t="s">
        <v>426</v>
      </c>
      <c r="AA194" s="6" t="s">
        <v>426</v>
      </c>
      <c r="AB194" s="6" t="s">
        <v>426</v>
      </c>
      <c r="AC194" s="15" t="s">
        <v>426</v>
      </c>
      <c r="AD194" s="6" t="s">
        <v>427</v>
      </c>
      <c r="AE194" s="6">
        <v>0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/>
      <c r="AN194" s="15"/>
      <c r="AO194" s="6" t="s">
        <v>426</v>
      </c>
      <c r="AP194" s="6" t="s">
        <v>656</v>
      </c>
      <c r="AQ194" s="6" t="s">
        <v>426</v>
      </c>
      <c r="AR194" s="6" t="s">
        <v>658</v>
      </c>
      <c r="AS194" s="6" t="s">
        <v>426</v>
      </c>
      <c r="AT194" s="6">
        <v>0.2</v>
      </c>
      <c r="AU194" s="6" t="s">
        <v>426</v>
      </c>
      <c r="AV194" s="6">
        <v>0.2</v>
      </c>
      <c r="AW194" s="6" t="s">
        <v>426</v>
      </c>
      <c r="AX194" s="6">
        <v>0.2</v>
      </c>
      <c r="AY194" s="6" t="s">
        <v>426</v>
      </c>
      <c r="AZ194" s="6">
        <v>1</v>
      </c>
      <c r="BA194" s="6" t="s">
        <v>426</v>
      </c>
      <c r="BB194" s="6">
        <v>0.2</v>
      </c>
      <c r="BC194" s="6" t="s">
        <v>426</v>
      </c>
      <c r="BD194" s="6">
        <v>0.2</v>
      </c>
      <c r="BE194" s="6" t="s">
        <v>426</v>
      </c>
      <c r="BF194" s="6">
        <v>1</v>
      </c>
      <c r="BG194" s="6" t="s">
        <v>426</v>
      </c>
      <c r="BH194" s="6">
        <v>0.2</v>
      </c>
      <c r="BI194" s="6" t="s">
        <v>426</v>
      </c>
      <c r="BJ194" s="6">
        <v>0.2</v>
      </c>
      <c r="BK194" s="6" t="s">
        <v>426</v>
      </c>
      <c r="BL194" s="6">
        <v>0.2</v>
      </c>
      <c r="BM194" s="6" t="s">
        <v>426</v>
      </c>
      <c r="BN194" s="6">
        <v>2</v>
      </c>
      <c r="BO194" s="6" t="s">
        <v>426</v>
      </c>
      <c r="BP194" s="6">
        <v>2</v>
      </c>
      <c r="BQ194" s="6" t="s">
        <v>426</v>
      </c>
      <c r="BR194" s="6">
        <v>20</v>
      </c>
      <c r="BS194" s="6" t="s">
        <v>426</v>
      </c>
      <c r="BT194" s="6">
        <v>3</v>
      </c>
      <c r="BU194" s="6" t="s">
        <v>426</v>
      </c>
      <c r="BV194" s="15">
        <v>0.2</v>
      </c>
      <c r="BW194" s="15" t="s">
        <v>518</v>
      </c>
      <c r="BX194" s="15" t="s">
        <v>429</v>
      </c>
      <c r="BY194" s="6" t="s">
        <v>430</v>
      </c>
      <c r="BZ194" s="6" t="s">
        <v>430</v>
      </c>
      <c r="CA194" s="6" t="s">
        <v>430</v>
      </c>
      <c r="CB194" s="6" t="s">
        <v>430</v>
      </c>
      <c r="CC194" s="6" t="s">
        <v>430</v>
      </c>
      <c r="CD194" s="6" t="s">
        <v>430</v>
      </c>
      <c r="CE194" s="6" t="s">
        <v>430</v>
      </c>
      <c r="CF194" s="6" t="s">
        <v>430</v>
      </c>
      <c r="CG194" s="6" t="s">
        <v>430</v>
      </c>
      <c r="CH194" s="6" t="s">
        <v>430</v>
      </c>
      <c r="CI194" s="6" t="s">
        <v>430</v>
      </c>
      <c r="CJ194" s="6" t="s">
        <v>430</v>
      </c>
      <c r="CK194" s="6" t="s">
        <v>430</v>
      </c>
      <c r="CL194" s="6" t="s">
        <v>430</v>
      </c>
      <c r="CM194" s="6" t="s">
        <v>430</v>
      </c>
      <c r="CN194" s="6" t="s">
        <v>430</v>
      </c>
      <c r="CO194" s="15" t="s">
        <v>430</v>
      </c>
      <c r="CP194" s="15" t="s">
        <v>432</v>
      </c>
      <c r="CQ194" s="6" t="s">
        <v>433</v>
      </c>
      <c r="CR194" s="15"/>
      <c r="CS194" s="6" t="s">
        <v>426</v>
      </c>
      <c r="CT194" s="6" t="s">
        <v>2888</v>
      </c>
      <c r="CU194" s="6" t="s">
        <v>809</v>
      </c>
      <c r="CV194" s="6" t="s">
        <v>737</v>
      </c>
      <c r="CW194" s="6" t="s">
        <v>829</v>
      </c>
      <c r="CX194" s="15" t="s">
        <v>426</v>
      </c>
      <c r="CY194" s="6" t="s">
        <v>426</v>
      </c>
      <c r="CZ194" s="6" t="s">
        <v>3201</v>
      </c>
      <c r="DA194" s="6" t="s">
        <v>845</v>
      </c>
      <c r="DB194" s="6" t="s">
        <v>660</v>
      </c>
      <c r="DC194" s="6" t="s">
        <v>1091</v>
      </c>
      <c r="DD194" s="15" t="s">
        <v>2795</v>
      </c>
      <c r="DE194" s="15" t="s">
        <v>436</v>
      </c>
      <c r="DF194" s="6" t="s">
        <v>437</v>
      </c>
      <c r="DG194" s="6">
        <v>1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/>
      <c r="DN194" s="6"/>
      <c r="DO194" s="6"/>
      <c r="DP194" s="6"/>
      <c r="DQ194" s="6"/>
      <c r="DR194" s="6"/>
      <c r="DS194" s="6"/>
      <c r="DT194" s="66"/>
      <c r="DU194" s="6" t="s">
        <v>438</v>
      </c>
      <c r="DV194" s="6" t="s">
        <v>426</v>
      </c>
      <c r="DW194" s="6" t="s">
        <v>439</v>
      </c>
      <c r="DX194" s="6" t="s">
        <v>440</v>
      </c>
      <c r="DY194" s="6"/>
      <c r="DZ194" s="6" t="s">
        <v>714</v>
      </c>
      <c r="EA194" s="6">
        <v>1</v>
      </c>
      <c r="EB194" s="6">
        <v>1</v>
      </c>
      <c r="EC194" s="6">
        <v>1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/>
      <c r="EJ194" s="6" t="s">
        <v>1906</v>
      </c>
      <c r="EK194" s="6">
        <v>1</v>
      </c>
      <c r="EL194" s="6">
        <v>0</v>
      </c>
      <c r="EM194" s="6">
        <v>0</v>
      </c>
      <c r="EN194" s="6">
        <v>1</v>
      </c>
      <c r="EO194" s="6">
        <v>0</v>
      </c>
      <c r="EP194" s="6">
        <v>0</v>
      </c>
      <c r="EQ194" s="6">
        <v>0</v>
      </c>
      <c r="ER194" s="6">
        <v>0</v>
      </c>
      <c r="ES194" s="6">
        <v>0</v>
      </c>
      <c r="ET194" s="6"/>
      <c r="EU194" s="6" t="s">
        <v>443</v>
      </c>
      <c r="EV194" s="6" t="s">
        <v>444</v>
      </c>
      <c r="EW194" s="6"/>
      <c r="EX194" s="6" t="s">
        <v>669</v>
      </c>
      <c r="EY194" s="6">
        <v>0</v>
      </c>
      <c r="EZ194" s="6">
        <v>1</v>
      </c>
      <c r="FA194" s="6">
        <v>0</v>
      </c>
      <c r="FB194" s="6">
        <v>0</v>
      </c>
      <c r="FC194" s="6">
        <v>0</v>
      </c>
      <c r="FD194" s="6">
        <v>0</v>
      </c>
      <c r="FE194" s="6">
        <v>0</v>
      </c>
      <c r="FF194" s="6">
        <v>0</v>
      </c>
      <c r="FG194" s="6"/>
      <c r="FH194" s="6" t="s">
        <v>812</v>
      </c>
      <c r="FI194" s="6">
        <v>1</v>
      </c>
      <c r="FJ194" s="6">
        <v>0</v>
      </c>
      <c r="FK194" s="6">
        <v>0</v>
      </c>
      <c r="FL194" s="6">
        <v>0</v>
      </c>
      <c r="FM194" s="6">
        <v>0</v>
      </c>
      <c r="FN194" s="6">
        <v>0</v>
      </c>
      <c r="FO194" s="6">
        <v>0</v>
      </c>
      <c r="FP194" s="6">
        <v>0</v>
      </c>
      <c r="FQ194" s="6">
        <v>0</v>
      </c>
      <c r="FR194" s="6">
        <v>0</v>
      </c>
      <c r="FS194" s="6"/>
      <c r="FT194" s="6" t="s">
        <v>447</v>
      </c>
      <c r="FU194" s="6" t="s">
        <v>499</v>
      </c>
      <c r="FV194" s="6"/>
      <c r="FW194" s="6" t="s">
        <v>449</v>
      </c>
      <c r="FX194" s="15" t="s">
        <v>450</v>
      </c>
      <c r="FY194" s="6" t="s">
        <v>500</v>
      </c>
      <c r="FZ194" s="6"/>
      <c r="GA194" s="6" t="s">
        <v>450</v>
      </c>
      <c r="GB194" s="6" t="s">
        <v>501</v>
      </c>
      <c r="GC194" s="6" t="s">
        <v>453</v>
      </c>
      <c r="GD194" s="6"/>
      <c r="GE194" s="6" t="s">
        <v>454</v>
      </c>
      <c r="GF194" s="6" t="s">
        <v>3202</v>
      </c>
      <c r="GG194" s="6" t="s">
        <v>456</v>
      </c>
      <c r="GH194" s="15" t="s">
        <v>1074</v>
      </c>
      <c r="GI194" s="6" t="s">
        <v>458</v>
      </c>
      <c r="GJ194" s="6" t="s">
        <v>3139</v>
      </c>
      <c r="GK194" s="6" t="s">
        <v>460</v>
      </c>
      <c r="GL194" s="6" t="s">
        <v>720</v>
      </c>
      <c r="GM194" s="6">
        <v>1</v>
      </c>
      <c r="GN194" s="6">
        <v>0</v>
      </c>
      <c r="GO194" s="6">
        <v>0</v>
      </c>
      <c r="GP194" s="6">
        <v>0</v>
      </c>
      <c r="GQ194" s="6">
        <v>0</v>
      </c>
      <c r="GR194" s="6">
        <v>0</v>
      </c>
      <c r="GS194" s="6">
        <v>0</v>
      </c>
      <c r="GT194" s="6"/>
      <c r="GU194" s="6" t="s">
        <v>534</v>
      </c>
      <c r="GV194" s="6" t="s">
        <v>463</v>
      </c>
      <c r="GW194" s="6" t="s">
        <v>464</v>
      </c>
      <c r="GX194" s="6">
        <v>1</v>
      </c>
      <c r="GY194" s="6">
        <v>0</v>
      </c>
      <c r="GZ194" s="6">
        <v>0</v>
      </c>
      <c r="HA194" s="6">
        <v>0</v>
      </c>
      <c r="HB194" s="6">
        <v>0</v>
      </c>
      <c r="HC194" s="6">
        <v>0</v>
      </c>
      <c r="HD194" s="6"/>
      <c r="HE194" s="6" t="s">
        <v>535</v>
      </c>
      <c r="HF194" s="6">
        <v>1</v>
      </c>
      <c r="HG194" s="6">
        <v>0</v>
      </c>
      <c r="HH194" s="6">
        <v>0</v>
      </c>
      <c r="HI194" s="6">
        <v>0</v>
      </c>
      <c r="HJ194" s="6">
        <v>0</v>
      </c>
      <c r="HK194" s="6">
        <v>0</v>
      </c>
      <c r="HL194" s="15"/>
      <c r="HM194" s="6" t="s">
        <v>466</v>
      </c>
      <c r="HN194" s="6"/>
      <c r="HO194" s="6" t="s">
        <v>3203</v>
      </c>
      <c r="HP194" s="6" t="s">
        <v>537</v>
      </c>
      <c r="HQ194" s="6" t="s">
        <v>538</v>
      </c>
      <c r="HR194" s="6" t="s">
        <v>1201</v>
      </c>
      <c r="HS194" s="6" t="s">
        <v>540</v>
      </c>
      <c r="HT194" s="6">
        <v>1</v>
      </c>
      <c r="HU194" s="6">
        <v>0</v>
      </c>
      <c r="HV194" s="6">
        <v>0</v>
      </c>
      <c r="HW194" s="6">
        <v>0</v>
      </c>
      <c r="HX194" s="6">
        <v>0</v>
      </c>
      <c r="HY194" s="6">
        <v>0</v>
      </c>
      <c r="HZ194" s="6"/>
      <c r="IA194" s="6" t="s">
        <v>112</v>
      </c>
      <c r="IB194" s="6">
        <v>0</v>
      </c>
      <c r="IC194" s="6">
        <v>1</v>
      </c>
      <c r="ID194" s="6">
        <v>0</v>
      </c>
      <c r="IE194" s="6">
        <v>0</v>
      </c>
      <c r="IF194" s="6">
        <v>0</v>
      </c>
      <c r="IG194" s="6">
        <v>0</v>
      </c>
      <c r="IH194" s="15" t="s">
        <v>3204</v>
      </c>
      <c r="II194" s="6" t="s">
        <v>426</v>
      </c>
      <c r="IJ194" s="6" t="s">
        <v>472</v>
      </c>
      <c r="IK194" s="6">
        <v>1</v>
      </c>
      <c r="IL194" s="6">
        <v>0</v>
      </c>
      <c r="IM194" s="6">
        <v>0</v>
      </c>
      <c r="IN194" s="6"/>
      <c r="IO194" s="6" t="s">
        <v>473</v>
      </c>
      <c r="IP194" s="6">
        <v>1</v>
      </c>
      <c r="IQ194" s="6">
        <v>0</v>
      </c>
      <c r="IR194" s="6">
        <v>0</v>
      </c>
      <c r="IS194" s="6">
        <v>0</v>
      </c>
      <c r="IT194" s="6">
        <v>0</v>
      </c>
      <c r="IU194" s="6">
        <v>0</v>
      </c>
      <c r="IV194" s="6"/>
      <c r="IW194" s="6" t="s">
        <v>426</v>
      </c>
      <c r="IX194" s="6">
        <v>1</v>
      </c>
      <c r="IY194" s="6" t="s">
        <v>474</v>
      </c>
      <c r="IZ194" s="6" t="s">
        <v>475</v>
      </c>
      <c r="JA194" s="6" t="s">
        <v>426</v>
      </c>
      <c r="JB194" s="6" t="s">
        <v>476</v>
      </c>
      <c r="JC194" s="6"/>
      <c r="JD194" s="6"/>
      <c r="JE194" s="6"/>
      <c r="JF194" s="6"/>
      <c r="JG194" s="6"/>
      <c r="JH194" s="6"/>
      <c r="JI194" s="6"/>
      <c r="JJ194" s="6"/>
      <c r="JK194" s="6" t="s">
        <v>426</v>
      </c>
      <c r="JL194" s="6" t="s">
        <v>426</v>
      </c>
      <c r="JM194" s="6"/>
      <c r="JN194" s="6"/>
      <c r="JO194" s="6"/>
      <c r="JP194" s="6"/>
      <c r="JQ194" s="6"/>
      <c r="JR194" s="6"/>
      <c r="JS194" s="6"/>
      <c r="JT194" s="6"/>
      <c r="JU194" s="6" t="s">
        <v>511</v>
      </c>
      <c r="JV194" s="15"/>
      <c r="JW194" s="94" t="s">
        <v>3205</v>
      </c>
      <c r="JX194" s="6" t="s">
        <v>3206</v>
      </c>
      <c r="JY194" s="6">
        <v>0.8230509</v>
      </c>
      <c r="JZ194" s="6">
        <v>34.8650433</v>
      </c>
      <c r="KA194" s="6">
        <v>1729.157</v>
      </c>
      <c r="KB194" s="15">
        <v>1.975</v>
      </c>
      <c r="KC194" s="15"/>
    </row>
    <row r="195" spans="1:289">
      <c r="A195" s="6" t="s">
        <v>1301</v>
      </c>
      <c r="B195" s="6" t="s">
        <v>2503</v>
      </c>
      <c r="C195" s="7" t="s">
        <v>2504</v>
      </c>
      <c r="D195" s="6" t="s">
        <v>2167</v>
      </c>
      <c r="E195" s="6" t="s">
        <v>3207</v>
      </c>
      <c r="F195" s="8" t="s">
        <v>483</v>
      </c>
      <c r="G195" s="6" t="s">
        <v>424</v>
      </c>
      <c r="H195" s="6" t="s">
        <v>517</v>
      </c>
      <c r="I195" s="15"/>
      <c r="J195" s="6" t="s">
        <v>426</v>
      </c>
      <c r="K195" s="6" t="s">
        <v>426</v>
      </c>
      <c r="L195" s="6" t="s">
        <v>426</v>
      </c>
      <c r="M195" s="6" t="s">
        <v>426</v>
      </c>
      <c r="N195" s="6" t="s">
        <v>426</v>
      </c>
      <c r="O195" s="6" t="s">
        <v>426</v>
      </c>
      <c r="P195" s="6" t="s">
        <v>426</v>
      </c>
      <c r="Q195" s="6" t="s">
        <v>426</v>
      </c>
      <c r="R195" s="6" t="s">
        <v>426</v>
      </c>
      <c r="S195" s="6" t="s">
        <v>426</v>
      </c>
      <c r="T195" s="6" t="s">
        <v>426</v>
      </c>
      <c r="U195" s="6" t="s">
        <v>426</v>
      </c>
      <c r="V195" s="6" t="s">
        <v>426</v>
      </c>
      <c r="W195" s="6" t="s">
        <v>426</v>
      </c>
      <c r="X195" s="6" t="s">
        <v>426</v>
      </c>
      <c r="Y195" s="6" t="s">
        <v>426</v>
      </c>
      <c r="Z195" s="6" t="s">
        <v>426</v>
      </c>
      <c r="AA195" s="6" t="s">
        <v>426</v>
      </c>
      <c r="AB195" s="6" t="s">
        <v>426</v>
      </c>
      <c r="AC195" s="15" t="s">
        <v>426</v>
      </c>
      <c r="AD195" s="6" t="s">
        <v>2057</v>
      </c>
      <c r="AE195" s="6">
        <v>1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/>
      <c r="AN195" s="15"/>
      <c r="AO195" s="6" t="s">
        <v>426</v>
      </c>
      <c r="AP195" s="6" t="s">
        <v>1367</v>
      </c>
      <c r="AQ195" s="6" t="s">
        <v>426</v>
      </c>
      <c r="AR195" s="6" t="s">
        <v>766</v>
      </c>
      <c r="AS195" s="6" t="s">
        <v>426</v>
      </c>
      <c r="AT195" s="6">
        <v>0.5</v>
      </c>
      <c r="AU195" s="6" t="s">
        <v>426</v>
      </c>
      <c r="AV195" s="6">
        <v>0.5</v>
      </c>
      <c r="AW195" s="6" t="s">
        <v>426</v>
      </c>
      <c r="AX195" s="6">
        <v>0.25</v>
      </c>
      <c r="AY195" s="6" t="s">
        <v>426</v>
      </c>
      <c r="AZ195" s="6">
        <v>1</v>
      </c>
      <c r="BA195" s="6" t="s">
        <v>426</v>
      </c>
      <c r="BB195" s="6">
        <v>0.25</v>
      </c>
      <c r="BC195" s="6" t="s">
        <v>426</v>
      </c>
      <c r="BD195" s="6">
        <v>0.5</v>
      </c>
      <c r="BE195" s="6" t="s">
        <v>426</v>
      </c>
      <c r="BF195" s="6">
        <v>3</v>
      </c>
      <c r="BG195" s="6" t="s">
        <v>426</v>
      </c>
      <c r="BH195" s="6">
        <v>0.25</v>
      </c>
      <c r="BI195" s="6" t="s">
        <v>426</v>
      </c>
      <c r="BJ195" s="6">
        <v>0.25</v>
      </c>
      <c r="BK195" s="6" t="s">
        <v>426</v>
      </c>
      <c r="BL195" s="6">
        <v>0.25</v>
      </c>
      <c r="BM195" s="6" t="s">
        <v>426</v>
      </c>
      <c r="BN195" s="6">
        <v>600</v>
      </c>
      <c r="BO195" s="6" t="s">
        <v>426</v>
      </c>
      <c r="BP195" s="6">
        <v>0.25</v>
      </c>
      <c r="BQ195" s="6" t="s">
        <v>426</v>
      </c>
      <c r="BR195" s="6">
        <v>80</v>
      </c>
      <c r="BS195" s="6" t="s">
        <v>426</v>
      </c>
      <c r="BT195" s="6">
        <v>250</v>
      </c>
      <c r="BU195" s="6" t="s">
        <v>426</v>
      </c>
      <c r="BV195" s="15">
        <v>0.5</v>
      </c>
      <c r="BW195" s="15" t="s">
        <v>806</v>
      </c>
      <c r="BX195" s="15" t="s">
        <v>786</v>
      </c>
      <c r="BY195" s="6" t="s">
        <v>430</v>
      </c>
      <c r="BZ195" s="6" t="s">
        <v>430</v>
      </c>
      <c r="CA195" s="6" t="s">
        <v>430</v>
      </c>
      <c r="CB195" s="6" t="s">
        <v>430</v>
      </c>
      <c r="CC195" s="6" t="s">
        <v>430</v>
      </c>
      <c r="CD195" s="6" t="s">
        <v>430</v>
      </c>
      <c r="CE195" s="6" t="s">
        <v>430</v>
      </c>
      <c r="CF195" s="6" t="s">
        <v>430</v>
      </c>
      <c r="CG195" s="6" t="s">
        <v>430</v>
      </c>
      <c r="CH195" s="6" t="s">
        <v>430</v>
      </c>
      <c r="CI195" s="6" t="s">
        <v>430</v>
      </c>
      <c r="CJ195" s="6" t="s">
        <v>430</v>
      </c>
      <c r="CK195" s="6" t="s">
        <v>430</v>
      </c>
      <c r="CL195" s="6" t="s">
        <v>430</v>
      </c>
      <c r="CM195" s="6" t="s">
        <v>430</v>
      </c>
      <c r="CN195" s="6" t="s">
        <v>430</v>
      </c>
      <c r="CO195" s="15" t="s">
        <v>430</v>
      </c>
      <c r="CP195" s="15" t="s">
        <v>432</v>
      </c>
      <c r="CQ195" s="6" t="s">
        <v>433</v>
      </c>
      <c r="CR195" s="15"/>
      <c r="CS195" s="6" t="s">
        <v>426</v>
      </c>
      <c r="CT195" s="6" t="s">
        <v>3208</v>
      </c>
      <c r="CU195" s="6" t="s">
        <v>660</v>
      </c>
      <c r="CV195" s="6" t="s">
        <v>660</v>
      </c>
      <c r="CW195" s="6" t="s">
        <v>1090</v>
      </c>
      <c r="CX195" s="15" t="s">
        <v>426</v>
      </c>
      <c r="CY195" s="6" t="s">
        <v>426</v>
      </c>
      <c r="CZ195" s="6" t="s">
        <v>1306</v>
      </c>
      <c r="DA195" s="6" t="s">
        <v>1450</v>
      </c>
      <c r="DB195" s="6" t="s">
        <v>1427</v>
      </c>
      <c r="DC195" s="6" t="s">
        <v>1091</v>
      </c>
      <c r="DD195" s="15" t="s">
        <v>808</v>
      </c>
      <c r="DE195" s="15" t="s">
        <v>436</v>
      </c>
      <c r="DF195" s="6" t="s">
        <v>2863</v>
      </c>
      <c r="DG195" s="6">
        <v>1</v>
      </c>
      <c r="DH195" s="6">
        <v>1</v>
      </c>
      <c r="DI195" s="6">
        <v>1</v>
      </c>
      <c r="DJ195" s="6">
        <v>0</v>
      </c>
      <c r="DK195" s="6">
        <v>0</v>
      </c>
      <c r="DL195" s="6">
        <v>0</v>
      </c>
      <c r="DM195" s="6"/>
      <c r="DN195" s="6"/>
      <c r="DO195" s="6"/>
      <c r="DP195" s="6"/>
      <c r="DQ195" s="6"/>
      <c r="DR195" s="6"/>
      <c r="DS195" s="6"/>
      <c r="DT195" s="66"/>
      <c r="DU195" s="6" t="s">
        <v>438</v>
      </c>
      <c r="DV195" s="6" t="s">
        <v>426</v>
      </c>
      <c r="DW195" s="6" t="s">
        <v>1212</v>
      </c>
      <c r="DX195" s="6" t="s">
        <v>440</v>
      </c>
      <c r="DY195" s="6"/>
      <c r="DZ195" s="6" t="s">
        <v>768</v>
      </c>
      <c r="EA195" s="6">
        <v>1</v>
      </c>
      <c r="EB195" s="6">
        <v>1</v>
      </c>
      <c r="EC195" s="6">
        <v>1</v>
      </c>
      <c r="ED195" s="6">
        <v>1</v>
      </c>
      <c r="EE195" s="6">
        <v>1</v>
      </c>
      <c r="EF195" s="6">
        <v>0</v>
      </c>
      <c r="EG195" s="6">
        <v>0</v>
      </c>
      <c r="EH195" s="6">
        <v>0</v>
      </c>
      <c r="EI195" s="6"/>
      <c r="EJ195" s="6" t="s">
        <v>3209</v>
      </c>
      <c r="EK195" s="6">
        <v>1</v>
      </c>
      <c r="EL195" s="6">
        <v>1</v>
      </c>
      <c r="EM195" s="6">
        <v>1</v>
      </c>
      <c r="EN195" s="6">
        <v>1</v>
      </c>
      <c r="EO195" s="6">
        <v>1</v>
      </c>
      <c r="EP195" s="6">
        <v>1</v>
      </c>
      <c r="EQ195" s="6">
        <v>0</v>
      </c>
      <c r="ER195" s="6">
        <v>0</v>
      </c>
      <c r="ES195" s="6">
        <v>0</v>
      </c>
      <c r="ET195" s="6"/>
      <c r="EU195" s="6" t="s">
        <v>443</v>
      </c>
      <c r="EV195" s="6" t="s">
        <v>495</v>
      </c>
      <c r="EW195" s="6"/>
      <c r="EX195" s="6" t="s">
        <v>3210</v>
      </c>
      <c r="EY195" s="6">
        <v>1</v>
      </c>
      <c r="EZ195" s="6">
        <v>1</v>
      </c>
      <c r="FA195" s="6">
        <v>1</v>
      </c>
      <c r="FB195" s="6">
        <v>1</v>
      </c>
      <c r="FC195" s="6">
        <v>0</v>
      </c>
      <c r="FD195" s="6">
        <v>0</v>
      </c>
      <c r="FE195" s="6">
        <v>0</v>
      </c>
      <c r="FF195" s="6">
        <v>0</v>
      </c>
      <c r="FG195" s="6"/>
      <c r="FH195" s="6" t="s">
        <v>909</v>
      </c>
      <c r="FI195" s="6">
        <v>0</v>
      </c>
      <c r="FJ195" s="6">
        <v>0</v>
      </c>
      <c r="FK195" s="6">
        <v>0</v>
      </c>
      <c r="FL195" s="6">
        <v>0</v>
      </c>
      <c r="FM195" s="6">
        <v>1</v>
      </c>
      <c r="FN195" s="6">
        <v>0</v>
      </c>
      <c r="FO195" s="6">
        <v>0</v>
      </c>
      <c r="FP195" s="6">
        <v>0</v>
      </c>
      <c r="FQ195" s="6">
        <v>0</v>
      </c>
      <c r="FR195" s="6">
        <v>0</v>
      </c>
      <c r="FS195" s="6"/>
      <c r="FT195" s="6" t="s">
        <v>447</v>
      </c>
      <c r="FU195" s="6" t="s">
        <v>499</v>
      </c>
      <c r="FV195" s="6"/>
      <c r="FW195" s="6" t="s">
        <v>449</v>
      </c>
      <c r="FX195" s="15" t="s">
        <v>450</v>
      </c>
      <c r="FY195" s="6" t="s">
        <v>451</v>
      </c>
      <c r="FZ195" s="6"/>
      <c r="GA195" s="6" t="s">
        <v>450</v>
      </c>
      <c r="GB195" s="6" t="s">
        <v>501</v>
      </c>
      <c r="GC195" s="6" t="s">
        <v>453</v>
      </c>
      <c r="GD195" s="6"/>
      <c r="GE195" s="6" t="s">
        <v>454</v>
      </c>
      <c r="GF195" s="6" t="s">
        <v>3211</v>
      </c>
      <c r="GG195" s="6" t="s">
        <v>456</v>
      </c>
      <c r="GH195" s="15" t="s">
        <v>3212</v>
      </c>
      <c r="GI195" s="6" t="s">
        <v>458</v>
      </c>
      <c r="GJ195" s="6" t="s">
        <v>3213</v>
      </c>
      <c r="GK195" s="6" t="s">
        <v>460</v>
      </c>
      <c r="GL195" s="6" t="s">
        <v>533</v>
      </c>
      <c r="GM195" s="6">
        <v>0</v>
      </c>
      <c r="GN195" s="6">
        <v>0</v>
      </c>
      <c r="GO195" s="6">
        <v>0</v>
      </c>
      <c r="GP195" s="6">
        <v>0</v>
      </c>
      <c r="GQ195" s="6">
        <v>1</v>
      </c>
      <c r="GR195" s="6">
        <v>0</v>
      </c>
      <c r="GS195" s="6">
        <v>0</v>
      </c>
      <c r="GT195" s="6"/>
      <c r="GU195" s="6" t="s">
        <v>534</v>
      </c>
      <c r="GV195" s="6" t="s">
        <v>595</v>
      </c>
      <c r="GW195" s="6" t="s">
        <v>3214</v>
      </c>
      <c r="GX195" s="6">
        <v>1</v>
      </c>
      <c r="GY195" s="6">
        <v>1</v>
      </c>
      <c r="GZ195" s="6">
        <v>0</v>
      </c>
      <c r="HA195" s="6">
        <v>1</v>
      </c>
      <c r="HB195" s="6">
        <v>0</v>
      </c>
      <c r="HC195" s="6">
        <v>0</v>
      </c>
      <c r="HD195" s="6"/>
      <c r="HE195" s="6" t="s">
        <v>3215</v>
      </c>
      <c r="HF195" s="6">
        <v>0</v>
      </c>
      <c r="HG195" s="6">
        <v>1</v>
      </c>
      <c r="HH195" s="6">
        <v>0</v>
      </c>
      <c r="HI195" s="6">
        <v>1</v>
      </c>
      <c r="HJ195" s="6">
        <v>0</v>
      </c>
      <c r="HK195" s="6">
        <v>0</v>
      </c>
      <c r="HL195" s="15"/>
      <c r="HM195" s="6" t="s">
        <v>466</v>
      </c>
      <c r="HN195" s="6"/>
      <c r="HO195" s="6" t="s">
        <v>3216</v>
      </c>
      <c r="HP195" s="6" t="s">
        <v>537</v>
      </c>
      <c r="HQ195" s="6" t="s">
        <v>3217</v>
      </c>
      <c r="HR195" s="6" t="s">
        <v>3218</v>
      </c>
      <c r="HS195" s="6" t="s">
        <v>1315</v>
      </c>
      <c r="HT195" s="6">
        <v>0</v>
      </c>
      <c r="HU195" s="6">
        <v>0</v>
      </c>
      <c r="HV195" s="6">
        <v>1</v>
      </c>
      <c r="HW195" s="6">
        <v>0</v>
      </c>
      <c r="HX195" s="6">
        <v>1</v>
      </c>
      <c r="HY195" s="6">
        <v>1</v>
      </c>
      <c r="HZ195" s="6"/>
      <c r="IA195" s="6" t="s">
        <v>2274</v>
      </c>
      <c r="IB195" s="6">
        <v>1</v>
      </c>
      <c r="IC195" s="6">
        <v>1</v>
      </c>
      <c r="ID195" s="6">
        <v>1</v>
      </c>
      <c r="IE195" s="6">
        <v>0</v>
      </c>
      <c r="IF195" s="6">
        <v>0</v>
      </c>
      <c r="IG195" s="6">
        <v>0</v>
      </c>
      <c r="IH195" s="15" t="s">
        <v>3219</v>
      </c>
      <c r="II195" s="6" t="s">
        <v>426</v>
      </c>
      <c r="IJ195" s="6" t="s">
        <v>602</v>
      </c>
      <c r="IK195" s="6">
        <v>1</v>
      </c>
      <c r="IL195" s="6">
        <v>1</v>
      </c>
      <c r="IM195" s="6">
        <v>0</v>
      </c>
      <c r="IN195" s="6"/>
      <c r="IO195" s="6" t="s">
        <v>3220</v>
      </c>
      <c r="IP195" s="6">
        <v>1</v>
      </c>
      <c r="IQ195" s="6">
        <v>0</v>
      </c>
      <c r="IR195" s="6">
        <v>1</v>
      </c>
      <c r="IS195" s="6">
        <v>0</v>
      </c>
      <c r="IT195" s="6">
        <v>1</v>
      </c>
      <c r="IU195" s="6">
        <v>0</v>
      </c>
      <c r="IV195" s="6"/>
      <c r="IW195" s="6" t="s">
        <v>426</v>
      </c>
      <c r="IX195" s="6">
        <v>1</v>
      </c>
      <c r="IY195" s="6" t="s">
        <v>474</v>
      </c>
      <c r="IZ195" s="6" t="s">
        <v>475</v>
      </c>
      <c r="JA195" s="6" t="s">
        <v>426</v>
      </c>
      <c r="JB195" s="6" t="s">
        <v>651</v>
      </c>
      <c r="JC195" s="6"/>
      <c r="JD195" s="6"/>
      <c r="JE195" s="6"/>
      <c r="JF195" s="6"/>
      <c r="JG195" s="6"/>
      <c r="JH195" s="6"/>
      <c r="JI195" s="6"/>
      <c r="JJ195" s="6"/>
      <c r="JK195" s="6" t="s">
        <v>426</v>
      </c>
      <c r="JL195" s="6" t="s">
        <v>453</v>
      </c>
      <c r="JM195" s="6" t="s">
        <v>894</v>
      </c>
      <c r="JN195" s="6">
        <v>0</v>
      </c>
      <c r="JO195" s="6">
        <v>1</v>
      </c>
      <c r="JP195" s="6">
        <v>0</v>
      </c>
      <c r="JQ195" s="6">
        <v>0</v>
      </c>
      <c r="JR195" s="6">
        <v>0</v>
      </c>
      <c r="JS195" s="6">
        <v>0</v>
      </c>
      <c r="JT195" s="6"/>
      <c r="JU195" s="6" t="s">
        <v>544</v>
      </c>
      <c r="JV195" s="15"/>
      <c r="JW195" s="94" t="s">
        <v>3221</v>
      </c>
      <c r="JX195" s="6" t="s">
        <v>3222</v>
      </c>
      <c r="JY195" s="6">
        <v>0.8317513</v>
      </c>
      <c r="JZ195" s="6">
        <v>34.8652664</v>
      </c>
      <c r="KA195" s="6">
        <v>1743.16381835937</v>
      </c>
      <c r="KB195" s="15">
        <v>4.716</v>
      </c>
      <c r="KC195" s="15"/>
    </row>
    <row r="196" spans="1:289">
      <c r="A196" s="6" t="s">
        <v>864</v>
      </c>
      <c r="B196" s="6" t="s">
        <v>2503</v>
      </c>
      <c r="C196" s="7" t="s">
        <v>2504</v>
      </c>
      <c r="D196" s="6" t="s">
        <v>2599</v>
      </c>
      <c r="E196" s="6" t="s">
        <v>2168</v>
      </c>
      <c r="F196" s="8" t="s">
        <v>483</v>
      </c>
      <c r="G196" s="6" t="s">
        <v>731</v>
      </c>
      <c r="H196" s="6" t="s">
        <v>517</v>
      </c>
      <c r="I196" s="15"/>
      <c r="J196" s="6" t="s">
        <v>426</v>
      </c>
      <c r="K196" s="6" t="s">
        <v>426</v>
      </c>
      <c r="L196" s="6" t="s">
        <v>426</v>
      </c>
      <c r="M196" s="6" t="s">
        <v>426</v>
      </c>
      <c r="N196" s="6" t="s">
        <v>426</v>
      </c>
      <c r="O196" s="6" t="s">
        <v>426</v>
      </c>
      <c r="P196" s="6" t="s">
        <v>426</v>
      </c>
      <c r="Q196" s="6" t="s">
        <v>426</v>
      </c>
      <c r="R196" s="6" t="s">
        <v>426</v>
      </c>
      <c r="S196" s="6" t="s">
        <v>426</v>
      </c>
      <c r="T196" s="6" t="s">
        <v>426</v>
      </c>
      <c r="U196" s="6" t="s">
        <v>426</v>
      </c>
      <c r="V196" s="6" t="s">
        <v>426</v>
      </c>
      <c r="W196" s="6" t="s">
        <v>453</v>
      </c>
      <c r="X196" s="6" t="s">
        <v>426</v>
      </c>
      <c r="Y196" s="6" t="s">
        <v>426</v>
      </c>
      <c r="Z196" s="6" t="s">
        <v>426</v>
      </c>
      <c r="AA196" s="6" t="s">
        <v>426</v>
      </c>
      <c r="AB196" s="6" t="s">
        <v>426</v>
      </c>
      <c r="AC196" s="15" t="s">
        <v>426</v>
      </c>
      <c r="AD196" s="6" t="s">
        <v>427</v>
      </c>
      <c r="AE196" s="6">
        <v>0</v>
      </c>
      <c r="AF196" s="6">
        <v>0</v>
      </c>
      <c r="AG196" s="6">
        <v>0</v>
      </c>
      <c r="AH196" s="6">
        <v>1</v>
      </c>
      <c r="AI196" s="6">
        <v>0</v>
      </c>
      <c r="AJ196" s="6">
        <v>0</v>
      </c>
      <c r="AK196" s="6">
        <v>0</v>
      </c>
      <c r="AL196" s="6">
        <v>0</v>
      </c>
      <c r="AM196" s="6"/>
      <c r="AN196" s="15"/>
      <c r="AO196" s="6" t="s">
        <v>426</v>
      </c>
      <c r="AP196" s="6" t="s">
        <v>901</v>
      </c>
      <c r="AQ196" s="6" t="s">
        <v>426</v>
      </c>
      <c r="AR196" s="6" t="s">
        <v>656</v>
      </c>
      <c r="AS196" s="6" t="s">
        <v>426</v>
      </c>
      <c r="AT196" s="6">
        <v>0.1</v>
      </c>
      <c r="AU196" s="6" t="s">
        <v>426</v>
      </c>
      <c r="AV196" s="6">
        <v>0.1</v>
      </c>
      <c r="AW196" s="6" t="s">
        <v>426</v>
      </c>
      <c r="AX196" s="6">
        <v>0.3</v>
      </c>
      <c r="AY196" s="6" t="s">
        <v>426</v>
      </c>
      <c r="AZ196" s="6">
        <v>1</v>
      </c>
      <c r="BA196" s="6" t="s">
        <v>453</v>
      </c>
      <c r="BB196" s="6"/>
      <c r="BC196" s="6" t="s">
        <v>426</v>
      </c>
      <c r="BD196" s="6">
        <v>0.1</v>
      </c>
      <c r="BE196" s="6" t="s">
        <v>426</v>
      </c>
      <c r="BF196" s="6">
        <v>6</v>
      </c>
      <c r="BG196" s="6" t="s">
        <v>426</v>
      </c>
      <c r="BH196" s="6">
        <v>0.1</v>
      </c>
      <c r="BI196" s="6" t="s">
        <v>426</v>
      </c>
      <c r="BJ196" s="6">
        <v>0.3</v>
      </c>
      <c r="BK196" s="6" t="s">
        <v>426</v>
      </c>
      <c r="BL196" s="6">
        <v>0.2</v>
      </c>
      <c r="BM196" s="6" t="s">
        <v>426</v>
      </c>
      <c r="BN196" s="6">
        <v>60</v>
      </c>
      <c r="BO196" s="6" t="s">
        <v>426</v>
      </c>
      <c r="BP196" s="6">
        <v>0.1</v>
      </c>
      <c r="BQ196" s="6" t="s">
        <v>426</v>
      </c>
      <c r="BR196" s="6">
        <v>50</v>
      </c>
      <c r="BS196" s="6" t="s">
        <v>453</v>
      </c>
      <c r="BT196" s="6"/>
      <c r="BU196" s="6" t="s">
        <v>426</v>
      </c>
      <c r="BV196" s="15">
        <v>0.2</v>
      </c>
      <c r="BW196" s="15" t="s">
        <v>880</v>
      </c>
      <c r="BX196" s="15" t="s">
        <v>786</v>
      </c>
      <c r="BY196" s="6" t="s">
        <v>430</v>
      </c>
      <c r="BZ196" s="6" t="s">
        <v>430</v>
      </c>
      <c r="CA196" s="6" t="s">
        <v>430</v>
      </c>
      <c r="CB196" s="6" t="s">
        <v>486</v>
      </c>
      <c r="CC196" s="6" t="s">
        <v>486</v>
      </c>
      <c r="CD196" s="6" t="s">
        <v>430</v>
      </c>
      <c r="CE196" s="6" t="s">
        <v>430</v>
      </c>
      <c r="CF196" s="6" t="s">
        <v>486</v>
      </c>
      <c r="CG196" s="6" t="s">
        <v>430</v>
      </c>
      <c r="CH196" s="6" t="s">
        <v>486</v>
      </c>
      <c r="CI196" s="6" t="s">
        <v>430</v>
      </c>
      <c r="CJ196" s="6" t="s">
        <v>486</v>
      </c>
      <c r="CK196" s="6" t="s">
        <v>430</v>
      </c>
      <c r="CL196" s="6" t="s">
        <v>430</v>
      </c>
      <c r="CM196" s="6" t="s">
        <v>430</v>
      </c>
      <c r="CN196" s="6" t="s">
        <v>487</v>
      </c>
      <c r="CO196" s="15" t="s">
        <v>430</v>
      </c>
      <c r="CP196" s="15" t="s">
        <v>902</v>
      </c>
      <c r="CQ196" s="6" t="s">
        <v>686</v>
      </c>
      <c r="CR196" s="15"/>
      <c r="CS196" s="6" t="s">
        <v>426</v>
      </c>
      <c r="CT196" s="6" t="s">
        <v>3223</v>
      </c>
      <c r="CU196" s="6" t="s">
        <v>3224</v>
      </c>
      <c r="CV196" s="6" t="s">
        <v>3225</v>
      </c>
      <c r="CW196" s="6" t="s">
        <v>1305</v>
      </c>
      <c r="CX196" s="15" t="s">
        <v>453</v>
      </c>
      <c r="CY196" s="6"/>
      <c r="CZ196" s="6"/>
      <c r="DA196" s="6"/>
      <c r="DB196" s="6"/>
      <c r="DC196" s="6"/>
      <c r="DD196" s="15"/>
      <c r="DE196" s="15" t="s">
        <v>521</v>
      </c>
      <c r="DF196" s="6" t="s">
        <v>522</v>
      </c>
      <c r="DG196" s="6">
        <v>0</v>
      </c>
      <c r="DH196" s="6">
        <v>1</v>
      </c>
      <c r="DI196" s="6">
        <v>0</v>
      </c>
      <c r="DJ196" s="6">
        <v>0</v>
      </c>
      <c r="DK196" s="6">
        <v>0</v>
      </c>
      <c r="DL196" s="6">
        <v>0</v>
      </c>
      <c r="DM196" s="6"/>
      <c r="DN196" s="6"/>
      <c r="DO196" s="6"/>
      <c r="DP196" s="6"/>
      <c r="DQ196" s="6"/>
      <c r="DR196" s="6"/>
      <c r="DS196" s="6"/>
      <c r="DT196" s="66"/>
      <c r="DU196" s="6" t="s">
        <v>438</v>
      </c>
      <c r="DV196" s="6" t="s">
        <v>426</v>
      </c>
      <c r="DW196" s="6" t="s">
        <v>439</v>
      </c>
      <c r="DX196" s="6" t="s">
        <v>491</v>
      </c>
      <c r="DY196" s="6"/>
      <c r="DZ196" s="6" t="s">
        <v>3226</v>
      </c>
      <c r="EA196" s="6">
        <v>1</v>
      </c>
      <c r="EB196" s="6">
        <v>1</v>
      </c>
      <c r="EC196" s="6">
        <v>1</v>
      </c>
      <c r="ED196" s="6">
        <v>1</v>
      </c>
      <c r="EE196" s="6">
        <v>0</v>
      </c>
      <c r="EF196" s="6">
        <v>0</v>
      </c>
      <c r="EG196" s="6">
        <v>0</v>
      </c>
      <c r="EH196" s="6">
        <v>0</v>
      </c>
      <c r="EI196" s="6"/>
      <c r="EJ196" s="6" t="s">
        <v>851</v>
      </c>
      <c r="EK196" s="6">
        <v>1</v>
      </c>
      <c r="EL196" s="6">
        <v>1</v>
      </c>
      <c r="EM196" s="6">
        <v>1</v>
      </c>
      <c r="EN196" s="6">
        <v>1</v>
      </c>
      <c r="EO196" s="6">
        <v>1</v>
      </c>
      <c r="EP196" s="6">
        <v>0</v>
      </c>
      <c r="EQ196" s="6">
        <v>0</v>
      </c>
      <c r="ER196" s="6">
        <v>0</v>
      </c>
      <c r="ES196" s="6">
        <v>0</v>
      </c>
      <c r="ET196" s="6"/>
      <c r="EU196" s="6" t="s">
        <v>494</v>
      </c>
      <c r="EV196" s="6" t="s">
        <v>554</v>
      </c>
      <c r="EW196" s="6"/>
      <c r="EX196" s="6" t="s">
        <v>669</v>
      </c>
      <c r="EY196" s="6">
        <v>0</v>
      </c>
      <c r="EZ196" s="6">
        <v>1</v>
      </c>
      <c r="FA196" s="6">
        <v>0</v>
      </c>
      <c r="FB196" s="6">
        <v>0</v>
      </c>
      <c r="FC196" s="6">
        <v>0</v>
      </c>
      <c r="FD196" s="6">
        <v>0</v>
      </c>
      <c r="FE196" s="6">
        <v>0</v>
      </c>
      <c r="FF196" s="6">
        <v>0</v>
      </c>
      <c r="FG196" s="6"/>
      <c r="FH196" s="6" t="s">
        <v>1096</v>
      </c>
      <c r="FI196" s="6">
        <v>1</v>
      </c>
      <c r="FJ196" s="6">
        <v>0</v>
      </c>
      <c r="FK196" s="6">
        <v>0</v>
      </c>
      <c r="FL196" s="6">
        <v>1</v>
      </c>
      <c r="FM196" s="6">
        <v>1</v>
      </c>
      <c r="FN196" s="6">
        <v>0</v>
      </c>
      <c r="FO196" s="6">
        <v>0</v>
      </c>
      <c r="FP196" s="6">
        <v>0</v>
      </c>
      <c r="FQ196" s="6">
        <v>0</v>
      </c>
      <c r="FR196" s="6">
        <v>0</v>
      </c>
      <c r="FS196" s="6"/>
      <c r="FT196" s="6" t="s">
        <v>556</v>
      </c>
      <c r="FU196" s="6" t="s">
        <v>743</v>
      </c>
      <c r="FV196" s="6" t="s">
        <v>1072</v>
      </c>
      <c r="FW196" s="6" t="s">
        <v>1709</v>
      </c>
      <c r="FX196" s="15" t="s">
        <v>528</v>
      </c>
      <c r="FY196" s="6" t="s">
        <v>529</v>
      </c>
      <c r="FZ196" s="6"/>
      <c r="GA196" s="6" t="s">
        <v>528</v>
      </c>
      <c r="GB196" s="6" t="s">
        <v>452</v>
      </c>
      <c r="GC196" s="6" t="s">
        <v>453</v>
      </c>
      <c r="GD196" s="6"/>
      <c r="GE196" s="6" t="s">
        <v>454</v>
      </c>
      <c r="GF196" s="6" t="s">
        <v>3227</v>
      </c>
      <c r="GG196" s="6" t="s">
        <v>502</v>
      </c>
      <c r="GH196" s="15"/>
      <c r="GI196" s="6" t="s">
        <v>458</v>
      </c>
      <c r="GJ196" s="6" t="s">
        <v>3228</v>
      </c>
      <c r="GK196" s="6" t="s">
        <v>460</v>
      </c>
      <c r="GL196" s="6" t="s">
        <v>674</v>
      </c>
      <c r="GM196" s="6">
        <v>1</v>
      </c>
      <c r="GN196" s="6">
        <v>1</v>
      </c>
      <c r="GO196" s="6">
        <v>0</v>
      </c>
      <c r="GP196" s="6">
        <v>0</v>
      </c>
      <c r="GQ196" s="6">
        <v>0</v>
      </c>
      <c r="GR196" s="6">
        <v>0</v>
      </c>
      <c r="GS196" s="6">
        <v>0</v>
      </c>
      <c r="GT196" s="6"/>
      <c r="GU196" s="6" t="s">
        <v>534</v>
      </c>
      <c r="GV196" s="6" t="s">
        <v>595</v>
      </c>
      <c r="GW196" s="6" t="s">
        <v>464</v>
      </c>
      <c r="GX196" s="6">
        <v>1</v>
      </c>
      <c r="GY196" s="6">
        <v>0</v>
      </c>
      <c r="GZ196" s="6">
        <v>0</v>
      </c>
      <c r="HA196" s="6">
        <v>0</v>
      </c>
      <c r="HB196" s="6">
        <v>0</v>
      </c>
      <c r="HC196" s="6">
        <v>0</v>
      </c>
      <c r="HD196" s="6"/>
      <c r="HE196" s="6" t="s">
        <v>3229</v>
      </c>
      <c r="HF196" s="6">
        <v>1</v>
      </c>
      <c r="HG196" s="6">
        <v>1</v>
      </c>
      <c r="HH196" s="6">
        <v>1</v>
      </c>
      <c r="HI196" s="6">
        <v>0</v>
      </c>
      <c r="HJ196" s="6">
        <v>0</v>
      </c>
      <c r="HK196" s="6">
        <v>0</v>
      </c>
      <c r="HL196" s="15"/>
      <c r="HM196" s="6" t="s">
        <v>676</v>
      </c>
      <c r="HN196" s="6"/>
      <c r="HO196" s="6" t="s">
        <v>3230</v>
      </c>
      <c r="HP196" s="6" t="s">
        <v>537</v>
      </c>
      <c r="HQ196" s="6" t="s">
        <v>1201</v>
      </c>
      <c r="HR196" s="6" t="s">
        <v>1201</v>
      </c>
      <c r="HS196" s="6" t="s">
        <v>508</v>
      </c>
      <c r="HT196" s="6">
        <v>0</v>
      </c>
      <c r="HU196" s="6">
        <v>0</v>
      </c>
      <c r="HV196" s="6">
        <v>1</v>
      </c>
      <c r="HW196" s="6">
        <v>0</v>
      </c>
      <c r="HX196" s="6">
        <v>0</v>
      </c>
      <c r="HY196" s="6">
        <v>0</v>
      </c>
      <c r="HZ196" s="6"/>
      <c r="IA196" s="6" t="s">
        <v>751</v>
      </c>
      <c r="IB196" s="6">
        <v>0</v>
      </c>
      <c r="IC196" s="6">
        <v>1</v>
      </c>
      <c r="ID196" s="6">
        <v>1</v>
      </c>
      <c r="IE196" s="6">
        <v>0</v>
      </c>
      <c r="IF196" s="6">
        <v>0</v>
      </c>
      <c r="IG196" s="6">
        <v>0</v>
      </c>
      <c r="IH196" s="15" t="s">
        <v>3231</v>
      </c>
      <c r="II196" s="6" t="s">
        <v>426</v>
      </c>
      <c r="IJ196" s="6" t="s">
        <v>602</v>
      </c>
      <c r="IK196" s="6">
        <v>1</v>
      </c>
      <c r="IL196" s="6">
        <v>1</v>
      </c>
      <c r="IM196" s="6">
        <v>0</v>
      </c>
      <c r="IN196" s="6"/>
      <c r="IO196" s="6" t="s">
        <v>473</v>
      </c>
      <c r="IP196" s="6">
        <v>1</v>
      </c>
      <c r="IQ196" s="6">
        <v>0</v>
      </c>
      <c r="IR196" s="6">
        <v>0</v>
      </c>
      <c r="IS196" s="6">
        <v>0</v>
      </c>
      <c r="IT196" s="6">
        <v>0</v>
      </c>
      <c r="IU196" s="6">
        <v>0</v>
      </c>
      <c r="IV196" s="6"/>
      <c r="IW196" s="6" t="s">
        <v>426</v>
      </c>
      <c r="IX196" s="6">
        <v>1</v>
      </c>
      <c r="IY196" s="6" t="s">
        <v>474</v>
      </c>
      <c r="IZ196" s="6" t="s">
        <v>475</v>
      </c>
      <c r="JA196" s="6" t="s">
        <v>426</v>
      </c>
      <c r="JB196" s="6" t="s">
        <v>476</v>
      </c>
      <c r="JC196" s="6"/>
      <c r="JD196" s="6"/>
      <c r="JE196" s="6"/>
      <c r="JF196" s="6"/>
      <c r="JG196" s="6"/>
      <c r="JH196" s="6"/>
      <c r="JI196" s="6"/>
      <c r="JJ196" s="6"/>
      <c r="JK196" s="6" t="s">
        <v>426</v>
      </c>
      <c r="JL196" s="6" t="s">
        <v>453</v>
      </c>
      <c r="JM196" s="6" t="s">
        <v>913</v>
      </c>
      <c r="JN196" s="6">
        <v>1</v>
      </c>
      <c r="JO196" s="6">
        <v>0</v>
      </c>
      <c r="JP196" s="6">
        <v>0</v>
      </c>
      <c r="JQ196" s="6">
        <v>0</v>
      </c>
      <c r="JR196" s="6">
        <v>0</v>
      </c>
      <c r="JS196" s="6">
        <v>0</v>
      </c>
      <c r="JT196" s="6"/>
      <c r="JU196" s="6" t="s">
        <v>895</v>
      </c>
      <c r="JV196" s="15" t="s">
        <v>3232</v>
      </c>
      <c r="JW196" s="94" t="s">
        <v>3233</v>
      </c>
      <c r="JX196" s="6" t="s">
        <v>3234</v>
      </c>
      <c r="JY196" s="6">
        <v>0.8262513</v>
      </c>
      <c r="JZ196" s="6">
        <v>34.8659522</v>
      </c>
      <c r="KA196" s="6">
        <v>1746.98</v>
      </c>
      <c r="KB196" s="15">
        <v>4.66</v>
      </c>
      <c r="KC196" s="15"/>
    </row>
    <row r="197" spans="1:289">
      <c r="A197" s="6" t="s">
        <v>514</v>
      </c>
      <c r="B197" s="6" t="s">
        <v>2503</v>
      </c>
      <c r="C197" s="7" t="s">
        <v>2504</v>
      </c>
      <c r="D197" s="6" t="s">
        <v>2167</v>
      </c>
      <c r="E197" s="6" t="s">
        <v>3235</v>
      </c>
      <c r="F197" s="8" t="s">
        <v>483</v>
      </c>
      <c r="G197" s="6" t="s">
        <v>424</v>
      </c>
      <c r="H197" s="6" t="s">
        <v>425</v>
      </c>
      <c r="I197" s="15"/>
      <c r="J197" s="6" t="s">
        <v>426</v>
      </c>
      <c r="K197" s="6" t="s">
        <v>426</v>
      </c>
      <c r="L197" s="6" t="s">
        <v>426</v>
      </c>
      <c r="M197" s="6" t="s">
        <v>426</v>
      </c>
      <c r="N197" s="6" t="s">
        <v>426</v>
      </c>
      <c r="O197" s="6" t="s">
        <v>426</v>
      </c>
      <c r="P197" s="6" t="s">
        <v>426</v>
      </c>
      <c r="Q197" s="6" t="s">
        <v>426</v>
      </c>
      <c r="R197" s="6" t="s">
        <v>426</v>
      </c>
      <c r="S197" s="6" t="s">
        <v>426</v>
      </c>
      <c r="T197" s="6" t="s">
        <v>426</v>
      </c>
      <c r="U197" s="6" t="s">
        <v>426</v>
      </c>
      <c r="V197" s="6" t="s">
        <v>426</v>
      </c>
      <c r="W197" s="6" t="s">
        <v>426</v>
      </c>
      <c r="X197" s="6" t="s">
        <v>426</v>
      </c>
      <c r="Y197" s="6" t="s">
        <v>426</v>
      </c>
      <c r="Z197" s="6" t="s">
        <v>426</v>
      </c>
      <c r="AA197" s="6" t="s">
        <v>426</v>
      </c>
      <c r="AB197" s="6" t="s">
        <v>426</v>
      </c>
      <c r="AC197" s="15" t="s">
        <v>426</v>
      </c>
      <c r="AD197" s="6" t="s">
        <v>427</v>
      </c>
      <c r="AE197" s="6">
        <v>0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0</v>
      </c>
      <c r="AL197" s="6">
        <v>0</v>
      </c>
      <c r="AM197" s="6"/>
      <c r="AN197" s="15"/>
      <c r="AO197" s="6" t="s">
        <v>426</v>
      </c>
      <c r="AP197" s="6" t="s">
        <v>920</v>
      </c>
      <c r="AQ197" s="6" t="s">
        <v>426</v>
      </c>
      <c r="AR197" s="6" t="s">
        <v>656</v>
      </c>
      <c r="AS197" s="6" t="s">
        <v>426</v>
      </c>
      <c r="AT197" s="6">
        <v>0.5</v>
      </c>
      <c r="AU197" s="6" t="s">
        <v>426</v>
      </c>
      <c r="AV197" s="6">
        <v>0.4</v>
      </c>
      <c r="AW197" s="6" t="s">
        <v>426</v>
      </c>
      <c r="AX197" s="6">
        <v>0.2</v>
      </c>
      <c r="AY197" s="6" t="s">
        <v>426</v>
      </c>
      <c r="AZ197" s="6">
        <v>1</v>
      </c>
      <c r="BA197" s="6" t="s">
        <v>426</v>
      </c>
      <c r="BB197" s="6">
        <v>0.4</v>
      </c>
      <c r="BC197" s="6" t="s">
        <v>426</v>
      </c>
      <c r="BD197" s="6">
        <v>0.2</v>
      </c>
      <c r="BE197" s="6" t="s">
        <v>426</v>
      </c>
      <c r="BF197" s="6">
        <v>2</v>
      </c>
      <c r="BG197" s="6" t="s">
        <v>426</v>
      </c>
      <c r="BH197" s="6">
        <v>2</v>
      </c>
      <c r="BI197" s="6" t="s">
        <v>426</v>
      </c>
      <c r="BJ197" s="6">
        <v>0.5</v>
      </c>
      <c r="BK197" s="6" t="s">
        <v>426</v>
      </c>
      <c r="BL197" s="6">
        <v>0.1</v>
      </c>
      <c r="BM197" s="6" t="s">
        <v>426</v>
      </c>
      <c r="BN197" s="6">
        <v>2</v>
      </c>
      <c r="BO197" s="6" t="s">
        <v>426</v>
      </c>
      <c r="BP197" s="6">
        <v>0.2</v>
      </c>
      <c r="BQ197" s="6" t="s">
        <v>426</v>
      </c>
      <c r="BR197" s="6">
        <v>12</v>
      </c>
      <c r="BS197" s="6" t="s">
        <v>426</v>
      </c>
      <c r="BT197" s="6">
        <v>3</v>
      </c>
      <c r="BU197" s="6" t="s">
        <v>426</v>
      </c>
      <c r="BV197" s="15">
        <v>0.2</v>
      </c>
      <c r="BW197" s="15" t="s">
        <v>953</v>
      </c>
      <c r="BX197" s="15" t="s">
        <v>429</v>
      </c>
      <c r="BY197" s="6" t="s">
        <v>430</v>
      </c>
      <c r="BZ197" s="6" t="s">
        <v>430</v>
      </c>
      <c r="CA197" s="6" t="s">
        <v>430</v>
      </c>
      <c r="CB197" s="6" t="s">
        <v>430</v>
      </c>
      <c r="CC197" s="6" t="s">
        <v>430</v>
      </c>
      <c r="CD197" s="6" t="s">
        <v>430</v>
      </c>
      <c r="CE197" s="6" t="s">
        <v>430</v>
      </c>
      <c r="CF197" s="6" t="s">
        <v>430</v>
      </c>
      <c r="CG197" s="6" t="s">
        <v>430</v>
      </c>
      <c r="CH197" s="6" t="s">
        <v>430</v>
      </c>
      <c r="CI197" s="6" t="s">
        <v>430</v>
      </c>
      <c r="CJ197" s="6" t="s">
        <v>430</v>
      </c>
      <c r="CK197" s="6" t="s">
        <v>430</v>
      </c>
      <c r="CL197" s="6" t="s">
        <v>430</v>
      </c>
      <c r="CM197" s="6" t="s">
        <v>430</v>
      </c>
      <c r="CN197" s="6" t="s">
        <v>430</v>
      </c>
      <c r="CO197" s="15" t="s">
        <v>430</v>
      </c>
      <c r="CP197" s="15" t="s">
        <v>432</v>
      </c>
      <c r="CQ197" s="6" t="s">
        <v>433</v>
      </c>
      <c r="CR197" s="15"/>
      <c r="CS197" s="6" t="s">
        <v>426</v>
      </c>
      <c r="CT197" s="6" t="s">
        <v>3236</v>
      </c>
      <c r="CU197" s="6" t="s">
        <v>660</v>
      </c>
      <c r="CV197" s="6" t="s">
        <v>789</v>
      </c>
      <c r="CW197" s="6" t="s">
        <v>692</v>
      </c>
      <c r="CX197" s="15" t="s">
        <v>426</v>
      </c>
      <c r="CY197" s="6" t="s">
        <v>426</v>
      </c>
      <c r="CZ197" s="6" t="s">
        <v>3237</v>
      </c>
      <c r="DA197" s="6" t="s">
        <v>1091</v>
      </c>
      <c r="DB197" s="6" t="s">
        <v>845</v>
      </c>
      <c r="DC197" s="6" t="s">
        <v>2603</v>
      </c>
      <c r="DD197" s="15" t="s">
        <v>1322</v>
      </c>
      <c r="DE197" s="15" t="s">
        <v>436</v>
      </c>
      <c r="DF197" s="6" t="s">
        <v>437</v>
      </c>
      <c r="DG197" s="6">
        <v>1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/>
      <c r="DN197" s="6"/>
      <c r="DO197" s="6"/>
      <c r="DP197" s="6"/>
      <c r="DQ197" s="6"/>
      <c r="DR197" s="6"/>
      <c r="DS197" s="6"/>
      <c r="DT197" s="66"/>
      <c r="DU197" s="6" t="s">
        <v>438</v>
      </c>
      <c r="DV197" s="6" t="s">
        <v>426</v>
      </c>
      <c r="DW197" s="6" t="s">
        <v>439</v>
      </c>
      <c r="DX197" s="6" t="s">
        <v>440</v>
      </c>
      <c r="DY197" s="6"/>
      <c r="DZ197" s="6" t="s">
        <v>1196</v>
      </c>
      <c r="EA197" s="6">
        <v>1</v>
      </c>
      <c r="EB197" s="6">
        <v>0</v>
      </c>
      <c r="EC197" s="6">
        <v>1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/>
      <c r="EJ197" s="6" t="s">
        <v>2171</v>
      </c>
      <c r="EK197" s="6">
        <v>1</v>
      </c>
      <c r="EL197" s="6">
        <v>0</v>
      </c>
      <c r="EM197" s="6">
        <v>1</v>
      </c>
      <c r="EN197" s="6">
        <v>0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6"/>
      <c r="EU197" s="6" t="s">
        <v>443</v>
      </c>
      <c r="EV197" s="6" t="s">
        <v>495</v>
      </c>
      <c r="EW197" s="6"/>
      <c r="EX197" s="6" t="s">
        <v>1123</v>
      </c>
      <c r="EY197" s="6">
        <v>1</v>
      </c>
      <c r="EZ197" s="6">
        <v>0</v>
      </c>
      <c r="FA197" s="6">
        <v>0</v>
      </c>
      <c r="FB197" s="6">
        <v>0</v>
      </c>
      <c r="FC197" s="6">
        <v>0</v>
      </c>
      <c r="FD197" s="6">
        <v>0</v>
      </c>
      <c r="FE197" s="6">
        <v>0</v>
      </c>
      <c r="FF197" s="6">
        <v>0</v>
      </c>
      <c r="FG197" s="6"/>
      <c r="FH197" s="6" t="s">
        <v>446</v>
      </c>
      <c r="FI197" s="6">
        <v>1</v>
      </c>
      <c r="FJ197" s="6">
        <v>0</v>
      </c>
      <c r="FK197" s="6">
        <v>0</v>
      </c>
      <c r="FL197" s="6">
        <v>0</v>
      </c>
      <c r="FM197" s="6">
        <v>1</v>
      </c>
      <c r="FN197" s="6">
        <v>0</v>
      </c>
      <c r="FO197" s="6">
        <v>0</v>
      </c>
      <c r="FP197" s="6">
        <v>0</v>
      </c>
      <c r="FQ197" s="6">
        <v>0</v>
      </c>
      <c r="FR197" s="6">
        <v>0</v>
      </c>
      <c r="FS197" s="6"/>
      <c r="FT197" s="6" t="s">
        <v>447</v>
      </c>
      <c r="FU197" s="6" t="s">
        <v>499</v>
      </c>
      <c r="FV197" s="6"/>
      <c r="FW197" s="6" t="s">
        <v>449</v>
      </c>
      <c r="FX197" s="15" t="s">
        <v>450</v>
      </c>
      <c r="FY197" s="6" t="s">
        <v>500</v>
      </c>
      <c r="FZ197" s="6"/>
      <c r="GA197" s="6" t="s">
        <v>450</v>
      </c>
      <c r="GB197" s="6" t="s">
        <v>501</v>
      </c>
      <c r="GC197" s="6" t="s">
        <v>453</v>
      </c>
      <c r="GD197" s="6"/>
      <c r="GE197" s="6" t="s">
        <v>453</v>
      </c>
      <c r="GF197" s="6"/>
      <c r="GG197" s="6" t="s">
        <v>592</v>
      </c>
      <c r="GH197" s="15" t="s">
        <v>593</v>
      </c>
      <c r="GI197" s="6" t="s">
        <v>458</v>
      </c>
      <c r="GJ197" s="6" t="s">
        <v>3238</v>
      </c>
      <c r="GK197" s="6" t="s">
        <v>460</v>
      </c>
      <c r="GL197" s="6" t="s">
        <v>461</v>
      </c>
      <c r="GM197" s="6">
        <v>0</v>
      </c>
      <c r="GN197" s="6">
        <v>0</v>
      </c>
      <c r="GO197" s="6">
        <v>0</v>
      </c>
      <c r="GP197" s="6">
        <v>0</v>
      </c>
      <c r="GQ197" s="6">
        <v>0</v>
      </c>
      <c r="GR197" s="6">
        <v>1</v>
      </c>
      <c r="GS197" s="6">
        <v>0</v>
      </c>
      <c r="GT197" s="6"/>
      <c r="GU197" s="6" t="s">
        <v>462</v>
      </c>
      <c r="GV197" s="6" t="s">
        <v>595</v>
      </c>
      <c r="GW197" s="6" t="s">
        <v>464</v>
      </c>
      <c r="GX197" s="6">
        <v>1</v>
      </c>
      <c r="GY197" s="6">
        <v>0</v>
      </c>
      <c r="GZ197" s="6">
        <v>0</v>
      </c>
      <c r="HA197" s="6">
        <v>0</v>
      </c>
      <c r="HB197" s="6">
        <v>0</v>
      </c>
      <c r="HC197" s="6">
        <v>0</v>
      </c>
      <c r="HD197" s="6"/>
      <c r="HE197" s="6" t="s">
        <v>535</v>
      </c>
      <c r="HF197" s="6">
        <v>1</v>
      </c>
      <c r="HG197" s="6">
        <v>0</v>
      </c>
      <c r="HH197" s="6">
        <v>0</v>
      </c>
      <c r="HI197" s="6">
        <v>0</v>
      </c>
      <c r="HJ197" s="6">
        <v>0</v>
      </c>
      <c r="HK197" s="6">
        <v>0</v>
      </c>
      <c r="HL197" s="15"/>
      <c r="HM197" s="6" t="s">
        <v>505</v>
      </c>
      <c r="HN197" s="6"/>
      <c r="HO197" s="6" t="s">
        <v>3239</v>
      </c>
      <c r="HP197" s="6" t="s">
        <v>537</v>
      </c>
      <c r="HQ197" s="6" t="s">
        <v>539</v>
      </c>
      <c r="HR197" s="6" t="s">
        <v>539</v>
      </c>
      <c r="HS197" s="6" t="s">
        <v>540</v>
      </c>
      <c r="HT197" s="6">
        <v>1</v>
      </c>
      <c r="HU197" s="6">
        <v>0</v>
      </c>
      <c r="HV197" s="6">
        <v>0</v>
      </c>
      <c r="HW197" s="6">
        <v>0</v>
      </c>
      <c r="HX197" s="6">
        <v>0</v>
      </c>
      <c r="HY197" s="6">
        <v>0</v>
      </c>
      <c r="HZ197" s="6"/>
      <c r="IA197" s="6" t="s">
        <v>1491</v>
      </c>
      <c r="IB197" s="6">
        <v>1</v>
      </c>
      <c r="IC197" s="6">
        <v>0</v>
      </c>
      <c r="ID197" s="6">
        <v>1</v>
      </c>
      <c r="IE197" s="6">
        <v>0</v>
      </c>
      <c r="IF197" s="6">
        <v>0</v>
      </c>
      <c r="IG197" s="6">
        <v>0</v>
      </c>
      <c r="IH197" s="15" t="s">
        <v>3240</v>
      </c>
      <c r="II197" s="6" t="s">
        <v>426</v>
      </c>
      <c r="IJ197" s="6" t="s">
        <v>472</v>
      </c>
      <c r="IK197" s="6">
        <v>1</v>
      </c>
      <c r="IL197" s="6">
        <v>0</v>
      </c>
      <c r="IM197" s="6">
        <v>0</v>
      </c>
      <c r="IN197" s="6"/>
      <c r="IO197" s="6" t="s">
        <v>473</v>
      </c>
      <c r="IP197" s="6">
        <v>1</v>
      </c>
      <c r="IQ197" s="6">
        <v>0</v>
      </c>
      <c r="IR197" s="6">
        <v>0</v>
      </c>
      <c r="IS197" s="6">
        <v>0</v>
      </c>
      <c r="IT197" s="6">
        <v>0</v>
      </c>
      <c r="IU197" s="6">
        <v>0</v>
      </c>
      <c r="IV197" s="6"/>
      <c r="IW197" s="6" t="s">
        <v>426</v>
      </c>
      <c r="IX197" s="6">
        <v>1</v>
      </c>
      <c r="IY197" s="6" t="s">
        <v>474</v>
      </c>
      <c r="IZ197" s="6" t="s">
        <v>475</v>
      </c>
      <c r="JA197" s="6" t="s">
        <v>426</v>
      </c>
      <c r="JB197" s="6" t="s">
        <v>476</v>
      </c>
      <c r="JC197" s="6"/>
      <c r="JD197" s="6"/>
      <c r="JE197" s="6"/>
      <c r="JF197" s="6"/>
      <c r="JG197" s="6"/>
      <c r="JH197" s="6"/>
      <c r="JI197" s="6"/>
      <c r="JJ197" s="6"/>
      <c r="JK197" s="6" t="s">
        <v>426</v>
      </c>
      <c r="JL197" s="6" t="s">
        <v>426</v>
      </c>
      <c r="JM197" s="6"/>
      <c r="JN197" s="6"/>
      <c r="JO197" s="6"/>
      <c r="JP197" s="6"/>
      <c r="JQ197" s="6"/>
      <c r="JR197" s="6"/>
      <c r="JS197" s="6"/>
      <c r="JT197" s="6"/>
      <c r="JU197" s="6" t="s">
        <v>895</v>
      </c>
      <c r="JV197" s="15" t="s">
        <v>1990</v>
      </c>
      <c r="JW197" s="94" t="s">
        <v>3241</v>
      </c>
      <c r="JX197" s="6" t="s">
        <v>3242</v>
      </c>
      <c r="JY197" s="6">
        <v>0.823198</v>
      </c>
      <c r="JZ197" s="6">
        <v>34.8649473</v>
      </c>
      <c r="KA197" s="6">
        <v>1733.886</v>
      </c>
      <c r="KB197" s="15">
        <v>4.933</v>
      </c>
      <c r="KC197" s="15"/>
    </row>
    <row r="198" spans="1:289">
      <c r="A198" s="6" t="s">
        <v>514</v>
      </c>
      <c r="B198" s="6" t="s">
        <v>2503</v>
      </c>
      <c r="C198" s="7" t="s">
        <v>2504</v>
      </c>
      <c r="D198" s="6" t="s">
        <v>2167</v>
      </c>
      <c r="E198" s="6" t="s">
        <v>3243</v>
      </c>
      <c r="F198" s="8" t="s">
        <v>483</v>
      </c>
      <c r="G198" s="6" t="s">
        <v>424</v>
      </c>
      <c r="H198" s="6" t="s">
        <v>517</v>
      </c>
      <c r="I198" s="15"/>
      <c r="J198" s="6" t="s">
        <v>426</v>
      </c>
      <c r="K198" s="6" t="s">
        <v>426</v>
      </c>
      <c r="L198" s="6" t="s">
        <v>426</v>
      </c>
      <c r="M198" s="6" t="s">
        <v>426</v>
      </c>
      <c r="N198" s="6" t="s">
        <v>426</v>
      </c>
      <c r="O198" s="6" t="s">
        <v>426</v>
      </c>
      <c r="P198" s="6" t="s">
        <v>426</v>
      </c>
      <c r="Q198" s="6" t="s">
        <v>426</v>
      </c>
      <c r="R198" s="6" t="s">
        <v>426</v>
      </c>
      <c r="S198" s="6" t="s">
        <v>426</v>
      </c>
      <c r="T198" s="6" t="s">
        <v>426</v>
      </c>
      <c r="U198" s="6" t="s">
        <v>426</v>
      </c>
      <c r="V198" s="6" t="s">
        <v>426</v>
      </c>
      <c r="W198" s="6" t="s">
        <v>426</v>
      </c>
      <c r="X198" s="6" t="s">
        <v>426</v>
      </c>
      <c r="Y198" s="6" t="s">
        <v>426</v>
      </c>
      <c r="Z198" s="6" t="s">
        <v>426</v>
      </c>
      <c r="AA198" s="6" t="s">
        <v>426</v>
      </c>
      <c r="AB198" s="6" t="s">
        <v>426</v>
      </c>
      <c r="AC198" s="15" t="s">
        <v>426</v>
      </c>
      <c r="AD198" s="6" t="s">
        <v>427</v>
      </c>
      <c r="AE198" s="6">
        <v>0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0</v>
      </c>
      <c r="AL198" s="6">
        <v>0</v>
      </c>
      <c r="AM198" s="6"/>
      <c r="AN198" s="15"/>
      <c r="AO198" s="6" t="s">
        <v>426</v>
      </c>
      <c r="AP198" s="6" t="s">
        <v>1188</v>
      </c>
      <c r="AQ198" s="6" t="s">
        <v>426</v>
      </c>
      <c r="AR198" s="6" t="s">
        <v>1188</v>
      </c>
      <c r="AS198" s="6" t="s">
        <v>426</v>
      </c>
      <c r="AT198" s="6">
        <v>1.2</v>
      </c>
      <c r="AU198" s="6" t="s">
        <v>426</v>
      </c>
      <c r="AV198" s="6">
        <v>1</v>
      </c>
      <c r="AW198" s="6" t="s">
        <v>426</v>
      </c>
      <c r="AX198" s="6">
        <v>1.2</v>
      </c>
      <c r="AY198" s="6" t="s">
        <v>426</v>
      </c>
      <c r="AZ198" s="6">
        <v>1</v>
      </c>
      <c r="BA198" s="6" t="s">
        <v>426</v>
      </c>
      <c r="BB198" s="6">
        <v>0.5</v>
      </c>
      <c r="BC198" s="6" t="s">
        <v>426</v>
      </c>
      <c r="BD198" s="6">
        <v>1.5</v>
      </c>
      <c r="BE198" s="6" t="s">
        <v>426</v>
      </c>
      <c r="BF198" s="6">
        <v>6</v>
      </c>
      <c r="BG198" s="6" t="s">
        <v>426</v>
      </c>
      <c r="BH198" s="6">
        <v>1</v>
      </c>
      <c r="BI198" s="6" t="s">
        <v>426</v>
      </c>
      <c r="BJ198" s="6">
        <v>1</v>
      </c>
      <c r="BK198" s="6" t="s">
        <v>426</v>
      </c>
      <c r="BL198" s="6">
        <v>1.5</v>
      </c>
      <c r="BM198" s="6" t="s">
        <v>426</v>
      </c>
      <c r="BN198" s="6">
        <v>3</v>
      </c>
      <c r="BO198" s="6" t="s">
        <v>426</v>
      </c>
      <c r="BP198" s="6">
        <v>1</v>
      </c>
      <c r="BQ198" s="6" t="s">
        <v>426</v>
      </c>
      <c r="BR198" s="6">
        <v>50</v>
      </c>
      <c r="BS198" s="6" t="s">
        <v>426</v>
      </c>
      <c r="BT198" s="6">
        <v>4</v>
      </c>
      <c r="BU198" s="6" t="s">
        <v>426</v>
      </c>
      <c r="BV198" s="15">
        <v>1.2</v>
      </c>
      <c r="BW198" s="15" t="s">
        <v>518</v>
      </c>
      <c r="BX198" s="15" t="s">
        <v>429</v>
      </c>
      <c r="BY198" s="6" t="s">
        <v>430</v>
      </c>
      <c r="BZ198" s="6" t="s">
        <v>430</v>
      </c>
      <c r="CA198" s="6" t="s">
        <v>430</v>
      </c>
      <c r="CB198" s="6" t="s">
        <v>430</v>
      </c>
      <c r="CC198" s="6" t="s">
        <v>430</v>
      </c>
      <c r="CD198" s="6" t="s">
        <v>430</v>
      </c>
      <c r="CE198" s="6" t="s">
        <v>430</v>
      </c>
      <c r="CF198" s="6" t="s">
        <v>430</v>
      </c>
      <c r="CG198" s="6" t="s">
        <v>430</v>
      </c>
      <c r="CH198" s="6" t="s">
        <v>430</v>
      </c>
      <c r="CI198" s="6" t="s">
        <v>430</v>
      </c>
      <c r="CJ198" s="6" t="s">
        <v>430</v>
      </c>
      <c r="CK198" s="6" t="s">
        <v>430</v>
      </c>
      <c r="CL198" s="6" t="s">
        <v>430</v>
      </c>
      <c r="CM198" s="6" t="s">
        <v>430</v>
      </c>
      <c r="CN198" s="6" t="s">
        <v>430</v>
      </c>
      <c r="CO198" s="15" t="s">
        <v>430</v>
      </c>
      <c r="CP198" s="15" t="s">
        <v>432</v>
      </c>
      <c r="CQ198" s="6" t="s">
        <v>433</v>
      </c>
      <c r="CR198" s="15"/>
      <c r="CS198" s="6" t="s">
        <v>426</v>
      </c>
      <c r="CT198" s="6" t="s">
        <v>3244</v>
      </c>
      <c r="CU198" s="6" t="s">
        <v>734</v>
      </c>
      <c r="CV198" s="6" t="s">
        <v>1225</v>
      </c>
      <c r="CW198" s="6" t="s">
        <v>1088</v>
      </c>
      <c r="CX198" s="15" t="s">
        <v>426</v>
      </c>
      <c r="CY198" s="6" t="s">
        <v>426</v>
      </c>
      <c r="CZ198" s="6" t="s">
        <v>3245</v>
      </c>
      <c r="DA198" s="6" t="s">
        <v>662</v>
      </c>
      <c r="DB198" s="6" t="s">
        <v>737</v>
      </c>
      <c r="DC198" s="6" t="s">
        <v>1518</v>
      </c>
      <c r="DD198" s="15" t="s">
        <v>1090</v>
      </c>
      <c r="DE198" s="15" t="s">
        <v>436</v>
      </c>
      <c r="DF198" s="6" t="s">
        <v>437</v>
      </c>
      <c r="DG198" s="6">
        <v>1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/>
      <c r="DN198" s="6"/>
      <c r="DO198" s="6"/>
      <c r="DP198" s="6"/>
      <c r="DQ198" s="6"/>
      <c r="DR198" s="6"/>
      <c r="DS198" s="6"/>
      <c r="DT198" s="66"/>
      <c r="DU198" s="6" t="s">
        <v>438</v>
      </c>
      <c r="DV198" s="6" t="s">
        <v>426</v>
      </c>
      <c r="DW198" s="6" t="s">
        <v>439</v>
      </c>
      <c r="DX198" s="6" t="s">
        <v>440</v>
      </c>
      <c r="DY198" s="6"/>
      <c r="DZ198" s="6" t="s">
        <v>570</v>
      </c>
      <c r="EA198" s="6">
        <v>1</v>
      </c>
      <c r="EB198" s="6">
        <v>0</v>
      </c>
      <c r="EC198" s="6">
        <v>0</v>
      </c>
      <c r="ED198" s="6">
        <v>1</v>
      </c>
      <c r="EE198" s="6">
        <v>0</v>
      </c>
      <c r="EF198" s="6">
        <v>0</v>
      </c>
      <c r="EG198" s="6">
        <v>0</v>
      </c>
      <c r="EH198" s="6">
        <v>0</v>
      </c>
      <c r="EI198" s="6"/>
      <c r="EJ198" s="6" t="s">
        <v>3246</v>
      </c>
      <c r="EK198" s="6">
        <v>0</v>
      </c>
      <c r="EL198" s="6">
        <v>0</v>
      </c>
      <c r="EM198" s="6">
        <v>1</v>
      </c>
      <c r="EN198" s="6">
        <v>1</v>
      </c>
      <c r="EO198" s="6">
        <v>1</v>
      </c>
      <c r="EP198" s="6">
        <v>0</v>
      </c>
      <c r="EQ198" s="6">
        <v>0</v>
      </c>
      <c r="ER198" s="6">
        <v>0</v>
      </c>
      <c r="ES198" s="6">
        <v>0</v>
      </c>
      <c r="ET198" s="6"/>
      <c r="EU198" s="6" t="s">
        <v>443</v>
      </c>
      <c r="EV198" s="6" t="s">
        <v>495</v>
      </c>
      <c r="EW198" s="6"/>
      <c r="EX198" s="6" t="s">
        <v>1123</v>
      </c>
      <c r="EY198" s="6">
        <v>1</v>
      </c>
      <c r="EZ198" s="6">
        <v>0</v>
      </c>
      <c r="FA198" s="6">
        <v>0</v>
      </c>
      <c r="FB198" s="6">
        <v>0</v>
      </c>
      <c r="FC198" s="6">
        <v>0</v>
      </c>
      <c r="FD198" s="6">
        <v>0</v>
      </c>
      <c r="FE198" s="6">
        <v>0</v>
      </c>
      <c r="FF198" s="6">
        <v>0</v>
      </c>
      <c r="FG198" s="6"/>
      <c r="FH198" s="6" t="s">
        <v>555</v>
      </c>
      <c r="FI198" s="6">
        <v>0</v>
      </c>
      <c r="FJ198" s="6">
        <v>0</v>
      </c>
      <c r="FK198" s="6">
        <v>0</v>
      </c>
      <c r="FL198" s="6">
        <v>0</v>
      </c>
      <c r="FM198" s="6">
        <v>0</v>
      </c>
      <c r="FN198" s="6">
        <v>0</v>
      </c>
      <c r="FO198" s="6">
        <v>0</v>
      </c>
      <c r="FP198" s="6">
        <v>0</v>
      </c>
      <c r="FQ198" s="6">
        <v>1</v>
      </c>
      <c r="FR198" s="6">
        <v>0</v>
      </c>
      <c r="FS198" s="6"/>
      <c r="FT198" s="6" t="s">
        <v>447</v>
      </c>
      <c r="FU198" s="6" t="s">
        <v>499</v>
      </c>
      <c r="FV198" s="6"/>
      <c r="FW198" s="6" t="s">
        <v>449</v>
      </c>
      <c r="FX198" s="15" t="s">
        <v>450</v>
      </c>
      <c r="FY198" s="6" t="s">
        <v>500</v>
      </c>
      <c r="FZ198" s="6"/>
      <c r="GA198" s="6" t="s">
        <v>450</v>
      </c>
      <c r="GB198" s="6" t="s">
        <v>501</v>
      </c>
      <c r="GC198" s="6" t="s">
        <v>453</v>
      </c>
      <c r="GD198" s="6"/>
      <c r="GE198" s="6" t="s">
        <v>453</v>
      </c>
      <c r="GF198" s="6"/>
      <c r="GG198" s="6" t="s">
        <v>456</v>
      </c>
      <c r="GH198" s="15" t="s">
        <v>593</v>
      </c>
      <c r="GI198" s="6" t="s">
        <v>458</v>
      </c>
      <c r="GJ198" s="6" t="s">
        <v>673</v>
      </c>
      <c r="GK198" s="6" t="s">
        <v>460</v>
      </c>
      <c r="GL198" s="6" t="s">
        <v>720</v>
      </c>
      <c r="GM198" s="6">
        <v>1</v>
      </c>
      <c r="GN198" s="6">
        <v>0</v>
      </c>
      <c r="GO198" s="6">
        <v>0</v>
      </c>
      <c r="GP198" s="6">
        <v>0</v>
      </c>
      <c r="GQ198" s="6">
        <v>0</v>
      </c>
      <c r="GR198" s="6">
        <v>0</v>
      </c>
      <c r="GS198" s="6">
        <v>0</v>
      </c>
      <c r="GT198" s="6"/>
      <c r="GU198" s="6" t="s">
        <v>534</v>
      </c>
      <c r="GV198" s="6" t="s">
        <v>595</v>
      </c>
      <c r="GW198" s="6" t="s">
        <v>464</v>
      </c>
      <c r="GX198" s="6">
        <v>1</v>
      </c>
      <c r="GY198" s="6">
        <v>0</v>
      </c>
      <c r="GZ198" s="6">
        <v>0</v>
      </c>
      <c r="HA198" s="6">
        <v>0</v>
      </c>
      <c r="HB198" s="6">
        <v>0</v>
      </c>
      <c r="HC198" s="6">
        <v>0</v>
      </c>
      <c r="HD198" s="6"/>
      <c r="HE198" s="6" t="s">
        <v>111</v>
      </c>
      <c r="HF198" s="6">
        <v>0</v>
      </c>
      <c r="HG198" s="6">
        <v>0</v>
      </c>
      <c r="HH198" s="6">
        <v>0</v>
      </c>
      <c r="HI198" s="6">
        <v>1</v>
      </c>
      <c r="HJ198" s="6">
        <v>0</v>
      </c>
      <c r="HK198" s="6">
        <v>0</v>
      </c>
      <c r="HL198" s="15"/>
      <c r="HM198" s="6" t="s">
        <v>466</v>
      </c>
      <c r="HN198" s="6"/>
      <c r="HO198" s="6" t="s">
        <v>3247</v>
      </c>
      <c r="HP198" s="6" t="s">
        <v>1668</v>
      </c>
      <c r="HQ198" s="6"/>
      <c r="HR198" s="6" t="s">
        <v>3248</v>
      </c>
      <c r="HS198" s="6" t="s">
        <v>508</v>
      </c>
      <c r="HT198" s="6">
        <v>0</v>
      </c>
      <c r="HU198" s="6">
        <v>0</v>
      </c>
      <c r="HV198" s="6">
        <v>1</v>
      </c>
      <c r="HW198" s="6">
        <v>0</v>
      </c>
      <c r="HX198" s="6">
        <v>0</v>
      </c>
      <c r="HY198" s="6">
        <v>0</v>
      </c>
      <c r="HZ198" s="6"/>
      <c r="IA198" s="6" t="s">
        <v>111</v>
      </c>
      <c r="IB198" s="6">
        <v>1</v>
      </c>
      <c r="IC198" s="6">
        <v>0</v>
      </c>
      <c r="ID198" s="6">
        <v>0</v>
      </c>
      <c r="IE198" s="6">
        <v>0</v>
      </c>
      <c r="IF198" s="6">
        <v>0</v>
      </c>
      <c r="IG198" s="6">
        <v>0</v>
      </c>
      <c r="IH198" s="15" t="s">
        <v>542</v>
      </c>
      <c r="II198" s="6" t="s">
        <v>426</v>
      </c>
      <c r="IJ198" s="6" t="s">
        <v>472</v>
      </c>
      <c r="IK198" s="6">
        <v>1</v>
      </c>
      <c r="IL198" s="6">
        <v>0</v>
      </c>
      <c r="IM198" s="6">
        <v>0</v>
      </c>
      <c r="IN198" s="6"/>
      <c r="IO198" s="6" t="s">
        <v>473</v>
      </c>
      <c r="IP198" s="6">
        <v>1</v>
      </c>
      <c r="IQ198" s="6">
        <v>0</v>
      </c>
      <c r="IR198" s="6">
        <v>0</v>
      </c>
      <c r="IS198" s="6">
        <v>0</v>
      </c>
      <c r="IT198" s="6">
        <v>0</v>
      </c>
      <c r="IU198" s="6">
        <v>0</v>
      </c>
      <c r="IV198" s="6"/>
      <c r="IW198" s="6" t="s">
        <v>426</v>
      </c>
      <c r="IX198" s="6">
        <v>1</v>
      </c>
      <c r="IY198" s="6" t="s">
        <v>474</v>
      </c>
      <c r="IZ198" s="6" t="s">
        <v>475</v>
      </c>
      <c r="JA198" s="6" t="s">
        <v>426</v>
      </c>
      <c r="JB198" s="6" t="s">
        <v>476</v>
      </c>
      <c r="JC198" s="6"/>
      <c r="JD198" s="6"/>
      <c r="JE198" s="6"/>
      <c r="JF198" s="6"/>
      <c r="JG198" s="6"/>
      <c r="JH198" s="6"/>
      <c r="JI198" s="6"/>
      <c r="JJ198" s="6"/>
      <c r="JK198" s="6" t="s">
        <v>426</v>
      </c>
      <c r="JL198" s="6" t="s">
        <v>426</v>
      </c>
      <c r="JM198" s="6"/>
      <c r="JN198" s="6"/>
      <c r="JO198" s="6"/>
      <c r="JP198" s="6"/>
      <c r="JQ198" s="6"/>
      <c r="JR198" s="6"/>
      <c r="JS198" s="6"/>
      <c r="JT198" s="6"/>
      <c r="JU198" s="6" t="s">
        <v>895</v>
      </c>
      <c r="JV198" s="15" t="s">
        <v>1990</v>
      </c>
      <c r="JW198" s="94" t="s">
        <v>3249</v>
      </c>
      <c r="JX198" s="6" t="s">
        <v>3250</v>
      </c>
      <c r="JY198" s="6">
        <v>0.823131</v>
      </c>
      <c r="JZ198" s="6">
        <v>34.8650437</v>
      </c>
      <c r="KA198" s="6">
        <v>1743.183</v>
      </c>
      <c r="KB198" s="15">
        <v>0.912</v>
      </c>
      <c r="KC198" s="15"/>
    </row>
    <row r="199" spans="1:289">
      <c r="A199" s="6" t="s">
        <v>547</v>
      </c>
      <c r="B199" s="6" t="s">
        <v>2503</v>
      </c>
      <c r="C199" s="7" t="s">
        <v>2504</v>
      </c>
      <c r="D199" s="6" t="s">
        <v>2167</v>
      </c>
      <c r="E199" s="6" t="s">
        <v>3251</v>
      </c>
      <c r="F199" s="8" t="s">
        <v>483</v>
      </c>
      <c r="G199" s="6" t="s">
        <v>424</v>
      </c>
      <c r="H199" s="6" t="s">
        <v>425</v>
      </c>
      <c r="I199" s="15"/>
      <c r="J199" s="6" t="s">
        <v>426</v>
      </c>
      <c r="K199" s="6" t="s">
        <v>426</v>
      </c>
      <c r="L199" s="6" t="s">
        <v>426</v>
      </c>
      <c r="M199" s="6" t="s">
        <v>426</v>
      </c>
      <c r="N199" s="6" t="s">
        <v>426</v>
      </c>
      <c r="O199" s="6" t="s">
        <v>426</v>
      </c>
      <c r="P199" s="6" t="s">
        <v>426</v>
      </c>
      <c r="Q199" s="6" t="s">
        <v>426</v>
      </c>
      <c r="R199" s="6" t="s">
        <v>426</v>
      </c>
      <c r="S199" s="6" t="s">
        <v>426</v>
      </c>
      <c r="T199" s="6" t="s">
        <v>426</v>
      </c>
      <c r="U199" s="6" t="s">
        <v>426</v>
      </c>
      <c r="V199" s="6" t="s">
        <v>426</v>
      </c>
      <c r="W199" s="6" t="s">
        <v>426</v>
      </c>
      <c r="X199" s="6" t="s">
        <v>426</v>
      </c>
      <c r="Y199" s="6" t="s">
        <v>426</v>
      </c>
      <c r="Z199" s="6" t="s">
        <v>426</v>
      </c>
      <c r="AA199" s="6" t="s">
        <v>426</v>
      </c>
      <c r="AB199" s="6" t="s">
        <v>426</v>
      </c>
      <c r="AC199" s="15" t="s">
        <v>426</v>
      </c>
      <c r="AD199" s="6" t="s">
        <v>427</v>
      </c>
      <c r="AE199" s="6">
        <v>0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0</v>
      </c>
      <c r="AM199" s="6"/>
      <c r="AN199" s="15"/>
      <c r="AO199" s="6" t="s">
        <v>426</v>
      </c>
      <c r="AP199" s="6" t="s">
        <v>823</v>
      </c>
      <c r="AQ199" s="6" t="s">
        <v>453</v>
      </c>
      <c r="AR199" s="6"/>
      <c r="AS199" s="6" t="s">
        <v>426</v>
      </c>
      <c r="AT199" s="6">
        <v>0.2</v>
      </c>
      <c r="AU199" s="6" t="s">
        <v>453</v>
      </c>
      <c r="AV199" s="6"/>
      <c r="AW199" s="6" t="s">
        <v>426</v>
      </c>
      <c r="AX199" s="6">
        <v>0.2</v>
      </c>
      <c r="AY199" s="6" t="s">
        <v>426</v>
      </c>
      <c r="AZ199" s="6">
        <v>1</v>
      </c>
      <c r="BA199" s="6" t="s">
        <v>426</v>
      </c>
      <c r="BB199" s="6">
        <v>0.2</v>
      </c>
      <c r="BC199" s="6" t="s">
        <v>426</v>
      </c>
      <c r="BD199" s="6">
        <v>0.2</v>
      </c>
      <c r="BE199" s="6" t="s">
        <v>426</v>
      </c>
      <c r="BF199" s="6">
        <v>10</v>
      </c>
      <c r="BG199" s="6" t="s">
        <v>426</v>
      </c>
      <c r="BH199" s="6">
        <v>0.2</v>
      </c>
      <c r="BI199" s="6" t="s">
        <v>426</v>
      </c>
      <c r="BJ199" s="6">
        <v>0.4</v>
      </c>
      <c r="BK199" s="6" t="s">
        <v>426</v>
      </c>
      <c r="BL199" s="6">
        <v>0.2</v>
      </c>
      <c r="BM199" s="6" t="s">
        <v>426</v>
      </c>
      <c r="BN199" s="6">
        <v>15</v>
      </c>
      <c r="BO199" s="6" t="s">
        <v>426</v>
      </c>
      <c r="BP199" s="6">
        <v>0.2</v>
      </c>
      <c r="BQ199" s="6" t="s">
        <v>426</v>
      </c>
      <c r="BR199" s="6">
        <v>30</v>
      </c>
      <c r="BS199" s="6" t="s">
        <v>426</v>
      </c>
      <c r="BT199" s="6">
        <v>15</v>
      </c>
      <c r="BU199" s="6" t="s">
        <v>426</v>
      </c>
      <c r="BV199" s="15">
        <v>0.4</v>
      </c>
      <c r="BW199" s="15" t="s">
        <v>880</v>
      </c>
      <c r="BX199" s="15" t="s">
        <v>429</v>
      </c>
      <c r="BY199" s="6" t="s">
        <v>430</v>
      </c>
      <c r="BZ199" s="6" t="s">
        <v>487</v>
      </c>
      <c r="CA199" s="6" t="s">
        <v>430</v>
      </c>
      <c r="CB199" s="6" t="s">
        <v>487</v>
      </c>
      <c r="CC199" s="6" t="s">
        <v>430</v>
      </c>
      <c r="CD199" s="6" t="s">
        <v>430</v>
      </c>
      <c r="CE199" s="6" t="s">
        <v>430</v>
      </c>
      <c r="CF199" s="6" t="s">
        <v>430</v>
      </c>
      <c r="CG199" s="6" t="s">
        <v>430</v>
      </c>
      <c r="CH199" s="6" t="s">
        <v>430</v>
      </c>
      <c r="CI199" s="6" t="s">
        <v>430</v>
      </c>
      <c r="CJ199" s="6" t="s">
        <v>430</v>
      </c>
      <c r="CK199" s="6" t="s">
        <v>430</v>
      </c>
      <c r="CL199" s="6" t="s">
        <v>430</v>
      </c>
      <c r="CM199" s="6" t="s">
        <v>430</v>
      </c>
      <c r="CN199" s="6" t="s">
        <v>430</v>
      </c>
      <c r="CO199" s="15" t="s">
        <v>430</v>
      </c>
      <c r="CP199" s="15" t="s">
        <v>432</v>
      </c>
      <c r="CQ199" s="6" t="s">
        <v>433</v>
      </c>
      <c r="CR199" s="15"/>
      <c r="CS199" s="6" t="s">
        <v>426</v>
      </c>
      <c r="CT199" s="6" t="s">
        <v>2047</v>
      </c>
      <c r="CU199" s="6" t="s">
        <v>1087</v>
      </c>
      <c r="CV199" s="6" t="s">
        <v>1088</v>
      </c>
      <c r="CW199" s="6" t="s">
        <v>1088</v>
      </c>
      <c r="CX199" s="15" t="s">
        <v>453</v>
      </c>
      <c r="CY199" s="6"/>
      <c r="CZ199" s="6"/>
      <c r="DA199" s="6"/>
      <c r="DB199" s="6"/>
      <c r="DC199" s="6"/>
      <c r="DD199" s="15"/>
      <c r="DE199" s="15" t="s">
        <v>436</v>
      </c>
      <c r="DF199" s="6" t="s">
        <v>522</v>
      </c>
      <c r="DG199" s="6">
        <v>0</v>
      </c>
      <c r="DH199" s="6">
        <v>1</v>
      </c>
      <c r="DI199" s="6">
        <v>0</v>
      </c>
      <c r="DJ199" s="6">
        <v>0</v>
      </c>
      <c r="DK199" s="6">
        <v>0</v>
      </c>
      <c r="DL199" s="6">
        <v>0</v>
      </c>
      <c r="DM199" s="6"/>
      <c r="DN199" s="6"/>
      <c r="DO199" s="6"/>
      <c r="DP199" s="6"/>
      <c r="DQ199" s="6"/>
      <c r="DR199" s="6"/>
      <c r="DS199" s="6"/>
      <c r="DT199" s="66"/>
      <c r="DU199" s="6" t="s">
        <v>438</v>
      </c>
      <c r="DV199" s="6" t="s">
        <v>426</v>
      </c>
      <c r="DW199" s="6" t="s">
        <v>490</v>
      </c>
      <c r="DX199" s="6" t="s">
        <v>440</v>
      </c>
      <c r="DY199" s="6"/>
      <c r="DZ199" s="6" t="s">
        <v>441</v>
      </c>
      <c r="EA199" s="6">
        <v>1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/>
      <c r="EJ199" s="6" t="s">
        <v>811</v>
      </c>
      <c r="EK199" s="6">
        <v>1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6"/>
      <c r="EU199" s="6" t="s">
        <v>443</v>
      </c>
      <c r="EV199" s="6" t="s">
        <v>495</v>
      </c>
      <c r="EW199" s="6"/>
      <c r="EX199" s="6" t="s">
        <v>1123</v>
      </c>
      <c r="EY199" s="6">
        <v>1</v>
      </c>
      <c r="EZ199" s="6">
        <v>0</v>
      </c>
      <c r="FA199" s="6">
        <v>0</v>
      </c>
      <c r="FB199" s="6">
        <v>0</v>
      </c>
      <c r="FC199" s="6">
        <v>0</v>
      </c>
      <c r="FD199" s="6">
        <v>0</v>
      </c>
      <c r="FE199" s="6">
        <v>0</v>
      </c>
      <c r="FF199" s="6">
        <v>0</v>
      </c>
      <c r="FG199" s="6"/>
      <c r="FH199" s="6" t="s">
        <v>537</v>
      </c>
      <c r="FI199" s="6">
        <v>0</v>
      </c>
      <c r="FJ199" s="6">
        <v>0</v>
      </c>
      <c r="FK199" s="6">
        <v>0</v>
      </c>
      <c r="FL199" s="6">
        <v>0</v>
      </c>
      <c r="FM199" s="6">
        <v>0</v>
      </c>
      <c r="FN199" s="6">
        <v>0</v>
      </c>
      <c r="FO199" s="6">
        <v>0</v>
      </c>
      <c r="FP199" s="6">
        <v>0</v>
      </c>
      <c r="FQ199" s="6">
        <v>0</v>
      </c>
      <c r="FR199" s="6">
        <v>1</v>
      </c>
      <c r="FS199" s="6" t="s">
        <v>3252</v>
      </c>
      <c r="FT199" s="6" t="s">
        <v>556</v>
      </c>
      <c r="FU199" s="6" t="s">
        <v>499</v>
      </c>
      <c r="FV199" s="6"/>
      <c r="FW199" s="6" t="s">
        <v>449</v>
      </c>
      <c r="FX199" s="15" t="s">
        <v>450</v>
      </c>
      <c r="FY199" s="6" t="s">
        <v>451</v>
      </c>
      <c r="FZ199" s="6"/>
      <c r="GA199" s="6" t="s">
        <v>450</v>
      </c>
      <c r="GB199" s="6" t="s">
        <v>501</v>
      </c>
      <c r="GC199" s="6" t="s">
        <v>453</v>
      </c>
      <c r="GD199" s="6"/>
      <c r="GE199" s="6" t="s">
        <v>454</v>
      </c>
      <c r="GF199" s="6" t="s">
        <v>3253</v>
      </c>
      <c r="GG199" s="6" t="s">
        <v>456</v>
      </c>
      <c r="GH199" s="15" t="s">
        <v>186</v>
      </c>
      <c r="GI199" s="6" t="s">
        <v>458</v>
      </c>
      <c r="GJ199" s="6" t="s">
        <v>815</v>
      </c>
      <c r="GK199" s="6" t="s">
        <v>460</v>
      </c>
      <c r="GL199" s="6" t="s">
        <v>461</v>
      </c>
      <c r="GM199" s="6">
        <v>0</v>
      </c>
      <c r="GN199" s="6">
        <v>0</v>
      </c>
      <c r="GO199" s="6">
        <v>0</v>
      </c>
      <c r="GP199" s="6">
        <v>0</v>
      </c>
      <c r="GQ199" s="6">
        <v>0</v>
      </c>
      <c r="GR199" s="6">
        <v>1</v>
      </c>
      <c r="GS199" s="6">
        <v>0</v>
      </c>
      <c r="GT199" s="6"/>
      <c r="GU199" s="6" t="s">
        <v>534</v>
      </c>
      <c r="GV199" s="6" t="s">
        <v>559</v>
      </c>
      <c r="GW199" s="6" t="s">
        <v>464</v>
      </c>
      <c r="GX199" s="6">
        <v>1</v>
      </c>
      <c r="GY199" s="6">
        <v>0</v>
      </c>
      <c r="GZ199" s="6">
        <v>0</v>
      </c>
      <c r="HA199" s="6">
        <v>0</v>
      </c>
      <c r="HB199" s="6">
        <v>0</v>
      </c>
      <c r="HC199" s="6">
        <v>0</v>
      </c>
      <c r="HD199" s="6"/>
      <c r="HE199" s="6" t="s">
        <v>537</v>
      </c>
      <c r="HF199" s="6">
        <v>0</v>
      </c>
      <c r="HG199" s="6">
        <v>0</v>
      </c>
      <c r="HH199" s="6">
        <v>0</v>
      </c>
      <c r="HI199" s="6">
        <v>0</v>
      </c>
      <c r="HJ199" s="6">
        <v>0</v>
      </c>
      <c r="HK199" s="6">
        <v>1</v>
      </c>
      <c r="HL199" s="15" t="s">
        <v>3254</v>
      </c>
      <c r="HM199" s="6" t="s">
        <v>505</v>
      </c>
      <c r="HN199" s="6"/>
      <c r="HO199" s="6" t="s">
        <v>3255</v>
      </c>
      <c r="HP199" s="6" t="s">
        <v>537</v>
      </c>
      <c r="HQ199" s="6" t="s">
        <v>3256</v>
      </c>
      <c r="HR199" s="6" t="s">
        <v>3257</v>
      </c>
      <c r="HS199" s="6" t="s">
        <v>470</v>
      </c>
      <c r="HT199" s="6">
        <v>0</v>
      </c>
      <c r="HU199" s="6">
        <v>0</v>
      </c>
      <c r="HV199" s="6">
        <v>0</v>
      </c>
      <c r="HW199" s="6">
        <v>0</v>
      </c>
      <c r="HX199" s="6">
        <v>1</v>
      </c>
      <c r="HY199" s="6">
        <v>0</v>
      </c>
      <c r="HZ199" s="6"/>
      <c r="IA199" s="6" t="s">
        <v>112</v>
      </c>
      <c r="IB199" s="6">
        <v>0</v>
      </c>
      <c r="IC199" s="6">
        <v>1</v>
      </c>
      <c r="ID199" s="6">
        <v>0</v>
      </c>
      <c r="IE199" s="6">
        <v>0</v>
      </c>
      <c r="IF199" s="6">
        <v>0</v>
      </c>
      <c r="IG199" s="6">
        <v>0</v>
      </c>
      <c r="IH199" s="15" t="s">
        <v>3258</v>
      </c>
      <c r="II199" s="6" t="s">
        <v>426</v>
      </c>
      <c r="IJ199" s="6" t="s">
        <v>472</v>
      </c>
      <c r="IK199" s="6">
        <v>1</v>
      </c>
      <c r="IL199" s="6">
        <v>0</v>
      </c>
      <c r="IM199" s="6">
        <v>0</v>
      </c>
      <c r="IN199" s="6"/>
      <c r="IO199" s="6" t="s">
        <v>473</v>
      </c>
      <c r="IP199" s="6">
        <v>1</v>
      </c>
      <c r="IQ199" s="6">
        <v>0</v>
      </c>
      <c r="IR199" s="6">
        <v>0</v>
      </c>
      <c r="IS199" s="6">
        <v>0</v>
      </c>
      <c r="IT199" s="6">
        <v>0</v>
      </c>
      <c r="IU199" s="6">
        <v>0</v>
      </c>
      <c r="IV199" s="6"/>
      <c r="IW199" s="6" t="s">
        <v>453</v>
      </c>
      <c r="IX199" s="6"/>
      <c r="IY199" s="6" t="s">
        <v>510</v>
      </c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 t="s">
        <v>453</v>
      </c>
      <c r="JK199" s="6" t="s">
        <v>426</v>
      </c>
      <c r="JL199" s="6" t="s">
        <v>426</v>
      </c>
      <c r="JM199" s="6"/>
      <c r="JN199" s="6"/>
      <c r="JO199" s="6"/>
      <c r="JP199" s="6"/>
      <c r="JQ199" s="6"/>
      <c r="JR199" s="6"/>
      <c r="JS199" s="6"/>
      <c r="JT199" s="6"/>
      <c r="JU199" s="6" t="s">
        <v>895</v>
      </c>
      <c r="JV199" s="15" t="s">
        <v>1247</v>
      </c>
      <c r="JW199" s="94" t="s">
        <v>3259</v>
      </c>
      <c r="JX199" s="6" t="s">
        <v>3260</v>
      </c>
      <c r="JY199" s="6">
        <v>0.83179</v>
      </c>
      <c r="JZ199" s="6">
        <v>34.865295</v>
      </c>
      <c r="KA199" s="6">
        <v>1764.6</v>
      </c>
      <c r="KB199" s="15">
        <v>3.28</v>
      </c>
      <c r="KC199" s="15"/>
    </row>
    <row r="200" spans="6:6">
      <c r="F200"/>
    </row>
    <row r="201" spans="6:6">
      <c r="F201"/>
    </row>
    <row r="202" spans="6:6">
      <c r="F202"/>
    </row>
    <row r="203" spans="1:6">
      <c r="A203" s="17" t="s">
        <v>3261</v>
      </c>
      <c r="B203" s="18"/>
      <c r="F203"/>
    </row>
    <row r="204" spans="1:6">
      <c r="A204" s="19" t="s">
        <v>3262</v>
      </c>
      <c r="B204" s="20">
        <f>COUNTIF(F5:F199,"Female")</f>
        <v>143</v>
      </c>
      <c r="F204"/>
    </row>
    <row r="205" spans="1:6">
      <c r="A205" s="19" t="s">
        <v>3263</v>
      </c>
      <c r="B205" s="21">
        <f>COUNTIF(F5:F199,"Male")</f>
        <v>52</v>
      </c>
      <c r="F205"/>
    </row>
    <row r="206" spans="1:6">
      <c r="A206" s="22" t="s">
        <v>3264</v>
      </c>
      <c r="B206" s="23">
        <f>SUM(B204:B205)</f>
        <v>195</v>
      </c>
      <c r="F206"/>
    </row>
    <row r="207" spans="6:6">
      <c r="F207"/>
    </row>
    <row r="208" spans="1:6">
      <c r="A208" s="24" t="s">
        <v>3265</v>
      </c>
      <c r="B208" s="24" t="s">
        <v>3266</v>
      </c>
      <c r="C208" s="24" t="s">
        <v>423</v>
      </c>
      <c r="D208" s="24" t="s">
        <v>483</v>
      </c>
      <c r="E208" s="24" t="s">
        <v>3267</v>
      </c>
      <c r="F208"/>
    </row>
    <row r="209" spans="1:6">
      <c r="A209" t="s">
        <v>420</v>
      </c>
      <c r="B209" t="s">
        <v>3268</v>
      </c>
      <c r="C209">
        <f>COUNTIF(F5:F69,"Male")</f>
        <v>19</v>
      </c>
      <c r="D209" s="25">
        <f>COUNTIF(F5:F69,"Female")</f>
        <v>46</v>
      </c>
      <c r="E209">
        <f>SUM(C209:D209)</f>
        <v>65</v>
      </c>
      <c r="F209"/>
    </row>
    <row r="210" spans="1:6">
      <c r="A210" t="s">
        <v>420</v>
      </c>
      <c r="B210" t="s">
        <v>1608</v>
      </c>
      <c r="C210">
        <f>COUNTIF(F70:F134,"Male")</f>
        <v>22</v>
      </c>
      <c r="D210" s="25">
        <f>COUNTIF(F70:F134,"Female")</f>
        <v>43</v>
      </c>
      <c r="E210">
        <f t="shared" ref="E210:E212" si="0">SUM(C210:D210)</f>
        <v>65</v>
      </c>
      <c r="F210"/>
    </row>
    <row r="211" spans="1:6">
      <c r="A211" t="s">
        <v>2503</v>
      </c>
      <c r="B211" t="s">
        <v>2504</v>
      </c>
      <c r="C211">
        <f>COUNTIF(F135:F199,"Male")</f>
        <v>11</v>
      </c>
      <c r="D211" s="25">
        <f>COUNTIF(F135:F199,"Female")</f>
        <v>54</v>
      </c>
      <c r="E211">
        <f t="shared" si="0"/>
        <v>65</v>
      </c>
      <c r="F211"/>
    </row>
    <row r="212" spans="1:6">
      <c r="A212" s="26" t="s">
        <v>3269</v>
      </c>
      <c r="B212" s="27"/>
      <c r="C212" s="27">
        <f>(SUM(C209:C211))</f>
        <v>52</v>
      </c>
      <c r="D212" s="26">
        <f>SUM(D209:D211)</f>
        <v>143</v>
      </c>
      <c r="E212" s="26">
        <f t="shared" si="0"/>
        <v>195</v>
      </c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  <row r="305" spans="6:6">
      <c r="F305"/>
    </row>
    <row r="306" spans="6:6">
      <c r="F306"/>
    </row>
    <row r="307" spans="6:6">
      <c r="F307"/>
    </row>
    <row r="308" spans="6:6">
      <c r="F308"/>
    </row>
    <row r="309" spans="6:6">
      <c r="F309"/>
    </row>
    <row r="310" spans="6:6">
      <c r="F310"/>
    </row>
    <row r="311" spans="6:6">
      <c r="F311"/>
    </row>
    <row r="312" spans="6:6">
      <c r="F312"/>
    </row>
    <row r="313" spans="6:6">
      <c r="F313"/>
    </row>
    <row r="314" spans="6:6">
      <c r="F314"/>
    </row>
    <row r="315" spans="6:6">
      <c r="F315"/>
    </row>
    <row r="316" spans="6:6">
      <c r="F316"/>
    </row>
    <row r="317" spans="6:6">
      <c r="F317"/>
    </row>
    <row r="318" spans="6:6">
      <c r="F318"/>
    </row>
    <row r="319" spans="6:6">
      <c r="F319"/>
    </row>
    <row r="320" spans="6:6">
      <c r="F320"/>
    </row>
    <row r="321" spans="6:6">
      <c r="F321"/>
    </row>
    <row r="322" spans="6:6">
      <c r="F322"/>
    </row>
    <row r="323" spans="6:6">
      <c r="F323"/>
    </row>
    <row r="324" spans="6:6">
      <c r="F324"/>
    </row>
    <row r="325" spans="6:6">
      <c r="F325"/>
    </row>
    <row r="326" spans="6:6">
      <c r="F326"/>
    </row>
    <row r="327" spans="6:6">
      <c r="F327"/>
    </row>
    <row r="328" spans="6:6">
      <c r="F328"/>
    </row>
    <row r="329" spans="6:6">
      <c r="F329"/>
    </row>
    <row r="330" spans="6:6">
      <c r="F330"/>
    </row>
    <row r="331" spans="6:6">
      <c r="F331"/>
    </row>
    <row r="332" spans="6:6">
      <c r="F332"/>
    </row>
    <row r="333" spans="6:6">
      <c r="F333"/>
    </row>
    <row r="334" spans="6:6">
      <c r="F334"/>
    </row>
    <row r="335" spans="6:6">
      <c r="F335"/>
    </row>
    <row r="336" spans="6:6">
      <c r="F336"/>
    </row>
    <row r="337" spans="6:6">
      <c r="F337"/>
    </row>
    <row r="338" spans="6:6">
      <c r="F338"/>
    </row>
    <row r="339" spans="6:6">
      <c r="F339"/>
    </row>
    <row r="340" spans="6:6">
      <c r="F340"/>
    </row>
    <row r="341" spans="6:6">
      <c r="F341"/>
    </row>
    <row r="342" spans="6:6">
      <c r="F342"/>
    </row>
    <row r="343" spans="6:6">
      <c r="F343"/>
    </row>
    <row r="344" spans="6:6">
      <c r="F344"/>
    </row>
    <row r="345" spans="6:6">
      <c r="F345"/>
    </row>
    <row r="346" spans="6:6">
      <c r="F346"/>
    </row>
    <row r="347" spans="6:6">
      <c r="F347"/>
    </row>
    <row r="348" spans="6:6">
      <c r="F348"/>
    </row>
    <row r="349" spans="6:6">
      <c r="F349"/>
    </row>
    <row r="350" spans="6:6">
      <c r="F350"/>
    </row>
    <row r="351" spans="6:6">
      <c r="F351"/>
    </row>
    <row r="352" spans="6:6">
      <c r="F352"/>
    </row>
    <row r="353" spans="6:6">
      <c r="F353"/>
    </row>
    <row r="354" spans="6:6">
      <c r="F354"/>
    </row>
    <row r="355" spans="6:6">
      <c r="F355"/>
    </row>
    <row r="356" spans="6:6">
      <c r="F356"/>
    </row>
    <row r="357" spans="6:6">
      <c r="F357"/>
    </row>
    <row r="358" spans="6:6">
      <c r="F358"/>
    </row>
    <row r="359" spans="6:6">
      <c r="F359"/>
    </row>
    <row r="360" spans="6:6">
      <c r="F360"/>
    </row>
    <row r="361" spans="6:6">
      <c r="F361"/>
    </row>
    <row r="362" spans="6:6">
      <c r="F362"/>
    </row>
    <row r="363" spans="6:6">
      <c r="F363"/>
    </row>
    <row r="364" spans="6:6">
      <c r="F364"/>
    </row>
    <row r="365" spans="6:6">
      <c r="F365"/>
    </row>
    <row r="366" spans="6:6">
      <c r="F366"/>
    </row>
    <row r="367" spans="6:6">
      <c r="F367"/>
    </row>
    <row r="368" spans="6:6">
      <c r="F368"/>
    </row>
    <row r="369" spans="6:6">
      <c r="F369"/>
    </row>
    <row r="370" spans="6:6">
      <c r="F370"/>
    </row>
    <row r="371" spans="6:6">
      <c r="F371"/>
    </row>
    <row r="372" spans="6:6">
      <c r="F372"/>
    </row>
    <row r="373" spans="6:6">
      <c r="F373"/>
    </row>
    <row r="374" spans="6:6">
      <c r="F374"/>
    </row>
    <row r="375" spans="6:6">
      <c r="F375"/>
    </row>
    <row r="376" spans="6:6">
      <c r="F376"/>
    </row>
    <row r="377" spans="6:6">
      <c r="F377"/>
    </row>
    <row r="378" spans="6:6">
      <c r="F378"/>
    </row>
    <row r="379" spans="6:6">
      <c r="F379"/>
    </row>
    <row r="380" spans="6:6">
      <c r="F380"/>
    </row>
    <row r="381" spans="6:6">
      <c r="F381"/>
    </row>
    <row r="382" spans="6:6">
      <c r="F382"/>
    </row>
    <row r="383" spans="6:6">
      <c r="F383"/>
    </row>
    <row r="384" spans="6:6">
      <c r="F384"/>
    </row>
    <row r="385" spans="6:6">
      <c r="F385"/>
    </row>
    <row r="386" spans="6:6">
      <c r="F386"/>
    </row>
    <row r="387" spans="6:6">
      <c r="F387"/>
    </row>
    <row r="388" spans="6:6">
      <c r="F388"/>
    </row>
    <row r="389" spans="6:6">
      <c r="F389"/>
    </row>
    <row r="390" spans="6:6">
      <c r="F390"/>
    </row>
    <row r="391" spans="6:6">
      <c r="F391"/>
    </row>
    <row r="392" spans="6:6">
      <c r="F392"/>
    </row>
    <row r="393" spans="6:6">
      <c r="F393"/>
    </row>
    <row r="394" spans="6:6">
      <c r="F394"/>
    </row>
    <row r="395" spans="6:6">
      <c r="F395"/>
    </row>
    <row r="396" spans="6:6">
      <c r="F396"/>
    </row>
    <row r="397" spans="6:6">
      <c r="F397"/>
    </row>
    <row r="398" spans="6:6">
      <c r="F398"/>
    </row>
    <row r="399" spans="6:6">
      <c r="F399"/>
    </row>
    <row r="400" spans="6:6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  <row r="448" spans="6:6">
      <c r="F448"/>
    </row>
    <row r="449" spans="6:6">
      <c r="F449"/>
    </row>
    <row r="450" spans="6:6">
      <c r="F450"/>
    </row>
    <row r="451" spans="6:6">
      <c r="F451"/>
    </row>
    <row r="452" spans="6:6">
      <c r="F452"/>
    </row>
    <row r="453" spans="6:6">
      <c r="F453"/>
    </row>
    <row r="454" spans="6:6">
      <c r="F454"/>
    </row>
    <row r="455" spans="6:6">
      <c r="F455"/>
    </row>
    <row r="456" spans="6:6">
      <c r="F456"/>
    </row>
    <row r="457" spans="6:6">
      <c r="F457"/>
    </row>
    <row r="458" spans="6:6">
      <c r="F458"/>
    </row>
    <row r="459" spans="6:6">
      <c r="F459"/>
    </row>
    <row r="460" spans="6:6">
      <c r="F460"/>
    </row>
    <row r="461" spans="6:6">
      <c r="F461"/>
    </row>
    <row r="462" spans="6:6">
      <c r="F462"/>
    </row>
    <row r="463" spans="6:6">
      <c r="F463"/>
    </row>
    <row r="464" spans="6:6">
      <c r="F464"/>
    </row>
    <row r="465" spans="6:6">
      <c r="F465"/>
    </row>
    <row r="466" spans="6:6">
      <c r="F466"/>
    </row>
    <row r="467" spans="6:6">
      <c r="F467"/>
    </row>
    <row r="468" spans="6:6">
      <c r="F468"/>
    </row>
    <row r="469" spans="6:6">
      <c r="F469"/>
    </row>
    <row r="470" spans="6:6">
      <c r="F470"/>
    </row>
    <row r="471" spans="6:6">
      <c r="F471"/>
    </row>
    <row r="472" spans="6:6">
      <c r="F472"/>
    </row>
    <row r="473" spans="6:6">
      <c r="F473"/>
    </row>
    <row r="474" spans="6:6">
      <c r="F474"/>
    </row>
    <row r="475" spans="6:6">
      <c r="F475"/>
    </row>
    <row r="476" spans="6:6">
      <c r="F476"/>
    </row>
    <row r="477" spans="6:6">
      <c r="F477"/>
    </row>
    <row r="478" spans="6:6">
      <c r="F478"/>
    </row>
    <row r="479" spans="6:6">
      <c r="F479"/>
    </row>
    <row r="480" spans="6:6">
      <c r="F480"/>
    </row>
    <row r="481" spans="6:6">
      <c r="F481"/>
    </row>
    <row r="482" spans="6:6">
      <c r="F482"/>
    </row>
    <row r="483" spans="6:6">
      <c r="F483"/>
    </row>
    <row r="484" spans="6:6">
      <c r="F484"/>
    </row>
    <row r="485" spans="6:6">
      <c r="F485"/>
    </row>
    <row r="486" spans="6:6">
      <c r="F486"/>
    </row>
    <row r="487" spans="6:6">
      <c r="F487"/>
    </row>
    <row r="488" spans="6:6">
      <c r="F488"/>
    </row>
    <row r="489" spans="6:6">
      <c r="F489"/>
    </row>
    <row r="490" spans="6:6">
      <c r="F490"/>
    </row>
    <row r="491" spans="6:6">
      <c r="F491"/>
    </row>
    <row r="492" spans="6:6">
      <c r="F492"/>
    </row>
    <row r="493" spans="6:6">
      <c r="F493"/>
    </row>
    <row r="494" spans="6:6">
      <c r="F494"/>
    </row>
    <row r="495" spans="6:6">
      <c r="F495"/>
    </row>
    <row r="496" spans="6:6">
      <c r="F496"/>
    </row>
    <row r="497" spans="6:6">
      <c r="F497"/>
    </row>
    <row r="498" spans="6:6">
      <c r="F498"/>
    </row>
    <row r="499" spans="6:6">
      <c r="F499"/>
    </row>
    <row r="500" spans="6:6">
      <c r="F500"/>
    </row>
    <row r="501" spans="6:6">
      <c r="F501"/>
    </row>
    <row r="502" spans="6:6">
      <c r="F502"/>
    </row>
    <row r="503" spans="6:6">
      <c r="F503"/>
    </row>
    <row r="504" spans="6:6">
      <c r="F504"/>
    </row>
    <row r="505" spans="6:6">
      <c r="F505"/>
    </row>
    <row r="506" spans="6:6">
      <c r="F506"/>
    </row>
    <row r="507" spans="6:6">
      <c r="F507"/>
    </row>
    <row r="508" spans="6:6">
      <c r="F508"/>
    </row>
    <row r="509" spans="6:6">
      <c r="F509"/>
    </row>
    <row r="510" spans="6:6">
      <c r="F510"/>
    </row>
    <row r="511" spans="6:6">
      <c r="F511"/>
    </row>
    <row r="512" spans="6:6">
      <c r="F512"/>
    </row>
    <row r="513" spans="6:6">
      <c r="F513"/>
    </row>
    <row r="514" spans="6:6">
      <c r="F514"/>
    </row>
    <row r="515" spans="6:6">
      <c r="F515"/>
    </row>
    <row r="516" spans="6:6">
      <c r="F516"/>
    </row>
    <row r="517" spans="6:6">
      <c r="F517"/>
    </row>
    <row r="518" spans="6:6">
      <c r="F518"/>
    </row>
    <row r="519" spans="6:6">
      <c r="F519"/>
    </row>
    <row r="520" spans="6:6">
      <c r="F520"/>
    </row>
    <row r="521" spans="6:6">
      <c r="F521"/>
    </row>
    <row r="522" spans="6:6">
      <c r="F522"/>
    </row>
    <row r="523" spans="6:6">
      <c r="F523"/>
    </row>
    <row r="524" spans="6:6">
      <c r="F524"/>
    </row>
    <row r="525" spans="6:6">
      <c r="F525"/>
    </row>
    <row r="526" spans="6:6">
      <c r="F526"/>
    </row>
    <row r="527" spans="6:6">
      <c r="F527"/>
    </row>
    <row r="528" spans="6:6">
      <c r="F528"/>
    </row>
    <row r="529" spans="6:6">
      <c r="F529"/>
    </row>
    <row r="530" spans="6:6">
      <c r="F530"/>
    </row>
    <row r="531" spans="6:6">
      <c r="F531"/>
    </row>
    <row r="532" spans="6:6">
      <c r="F532"/>
    </row>
    <row r="533" spans="6:6">
      <c r="F533"/>
    </row>
    <row r="534" spans="6:6">
      <c r="F534"/>
    </row>
    <row r="535" spans="6:6">
      <c r="F535"/>
    </row>
    <row r="536" spans="6:6">
      <c r="F536"/>
    </row>
    <row r="537" spans="6:6">
      <c r="F537"/>
    </row>
    <row r="538" spans="6:6">
      <c r="F538"/>
    </row>
    <row r="539" spans="6:6">
      <c r="F539"/>
    </row>
    <row r="540" spans="6:6">
      <c r="F540"/>
    </row>
    <row r="541" spans="6:6">
      <c r="F541"/>
    </row>
    <row r="542" spans="6:6">
      <c r="F542"/>
    </row>
    <row r="543" spans="6:6">
      <c r="F543"/>
    </row>
    <row r="544" spans="6:6">
      <c r="F544"/>
    </row>
    <row r="545" spans="6:6">
      <c r="F545"/>
    </row>
    <row r="546" spans="6:6">
      <c r="F546"/>
    </row>
    <row r="547" spans="6:6">
      <c r="F547"/>
    </row>
    <row r="548" spans="6:6">
      <c r="F548"/>
    </row>
    <row r="549" spans="6:6">
      <c r="F549"/>
    </row>
    <row r="550" spans="6:6">
      <c r="F550"/>
    </row>
    <row r="551" spans="6:6">
      <c r="F551"/>
    </row>
    <row r="552" spans="6:6">
      <c r="F552"/>
    </row>
    <row r="553" spans="6:6">
      <c r="F553"/>
    </row>
    <row r="554" spans="6:6">
      <c r="F554"/>
    </row>
    <row r="555" spans="6:6">
      <c r="F555"/>
    </row>
    <row r="556" spans="6:6">
      <c r="F556"/>
    </row>
    <row r="557" spans="6:6">
      <c r="F557"/>
    </row>
    <row r="558" spans="6:6">
      <c r="F558"/>
    </row>
    <row r="559" spans="6:6">
      <c r="F559"/>
    </row>
    <row r="560" spans="6:6">
      <c r="F560"/>
    </row>
    <row r="561" spans="6:6">
      <c r="F561"/>
    </row>
    <row r="562" spans="6:6">
      <c r="F562"/>
    </row>
    <row r="563" spans="6:6">
      <c r="F563"/>
    </row>
    <row r="564" spans="6:6">
      <c r="F564"/>
    </row>
    <row r="565" spans="6:6">
      <c r="F565"/>
    </row>
    <row r="566" spans="6:6">
      <c r="F566"/>
    </row>
    <row r="567" spans="6:6">
      <c r="F567"/>
    </row>
    <row r="568" spans="6:6">
      <c r="F568"/>
    </row>
    <row r="569" spans="6:6">
      <c r="F569"/>
    </row>
    <row r="570" spans="6:6">
      <c r="F570"/>
    </row>
    <row r="571" spans="6:6">
      <c r="F571"/>
    </row>
    <row r="572" spans="6:6">
      <c r="F572"/>
    </row>
    <row r="573" spans="6:6">
      <c r="F573"/>
    </row>
    <row r="574" spans="6:6">
      <c r="F574"/>
    </row>
    <row r="575" spans="6:6">
      <c r="F575"/>
    </row>
    <row r="576" spans="6:6">
      <c r="F576"/>
    </row>
    <row r="577" spans="6:6">
      <c r="F577"/>
    </row>
    <row r="578" spans="6:6">
      <c r="F578"/>
    </row>
    <row r="579" spans="6:6">
      <c r="F579"/>
    </row>
    <row r="580" spans="6:6">
      <c r="F580"/>
    </row>
    <row r="581" spans="6:6">
      <c r="F581"/>
    </row>
    <row r="582" spans="6:6">
      <c r="F582"/>
    </row>
    <row r="583" spans="6:6">
      <c r="F583"/>
    </row>
    <row r="584" spans="6:6">
      <c r="F584"/>
    </row>
    <row r="585" spans="6:6">
      <c r="F585"/>
    </row>
    <row r="586" spans="6:6">
      <c r="F586"/>
    </row>
    <row r="587" spans="6:6">
      <c r="F587"/>
    </row>
    <row r="588" spans="6:6">
      <c r="F588"/>
    </row>
    <row r="589" spans="6:6">
      <c r="F589"/>
    </row>
    <row r="590" spans="6:6">
      <c r="F590"/>
    </row>
    <row r="591" spans="6:6">
      <c r="F591"/>
    </row>
    <row r="592" spans="6:6">
      <c r="F592"/>
    </row>
    <row r="593" spans="6:6">
      <c r="F593"/>
    </row>
    <row r="594" spans="6:6">
      <c r="F594"/>
    </row>
    <row r="595" spans="6:6">
      <c r="F595"/>
    </row>
    <row r="596" spans="6:6">
      <c r="F596"/>
    </row>
    <row r="597" spans="6:6">
      <c r="F597"/>
    </row>
    <row r="598" spans="6:6">
      <c r="F598"/>
    </row>
    <row r="599" spans="6:6">
      <c r="F599"/>
    </row>
    <row r="600" spans="6:6">
      <c r="F600"/>
    </row>
    <row r="601" spans="6:6">
      <c r="F601"/>
    </row>
    <row r="602" spans="6:6">
      <c r="F602"/>
    </row>
    <row r="603" spans="6:6">
      <c r="F603"/>
    </row>
    <row r="604" spans="6:6">
      <c r="F604"/>
    </row>
    <row r="605" spans="6:6">
      <c r="F605"/>
    </row>
    <row r="606" spans="6:6">
      <c r="F606"/>
    </row>
    <row r="607" spans="6:6">
      <c r="F607"/>
    </row>
    <row r="608" spans="6:6">
      <c r="F608"/>
    </row>
    <row r="609" spans="6:6">
      <c r="F609"/>
    </row>
    <row r="610" spans="6:6">
      <c r="F610"/>
    </row>
    <row r="611" spans="6:6">
      <c r="F611"/>
    </row>
    <row r="612" spans="6:6">
      <c r="F612"/>
    </row>
    <row r="613" spans="6:6">
      <c r="F613"/>
    </row>
    <row r="614" spans="6:6">
      <c r="F614"/>
    </row>
    <row r="615" spans="6:6">
      <c r="F615"/>
    </row>
    <row r="616" spans="6:6">
      <c r="F616"/>
    </row>
    <row r="617" spans="6:6">
      <c r="F617"/>
    </row>
    <row r="618" spans="6:6">
      <c r="F618"/>
    </row>
    <row r="619" spans="6:6">
      <c r="F619"/>
    </row>
    <row r="620" spans="6:6">
      <c r="F620"/>
    </row>
    <row r="621" spans="6:6">
      <c r="F621"/>
    </row>
    <row r="622" spans="6:6">
      <c r="F622"/>
    </row>
    <row r="623" spans="6:6">
      <c r="F623"/>
    </row>
    <row r="624" spans="6:6">
      <c r="F624"/>
    </row>
    <row r="625" spans="6:6">
      <c r="F625"/>
    </row>
    <row r="626" spans="6:6">
      <c r="F626"/>
    </row>
    <row r="627" spans="6:6">
      <c r="F627"/>
    </row>
    <row r="628" spans="6:6">
      <c r="F628"/>
    </row>
    <row r="629" spans="6:6">
      <c r="F629"/>
    </row>
    <row r="630" spans="6:6">
      <c r="F630"/>
    </row>
    <row r="631" spans="6:6">
      <c r="F631"/>
    </row>
    <row r="632" spans="6:6">
      <c r="F632"/>
    </row>
    <row r="633" spans="6:6">
      <c r="F633"/>
    </row>
    <row r="634" spans="6:6">
      <c r="F634"/>
    </row>
    <row r="635" spans="6:6">
      <c r="F635"/>
    </row>
    <row r="636" spans="6:6">
      <c r="F636"/>
    </row>
    <row r="637" spans="6:6">
      <c r="F637"/>
    </row>
    <row r="638" spans="6:6">
      <c r="F638"/>
    </row>
    <row r="639" spans="6:6">
      <c r="F639"/>
    </row>
    <row r="640" spans="6:6">
      <c r="F640"/>
    </row>
    <row r="641" spans="6:6">
      <c r="F641"/>
    </row>
    <row r="642" spans="6:6">
      <c r="F642"/>
    </row>
    <row r="643" spans="6:6">
      <c r="F643"/>
    </row>
    <row r="644" spans="6:6">
      <c r="F644"/>
    </row>
    <row r="645" spans="6:6">
      <c r="F645"/>
    </row>
    <row r="646" spans="6:6">
      <c r="F646"/>
    </row>
    <row r="647" spans="6:6">
      <c r="F647"/>
    </row>
    <row r="648" spans="6:6">
      <c r="F648"/>
    </row>
    <row r="649" spans="6:6">
      <c r="F649"/>
    </row>
    <row r="650" spans="6:6">
      <c r="F650"/>
    </row>
    <row r="651" spans="6:6">
      <c r="F651"/>
    </row>
    <row r="652" spans="6:6">
      <c r="F652"/>
    </row>
    <row r="653" spans="6:6">
      <c r="F653"/>
    </row>
    <row r="654" spans="6:6">
      <c r="F654"/>
    </row>
    <row r="655" spans="6:6">
      <c r="F655"/>
    </row>
    <row r="656" spans="6:6">
      <c r="F656"/>
    </row>
    <row r="657" spans="6:6">
      <c r="F657"/>
    </row>
    <row r="658" spans="6:6">
      <c r="F658"/>
    </row>
    <row r="659" spans="6:6">
      <c r="F659"/>
    </row>
    <row r="660" spans="6:6">
      <c r="F660"/>
    </row>
    <row r="661" spans="6:6">
      <c r="F661"/>
    </row>
    <row r="662" spans="6:6">
      <c r="F662"/>
    </row>
    <row r="663" spans="6:6">
      <c r="F663"/>
    </row>
    <row r="664" spans="6:6">
      <c r="F664"/>
    </row>
    <row r="665" spans="6:6">
      <c r="F665"/>
    </row>
    <row r="666" spans="6:6">
      <c r="F666"/>
    </row>
    <row r="667" spans="6:6">
      <c r="F667"/>
    </row>
    <row r="668" spans="6:6">
      <c r="F668"/>
    </row>
    <row r="669" spans="6:6">
      <c r="F669"/>
    </row>
    <row r="670" spans="6:6">
      <c r="F670"/>
    </row>
    <row r="671" spans="6:6">
      <c r="F671"/>
    </row>
    <row r="672" spans="6:6">
      <c r="F672"/>
    </row>
    <row r="673" spans="6:6">
      <c r="F673"/>
    </row>
    <row r="674" spans="6:6">
      <c r="F674"/>
    </row>
    <row r="675" spans="6:6">
      <c r="F675"/>
    </row>
    <row r="676" spans="6:6">
      <c r="F676"/>
    </row>
    <row r="677" spans="6:6">
      <c r="F677"/>
    </row>
    <row r="678" spans="6:6">
      <c r="F678"/>
    </row>
    <row r="679" spans="6:6">
      <c r="F679"/>
    </row>
    <row r="680" spans="6:6">
      <c r="F680"/>
    </row>
    <row r="681" spans="6:6">
      <c r="F681"/>
    </row>
    <row r="682" spans="6:6">
      <c r="F682"/>
    </row>
    <row r="683" spans="6:6">
      <c r="F683"/>
    </row>
    <row r="684" spans="6:6">
      <c r="F684"/>
    </row>
    <row r="685" spans="6:6">
      <c r="F685"/>
    </row>
    <row r="686" spans="6:6">
      <c r="F686"/>
    </row>
    <row r="687" spans="6:6">
      <c r="F687"/>
    </row>
    <row r="688" spans="6:6">
      <c r="F688"/>
    </row>
    <row r="689" spans="6:6">
      <c r="F689"/>
    </row>
    <row r="690" spans="6:6">
      <c r="F690"/>
    </row>
    <row r="691" spans="6:6">
      <c r="F691"/>
    </row>
    <row r="692" spans="6:6">
      <c r="F692"/>
    </row>
    <row r="693" spans="6:6">
      <c r="F693"/>
    </row>
    <row r="694" spans="6:6">
      <c r="F694"/>
    </row>
    <row r="695" spans="6:6">
      <c r="F695"/>
    </row>
    <row r="696" spans="6:6">
      <c r="F696"/>
    </row>
    <row r="697" spans="6:6">
      <c r="F697"/>
    </row>
    <row r="698" spans="6:6">
      <c r="F698"/>
    </row>
    <row r="699" spans="6:6">
      <c r="F699"/>
    </row>
    <row r="700" spans="6:6">
      <c r="F700"/>
    </row>
    <row r="701" spans="6:6">
      <c r="F701"/>
    </row>
    <row r="702" spans="6:6">
      <c r="F702"/>
    </row>
    <row r="703" spans="6:6">
      <c r="F703"/>
    </row>
    <row r="704" spans="6:6">
      <c r="F704"/>
    </row>
    <row r="705" spans="6:6">
      <c r="F705"/>
    </row>
    <row r="706" spans="6:6">
      <c r="F706"/>
    </row>
    <row r="707" spans="6:6">
      <c r="F707"/>
    </row>
    <row r="708" spans="6:6">
      <c r="F708"/>
    </row>
    <row r="709" spans="6:6">
      <c r="F709"/>
    </row>
    <row r="710" spans="6:6">
      <c r="F710"/>
    </row>
    <row r="711" spans="6:6">
      <c r="F711"/>
    </row>
    <row r="712" spans="6:6">
      <c r="F712"/>
    </row>
    <row r="713" spans="6:6">
      <c r="F713"/>
    </row>
    <row r="714" spans="6:6">
      <c r="F714"/>
    </row>
    <row r="715" spans="6:6">
      <c r="F715"/>
    </row>
    <row r="716" spans="6:6">
      <c r="F716"/>
    </row>
    <row r="717" spans="6:6">
      <c r="F717"/>
    </row>
    <row r="718" spans="6:6">
      <c r="F718"/>
    </row>
    <row r="719" spans="6:6">
      <c r="F719"/>
    </row>
    <row r="720" spans="6:6">
      <c r="F720"/>
    </row>
    <row r="721" spans="6:6">
      <c r="F721"/>
    </row>
    <row r="722" spans="6:6">
      <c r="F722"/>
    </row>
    <row r="723" spans="6:6">
      <c r="F723"/>
    </row>
    <row r="724" spans="6:6">
      <c r="F724"/>
    </row>
    <row r="725" spans="6:6">
      <c r="F725"/>
    </row>
    <row r="726" spans="6:6">
      <c r="F726"/>
    </row>
    <row r="727" spans="6:6">
      <c r="F727"/>
    </row>
    <row r="728" spans="6:6">
      <c r="F728"/>
    </row>
    <row r="729" spans="6:6">
      <c r="F729"/>
    </row>
    <row r="730" spans="6:6">
      <c r="F730"/>
    </row>
    <row r="731" spans="6:6">
      <c r="F731"/>
    </row>
    <row r="732" spans="6:6">
      <c r="F732"/>
    </row>
    <row r="733" spans="6:6">
      <c r="F733"/>
    </row>
    <row r="734" spans="6:6">
      <c r="F734"/>
    </row>
    <row r="735" spans="6:6">
      <c r="F735"/>
    </row>
    <row r="736" spans="6:6">
      <c r="F736"/>
    </row>
    <row r="737" spans="6:6">
      <c r="F737"/>
    </row>
    <row r="738" spans="6:6">
      <c r="F738"/>
    </row>
    <row r="739" spans="6:6">
      <c r="F739"/>
    </row>
    <row r="740" spans="6:6">
      <c r="F740"/>
    </row>
    <row r="741" spans="6:6">
      <c r="F741"/>
    </row>
    <row r="742" spans="6:6">
      <c r="F742"/>
    </row>
    <row r="743" spans="6:6">
      <c r="F743"/>
    </row>
    <row r="744" spans="6:6">
      <c r="F744"/>
    </row>
    <row r="745" spans="6:6">
      <c r="F745"/>
    </row>
    <row r="746" spans="6:6">
      <c r="F746"/>
    </row>
    <row r="747" spans="6:6">
      <c r="F747"/>
    </row>
    <row r="748" spans="6:6">
      <c r="F748"/>
    </row>
    <row r="749" spans="6:6">
      <c r="F749"/>
    </row>
    <row r="750" spans="6:6">
      <c r="F750"/>
    </row>
    <row r="751" spans="6:6">
      <c r="F751"/>
    </row>
    <row r="752" spans="6:6">
      <c r="F752"/>
    </row>
    <row r="753" spans="6:6">
      <c r="F753"/>
    </row>
    <row r="754" spans="6:6">
      <c r="F754"/>
    </row>
    <row r="755" spans="6:6">
      <c r="F755"/>
    </row>
    <row r="756" spans="6:6">
      <c r="F756"/>
    </row>
    <row r="757" spans="6:6">
      <c r="F757"/>
    </row>
    <row r="758" spans="6:6">
      <c r="F758"/>
    </row>
    <row r="759" spans="6:6">
      <c r="F759"/>
    </row>
    <row r="760" spans="6:6">
      <c r="F760"/>
    </row>
    <row r="761" spans="6:6">
      <c r="F761"/>
    </row>
    <row r="762" spans="6:6">
      <c r="F762"/>
    </row>
    <row r="763" spans="6:6">
      <c r="F763"/>
    </row>
    <row r="764" spans="6:6">
      <c r="F764"/>
    </row>
    <row r="765" spans="6:6">
      <c r="F765"/>
    </row>
    <row r="766" spans="6:6">
      <c r="F766"/>
    </row>
    <row r="767" spans="6:6">
      <c r="F767"/>
    </row>
    <row r="768" spans="6:6">
      <c r="F768"/>
    </row>
    <row r="769" spans="6:6">
      <c r="F769"/>
    </row>
    <row r="770" spans="6:6">
      <c r="F770"/>
    </row>
    <row r="771" spans="6:6">
      <c r="F771"/>
    </row>
    <row r="772" spans="6:6">
      <c r="F772"/>
    </row>
    <row r="773" spans="6:6">
      <c r="F773"/>
    </row>
    <row r="774" spans="6:6">
      <c r="F774"/>
    </row>
    <row r="775" spans="6:6">
      <c r="F775"/>
    </row>
    <row r="776" spans="6:6">
      <c r="F776"/>
    </row>
    <row r="777" spans="6:6">
      <c r="F777"/>
    </row>
    <row r="778" spans="6:6">
      <c r="F778"/>
    </row>
    <row r="779" spans="6:6">
      <c r="F779"/>
    </row>
    <row r="780" spans="6:6">
      <c r="F780"/>
    </row>
    <row r="781" spans="6:6">
      <c r="F781"/>
    </row>
    <row r="782" spans="6:6">
      <c r="F782"/>
    </row>
    <row r="783" spans="6:6">
      <c r="F783"/>
    </row>
    <row r="784" spans="6:6">
      <c r="F784"/>
    </row>
    <row r="785" spans="6:6">
      <c r="F785"/>
    </row>
    <row r="786" spans="6:6">
      <c r="F786"/>
    </row>
    <row r="787" spans="6:6">
      <c r="F787"/>
    </row>
    <row r="788" spans="6:6">
      <c r="F788"/>
    </row>
    <row r="789" spans="6:6">
      <c r="F789"/>
    </row>
    <row r="790" spans="6:6">
      <c r="F790"/>
    </row>
    <row r="791" spans="6:6">
      <c r="F791"/>
    </row>
    <row r="792" spans="6:6">
      <c r="F792"/>
    </row>
    <row r="793" spans="6:6">
      <c r="F793"/>
    </row>
    <row r="794" spans="6:6">
      <c r="F794"/>
    </row>
    <row r="795" spans="6:6">
      <c r="F795"/>
    </row>
    <row r="796" spans="6:6">
      <c r="F796"/>
    </row>
    <row r="797" spans="6:6">
      <c r="F797"/>
    </row>
    <row r="798" spans="6:6">
      <c r="F798"/>
    </row>
    <row r="799" spans="6:6">
      <c r="F799"/>
    </row>
    <row r="800" spans="6:6">
      <c r="F800"/>
    </row>
    <row r="801" spans="6:6">
      <c r="F801"/>
    </row>
    <row r="802" spans="6:6">
      <c r="F802"/>
    </row>
    <row r="803" spans="6:6">
      <c r="F803"/>
    </row>
    <row r="804" spans="6:6">
      <c r="F804"/>
    </row>
    <row r="805" spans="6:6">
      <c r="F805"/>
    </row>
    <row r="806" spans="6:6">
      <c r="F806"/>
    </row>
    <row r="807" spans="6:6">
      <c r="F807"/>
    </row>
    <row r="808" spans="6:6">
      <c r="F808"/>
    </row>
    <row r="809" spans="6:6">
      <c r="F809"/>
    </row>
    <row r="810" spans="6:6">
      <c r="F810"/>
    </row>
    <row r="811" spans="6:6">
      <c r="F811"/>
    </row>
    <row r="812" spans="6:6">
      <c r="F812"/>
    </row>
    <row r="813" spans="6:6">
      <c r="F813"/>
    </row>
    <row r="814" spans="6:6">
      <c r="F814"/>
    </row>
    <row r="815" spans="6:6">
      <c r="F815"/>
    </row>
    <row r="816" spans="6:6">
      <c r="F816"/>
    </row>
    <row r="817" spans="6:6">
      <c r="F817"/>
    </row>
    <row r="818" spans="6:6">
      <c r="F818"/>
    </row>
    <row r="819" spans="6:6">
      <c r="F819"/>
    </row>
    <row r="820" spans="6:6">
      <c r="F820"/>
    </row>
    <row r="821" spans="6:6">
      <c r="F821"/>
    </row>
    <row r="822" spans="6:6">
      <c r="F822"/>
    </row>
    <row r="823" spans="6:6">
      <c r="F823"/>
    </row>
    <row r="824" spans="6:6">
      <c r="F824"/>
    </row>
    <row r="825" spans="6:6">
      <c r="F825"/>
    </row>
    <row r="826" spans="6:6">
      <c r="F826"/>
    </row>
    <row r="827" spans="6:6">
      <c r="F827"/>
    </row>
    <row r="828" spans="6:6">
      <c r="F828"/>
    </row>
    <row r="829" spans="6:6">
      <c r="F829"/>
    </row>
    <row r="830" spans="6:6">
      <c r="F830"/>
    </row>
    <row r="831" spans="6:6">
      <c r="F831"/>
    </row>
    <row r="832" spans="6:6">
      <c r="F832"/>
    </row>
    <row r="833" spans="6:6">
      <c r="F833"/>
    </row>
    <row r="834" spans="6:6">
      <c r="F834"/>
    </row>
    <row r="835" spans="6:6">
      <c r="F835"/>
    </row>
    <row r="836" spans="6:6">
      <c r="F836"/>
    </row>
    <row r="837" spans="6:6">
      <c r="F837"/>
    </row>
    <row r="838" spans="6:6">
      <c r="F838"/>
    </row>
    <row r="839" spans="6:6">
      <c r="F839"/>
    </row>
    <row r="840" spans="6:6">
      <c r="F840"/>
    </row>
    <row r="841" spans="6:6">
      <c r="F841"/>
    </row>
    <row r="842" spans="6:6">
      <c r="F842"/>
    </row>
    <row r="843" spans="6:6">
      <c r="F843"/>
    </row>
    <row r="844" spans="6:6">
      <c r="F844"/>
    </row>
    <row r="845" spans="6:6">
      <c r="F845"/>
    </row>
    <row r="846" spans="6:6">
      <c r="F846"/>
    </row>
    <row r="847" spans="6:6">
      <c r="F847"/>
    </row>
    <row r="848" spans="6:6">
      <c r="F848"/>
    </row>
    <row r="849" spans="6:6">
      <c r="F849"/>
    </row>
    <row r="850" spans="6:6">
      <c r="F850"/>
    </row>
    <row r="851" spans="6:6">
      <c r="F851"/>
    </row>
    <row r="852" spans="6:6">
      <c r="F852"/>
    </row>
    <row r="853" spans="6:6">
      <c r="F853"/>
    </row>
    <row r="854" spans="6:6">
      <c r="F854"/>
    </row>
    <row r="855" spans="6:6">
      <c r="F855"/>
    </row>
    <row r="856" spans="6:6">
      <c r="F856"/>
    </row>
    <row r="857" spans="6:6">
      <c r="F857"/>
    </row>
    <row r="858" spans="6:6">
      <c r="F858"/>
    </row>
    <row r="859" spans="6:6">
      <c r="F859"/>
    </row>
    <row r="860" spans="6:6">
      <c r="F860"/>
    </row>
    <row r="861" spans="6:6">
      <c r="F861"/>
    </row>
    <row r="862" spans="6:6">
      <c r="F862"/>
    </row>
    <row r="863" spans="6:6">
      <c r="F863"/>
    </row>
    <row r="864" spans="6:6">
      <c r="F864"/>
    </row>
    <row r="865" spans="6:6">
      <c r="F865"/>
    </row>
    <row r="866" spans="6:6">
      <c r="F866"/>
    </row>
    <row r="867" spans="6:6">
      <c r="F867"/>
    </row>
    <row r="868" spans="6:6">
      <c r="F868"/>
    </row>
    <row r="869" spans="6:6">
      <c r="F869"/>
    </row>
    <row r="870" spans="6:6">
      <c r="F870"/>
    </row>
    <row r="871" spans="6:6">
      <c r="F871"/>
    </row>
    <row r="872" spans="6:6">
      <c r="F872"/>
    </row>
    <row r="873" spans="6:6">
      <c r="F873"/>
    </row>
    <row r="874" spans="6:6">
      <c r="F874"/>
    </row>
    <row r="875" spans="6:6">
      <c r="F875"/>
    </row>
    <row r="876" spans="6:6">
      <c r="F876"/>
    </row>
    <row r="877" spans="6:6">
      <c r="F877"/>
    </row>
    <row r="878" spans="6:6">
      <c r="F878"/>
    </row>
    <row r="879" spans="6:6">
      <c r="F879"/>
    </row>
    <row r="880" spans="6:6">
      <c r="F880"/>
    </row>
    <row r="881" spans="6:6">
      <c r="F881"/>
    </row>
    <row r="882" spans="6:6">
      <c r="F882"/>
    </row>
    <row r="883" spans="6:6">
      <c r="F883"/>
    </row>
    <row r="884" spans="6:6">
      <c r="F884"/>
    </row>
    <row r="885" spans="6:6">
      <c r="F885"/>
    </row>
    <row r="886" spans="6:6">
      <c r="F886"/>
    </row>
    <row r="887" spans="6:6">
      <c r="F887"/>
    </row>
    <row r="888" spans="6:6">
      <c r="F888"/>
    </row>
    <row r="889" spans="6:6">
      <c r="F889"/>
    </row>
    <row r="890" spans="6:6">
      <c r="F890"/>
    </row>
    <row r="891" spans="6:6">
      <c r="F891"/>
    </row>
    <row r="892" spans="6:6">
      <c r="F892"/>
    </row>
    <row r="893" spans="6:6">
      <c r="F893"/>
    </row>
    <row r="894" spans="6:6">
      <c r="F894"/>
    </row>
    <row r="895" spans="6:6">
      <c r="F895"/>
    </row>
    <row r="896" spans="6:6">
      <c r="F896"/>
    </row>
    <row r="897" spans="6:6">
      <c r="F897"/>
    </row>
    <row r="898" spans="6:6">
      <c r="F898"/>
    </row>
    <row r="899" spans="6:6">
      <c r="F899"/>
    </row>
    <row r="900" spans="6:6">
      <c r="F900"/>
    </row>
    <row r="901" spans="6:6">
      <c r="F901"/>
    </row>
    <row r="902" spans="6:6">
      <c r="F902"/>
    </row>
    <row r="903" spans="6:6">
      <c r="F903"/>
    </row>
    <row r="904" spans="6:6">
      <c r="F904"/>
    </row>
    <row r="905" spans="6:6">
      <c r="F905"/>
    </row>
    <row r="906" spans="6:6">
      <c r="F906"/>
    </row>
    <row r="907" spans="6:6">
      <c r="F907"/>
    </row>
    <row r="908" spans="6:6">
      <c r="F908"/>
    </row>
    <row r="909" spans="6:6">
      <c r="F909"/>
    </row>
    <row r="910" spans="6:6">
      <c r="F910"/>
    </row>
    <row r="911" spans="6:6">
      <c r="F911"/>
    </row>
    <row r="912" spans="6:6">
      <c r="F912"/>
    </row>
    <row r="913" spans="6:6">
      <c r="F913"/>
    </row>
    <row r="914" spans="6:6">
      <c r="F914"/>
    </row>
    <row r="915" spans="6:6">
      <c r="F915"/>
    </row>
    <row r="916" spans="6:6">
      <c r="F916"/>
    </row>
    <row r="917" spans="6:6">
      <c r="F917"/>
    </row>
    <row r="918" spans="6:6">
      <c r="F918"/>
    </row>
    <row r="919" spans="6:6">
      <c r="F919"/>
    </row>
    <row r="920" spans="6:6">
      <c r="F920"/>
    </row>
    <row r="921" spans="6:6">
      <c r="F921"/>
    </row>
    <row r="922" spans="6:6">
      <c r="F922"/>
    </row>
    <row r="923" spans="6:6">
      <c r="F923"/>
    </row>
    <row r="924" spans="6:6">
      <c r="F924"/>
    </row>
    <row r="925" spans="6:6">
      <c r="F925"/>
    </row>
    <row r="926" spans="6:6">
      <c r="F926"/>
    </row>
    <row r="927" spans="6:6">
      <c r="F927"/>
    </row>
    <row r="928" spans="6:6">
      <c r="F928"/>
    </row>
    <row r="929" spans="6:6">
      <c r="F929"/>
    </row>
    <row r="930" spans="6:6">
      <c r="F930"/>
    </row>
    <row r="931" spans="6:6">
      <c r="F931"/>
    </row>
    <row r="932" spans="6:6">
      <c r="F932"/>
    </row>
    <row r="933" spans="6:6">
      <c r="F933"/>
    </row>
    <row r="934" spans="6:6">
      <c r="F934"/>
    </row>
    <row r="935" spans="6:6">
      <c r="F935"/>
    </row>
    <row r="936" spans="6:6">
      <c r="F936"/>
    </row>
    <row r="937" spans="6:6">
      <c r="F937"/>
    </row>
    <row r="938" spans="6:6">
      <c r="F938"/>
    </row>
    <row r="939" spans="6:6">
      <c r="F939"/>
    </row>
    <row r="940" spans="6:6">
      <c r="F940"/>
    </row>
    <row r="941" spans="6:6">
      <c r="F941"/>
    </row>
  </sheetData>
  <mergeCells count="80">
    <mergeCell ref="J1:FX1"/>
    <mergeCell ref="FY1:GH1"/>
    <mergeCell ref="GI1:HL1"/>
    <mergeCell ref="HM1:IH1"/>
    <mergeCell ref="II1:JV1"/>
    <mergeCell ref="JW1:KB1"/>
    <mergeCell ref="J2:AC2"/>
    <mergeCell ref="AD2:AN2"/>
    <mergeCell ref="AO2:BV2"/>
    <mergeCell ref="BY2:CO2"/>
    <mergeCell ref="CQ2:CR2"/>
    <mergeCell ref="CS2:CX2"/>
    <mergeCell ref="CY2:DD2"/>
    <mergeCell ref="DF2:DT2"/>
    <mergeCell ref="DV2:DW2"/>
    <mergeCell ref="DX2:DY2"/>
    <mergeCell ref="DZ2:EI2"/>
    <mergeCell ref="EJ2:ET2"/>
    <mergeCell ref="EV2:EW2"/>
    <mergeCell ref="EX2:FG2"/>
    <mergeCell ref="FH2:FS2"/>
    <mergeCell ref="FU2:FV2"/>
    <mergeCell ref="FY2:FZ2"/>
    <mergeCell ref="GB2:GD2"/>
    <mergeCell ref="GE2:GF2"/>
    <mergeCell ref="GG2:GH2"/>
    <mergeCell ref="GI2:GJ2"/>
    <mergeCell ref="GL2:GT2"/>
    <mergeCell ref="GW2:HD2"/>
    <mergeCell ref="HE2:HL2"/>
    <mergeCell ref="HM2:HO2"/>
    <mergeCell ref="HP2:HR2"/>
    <mergeCell ref="HS2:HZ2"/>
    <mergeCell ref="IA2:IG2"/>
    <mergeCell ref="II2:IV2"/>
    <mergeCell ref="IW2:JI2"/>
    <mergeCell ref="JJ2:JV2"/>
    <mergeCell ref="JW2:KB2"/>
    <mergeCell ref="J3:K3"/>
    <mergeCell ref="L3:M3"/>
    <mergeCell ref="N3:O3"/>
    <mergeCell ref="P3:Q3"/>
    <mergeCell ref="R3:S3"/>
    <mergeCell ref="T3:U3"/>
    <mergeCell ref="V3:W3"/>
    <mergeCell ref="Z3:AA3"/>
    <mergeCell ref="AB3:AC3"/>
    <mergeCell ref="AO3:AX3"/>
    <mergeCell ref="AY3:BF3"/>
    <mergeCell ref="BY3:CO3"/>
    <mergeCell ref="CQ3:CR3"/>
    <mergeCell ref="CS3:CX3"/>
    <mergeCell ref="CY3:DD3"/>
    <mergeCell ref="DF3:DM3"/>
    <mergeCell ref="DN3:DT3"/>
    <mergeCell ref="DV3:DW3"/>
    <mergeCell ref="DX3:DY3"/>
    <mergeCell ref="DZ3:EI3"/>
    <mergeCell ref="EJ3:ET3"/>
    <mergeCell ref="EV3:EW3"/>
    <mergeCell ref="EX3:FG3"/>
    <mergeCell ref="FH3:FS3"/>
    <mergeCell ref="FU3:FV3"/>
    <mergeCell ref="FY3:FZ3"/>
    <mergeCell ref="GE3:GF3"/>
    <mergeCell ref="GG3:GH3"/>
    <mergeCell ref="GI3:GJ3"/>
    <mergeCell ref="GL3:GT3"/>
    <mergeCell ref="GW3:HD3"/>
    <mergeCell ref="HE3:HL3"/>
    <mergeCell ref="HM3:HN3"/>
    <mergeCell ref="HP3:HQ3"/>
    <mergeCell ref="HS3:HZ3"/>
    <mergeCell ref="IJ3:IN3"/>
    <mergeCell ref="IO3:IV3"/>
    <mergeCell ref="JC3:JI3"/>
    <mergeCell ref="JL3:JT3"/>
    <mergeCell ref="JU3:JV3"/>
    <mergeCell ref="JW3:KB3"/>
    <mergeCell ref="A1:I3"/>
  </mergeCells>
  <conditionalFormatting sqref="E24">
    <cfRule type="duplicateValues" dxfId="0" priority="18"/>
  </conditionalFormatting>
  <conditionalFormatting sqref="F24">
    <cfRule type="containsText" dxfId="1" priority="19" operator="between" text="Female">
      <formula>NOT(ISERROR(SEARCH("Female",F24)))</formula>
    </cfRule>
    <cfRule type="colorScale" priority="20">
      <colorScale>
        <cfvo type="min"/>
        <cfvo type="max"/>
        <color rgb="FFFF7128"/>
        <color rgb="FFFFEF9C"/>
      </colorScale>
    </cfRule>
    <cfRule type="containsText" dxfId="1" priority="21" operator="between" text="Female">
      <formula>NOT(ISERROR(SEARCH("Female",F24)))</formula>
    </cfRule>
  </conditionalFormatting>
  <conditionalFormatting sqref="E68">
    <cfRule type="duplicateValues" dxfId="0" priority="22"/>
  </conditionalFormatting>
  <conditionalFormatting sqref="F68">
    <cfRule type="containsText" dxfId="1" priority="23" operator="between" text="Female">
      <formula>NOT(ISERROR(SEARCH("Female",F68)))</formula>
    </cfRule>
    <cfRule type="colorScale" priority="24">
      <colorScale>
        <cfvo type="min"/>
        <cfvo type="max"/>
        <color rgb="FFFF7128"/>
        <color rgb="FFFFEF9C"/>
      </colorScale>
    </cfRule>
    <cfRule type="containsText" dxfId="1" priority="25" operator="between" text="Female">
      <formula>NOT(ISERROR(SEARCH("Female",F68)))</formula>
    </cfRule>
  </conditionalFormatting>
  <conditionalFormatting sqref="E108">
    <cfRule type="containsText" dxfId="2" priority="10" operator="between" text="Elizabeth Wafula">
      <formula>NOT(ISERROR(SEARCH("Elizabeth Wafula",E108)))</formula>
    </cfRule>
    <cfRule type="containsText" dxfId="2" priority="11" operator="between" text="Topister">
      <formula>NOT(ISERROR(SEARCH("Topister",E108)))</formula>
    </cfRule>
  </conditionalFormatting>
  <conditionalFormatting sqref="E189">
    <cfRule type="containsText" dxfId="2" priority="3" operator="between" text="Elizabeth Wafula">
      <formula>NOT(ISERROR(SEARCH("Elizabeth Wafula",E189)))</formula>
    </cfRule>
    <cfRule type="containsText" dxfId="2" priority="4" operator="between" text="Topister">
      <formula>NOT(ISERROR(SEARCH("Topister",E189)))</formula>
    </cfRule>
  </conditionalFormatting>
  <conditionalFormatting sqref="G$1:G$1048576">
    <cfRule type="containsText" dxfId="3" priority="1" operator="between" text="18-25">
      <formula>NOT(ISERROR(SEARCH("18-25",G1)))</formula>
    </cfRule>
  </conditionalFormatting>
  <conditionalFormatting sqref="DV$1:DV$1048576">
    <cfRule type="containsText" dxfId="3" priority="2" operator="between" text="Yes">
      <formula>NOT(ISERROR(SEARCH("Yes",DV1)))</formula>
    </cfRule>
  </conditionalFormatting>
  <conditionalFormatting sqref="E1:E107 E109:E188 E190:E207 E209:E211 E213:E1048576">
    <cfRule type="containsText" dxfId="2" priority="17" operator="between" text="Elizabeth Wafula">
      <formula>NOT(ISERROR(SEARCH("Elizabeth Wafula",E1)))</formula>
    </cfRule>
  </conditionalFormatting>
  <conditionalFormatting sqref="E69:E107 E4:E23 E25:E67 E109:E188 E190:E207 E209:E211 E213:E1048576">
    <cfRule type="duplicateValues" dxfId="0" priority="26"/>
  </conditionalFormatting>
  <conditionalFormatting sqref="F942:F1048576 F4:F23 F69:F107 F25:F67 F109:F188 F190:F199">
    <cfRule type="containsText" dxfId="1" priority="27" operator="between" text="Female">
      <formula>NOT(ISERROR(SEARCH("Female",F4)))</formula>
    </cfRule>
    <cfRule type="colorScale" priority="28">
      <colorScale>
        <cfvo type="min"/>
        <cfvo type="max"/>
        <color rgb="FFFF7128"/>
        <color rgb="FFFFEF9C"/>
      </colorScale>
    </cfRule>
    <cfRule type="containsText" dxfId="1" priority="29" operator="between" text="Female">
      <formula>NOT(ISERROR(SEARCH("Female",F4)))</formula>
    </cfRule>
  </conditionalFormatting>
  <hyperlinks>
    <hyperlink ref="JW5" r:id="rId1" display="https://kf.kobotoolbox.org/api/v2/assets/a2jMyW8dsvtwpYHzQMRFCn/data/588058792/attachments/attYEzWQC9xSkSxvN36hQwa4/"/>
    <hyperlink ref="JW6" r:id="rId2" display="https://kf.kobotoolbox.org/api/v2/assets/a2jMyW8dsvtwpYHzQMRFCn/data/588065842/attachments/attZjoXsPCm7dnhaJDjtemMk/"/>
    <hyperlink ref="JW7" r:id="rId3" display="https://kf.kobotoolbox.org/api/v2/assets/a2jMyW8dsvtwpYHzQMRFCn/data/588084237/attachments/attXwhq9ntyyTyVWhPajefGj/"/>
    <hyperlink ref="JW8" r:id="rId4" display="https://kf.kobotoolbox.org/api/v2/assets/a2jMyW8dsvtwpYHzQMRFCn/data/588090999/attachments/attrPtR83yMi8m5EGvNGYNjo/"/>
    <hyperlink ref="JW9" r:id="rId5" display="https://kf.kobotoolbox.org/api/v2/assets/a2jMyW8dsvtwpYHzQMRFCn/data/588110123/attachments/attKSaqdNqFrWpuJAQnSAPWB/"/>
    <hyperlink ref="JW10" r:id="rId6" display="https://kf.kobotoolbox.org/api/v2/assets/a2jMyW8dsvtwpYHzQMRFCn/data/588112755/attachments/att8bpn55BZhGxQW3vkMYJkr/"/>
    <hyperlink ref="JW11" r:id="rId7" display="https://kf.kobotoolbox.org/api/v2/assets/a2jMyW8dsvtwpYHzQMRFCn/data/588119500/attachments/attwkSHKFokQuzsf8hd42LTQ/"/>
    <hyperlink ref="JW12" r:id="rId8" display="https://kf.kobotoolbox.org/api/v2/assets/a2jMyW8dsvtwpYHzQMRFCn/data/588130279/attachments/attH6BJifjbx5uxRqCMzmHGW/"/>
    <hyperlink ref="JW13" r:id="rId9" display="https://kf.kobotoolbox.org/api/v2/assets/a2jMyW8dsvtwpYHzQMRFCn/data/588171842/attachments/attEsdEyxQKRyh9XQfW78KtW/"/>
    <hyperlink ref="JW14" r:id="rId10" display="https://kf.kobotoolbox.org/api/v2/assets/a2jMyW8dsvtwpYHzQMRFCn/data/588173524/attachments/attuiwkeJybp3cVnPixhMtMw/"/>
    <hyperlink ref="JW15" r:id="rId11" display="https://kf.kobotoolbox.org/api/v2/assets/a2jMyW8dsvtwpYHzQMRFCn/data/588178138/attachments/attEFFidQksx2hq3xqsng79w/"/>
    <hyperlink ref="JW16" r:id="rId12" display="https://kf.kobotoolbox.org/api/v2/assets/a2jMyW8dsvtwpYHzQMRFCn/data/588191100/attachments/att6uucpDdxUnS4ep4gGZYAN/"/>
    <hyperlink ref="JW17" r:id="rId13" display="https://kf.kobotoolbox.org/api/v2/assets/a2jMyW8dsvtwpYHzQMRFCn/data/588192120/attachments/attnTpPAobuZrmA6qkiGDXM5/"/>
    <hyperlink ref="JW18" r:id="rId14" display="https://kf.kobotoolbox.org/api/v2/assets/a2jMyW8dsvtwpYHzQMRFCn/data/588202461/attachments/attGRGuJP8JfgZ9m828FPcmj/"/>
    <hyperlink ref="JW19" r:id="rId15" display="https://kf.kobotoolbox.org/api/v2/assets/a2jMyW8dsvtwpYHzQMRFCn/data/588203864/attachments/attCchWP7n5MadAg5vyw5ghg/"/>
    <hyperlink ref="JW20" r:id="rId16" display="https://kf.kobotoolbox.org/api/v2/assets/a2jMyW8dsvtwpYHzQMRFCn/data/588217132/attachments/attLt9oqySv5q4vvGt8pWJvP/"/>
    <hyperlink ref="JW21" r:id="rId17" display="https://kf.kobotoolbox.org/api/v2/assets/a2jMyW8dsvtwpYHzQMRFCn/data/588218585/attachments/attWuiLPYsLGui6uALKoD2Hp/"/>
    <hyperlink ref="JW22" r:id="rId18" display="https://kf.kobotoolbox.org/api/v2/assets/a2jMyW8dsvtwpYHzQMRFCn/data/588219851/attachments/attKC8RRcDjnszBNXJp2DUPj/"/>
    <hyperlink ref="JW23" r:id="rId19" display="https://kf.kobotoolbox.org/api/v2/assets/a2jMyW8dsvtwpYHzQMRFCn/data/588221513/attachments/atteAujD6NvhU3agVzFjAJGb/"/>
    <hyperlink ref="JW25" r:id="rId20" display="https://kf.kobotoolbox.org/api/v2/assets/a2jMyW8dsvtwpYHzQMRFCn/data/588237526/attachments/attrUTqyizvjRgR32HXTwF6Q/"/>
    <hyperlink ref="JW26" r:id="rId21" display="https://kf.kobotoolbox.org/api/v2/assets/a2jMyW8dsvtwpYHzQMRFCn/data/588258121/attachments/attWRdcVQFSkFVpZsMdddZAS/"/>
    <hyperlink ref="JW27" r:id="rId22" display="https://kf.kobotoolbox.org/api/v2/assets/a2jMyW8dsvtwpYHzQMRFCn/data/588260820/attachments/attkNDGQaYbYLUJwx5cpcLJ3/"/>
    <hyperlink ref="JW28" r:id="rId23" display="https://kf.kobotoolbox.org/api/v2/assets/a2jMyW8dsvtwpYHzQMRFCn/data/588273628/attachments/atthhzXhCa8yPgdvfL9RKRRV/"/>
    <hyperlink ref="JW29" r:id="rId24" display="https://kf.kobotoolbox.org/api/v2/assets/a2jMyW8dsvtwpYHzQMRFCn/data/588344577/attachments/attxmi3yraJdsJbz6wbWcHuz/"/>
    <hyperlink ref="JW30" r:id="rId25" display="https://kf.kobotoolbox.org/api/v2/assets/a2jMyW8dsvtwpYHzQMRFCn/data/588367925/attachments/attvAVafvqY5mrDxTDzBZPW3/"/>
    <hyperlink ref="JW31" r:id="rId26" display="https://kf.kobotoolbox.org/api/v2/assets/a2jMyW8dsvtwpYHzQMRFCn/data/588403137/attachments/attwng4nLaLZdA7NbuYkXnAn/"/>
    <hyperlink ref="JW32" r:id="rId27" display="https://kf.kobotoolbox.org/api/v2/assets/a2jMyW8dsvtwpYHzQMRFCn/data/588404272/attachments/attBg2DaXqHMmNybiBU6RU4b/"/>
    <hyperlink ref="JW33" r:id="rId28" display="https://kf.kobotoolbox.org/api/v2/assets/a2jMyW8dsvtwpYHzQMRFCn/data/588404312/attachments/att3jkk2XxYoWUtiWhkUqT6V/"/>
    <hyperlink ref="JW69" r:id="rId29" display="https://kf.kobotoolbox.org/api/v2/assets/a2jMyW8dsvtwpYHzQMRFCn/data/588413979/attachments/attPqBuiipf46Q2srUQyRadm/"/>
    <hyperlink ref="JW70" r:id="rId30" display="https://kf.kobotoolbox.org/api/v2/assets/a2jMyW8dsvtwpYHzQMRFCn/data/588901138/attachments/attLd8oGcrTPfZxrsubJQQfh/"/>
    <hyperlink ref="JW71" r:id="rId31" display="https://kf.kobotoolbox.org/api/v2/assets/a2jMyW8dsvtwpYHzQMRFCn/data/588904300/attachments/attkebSmq4QN5tLqnv9ZHTiF/"/>
    <hyperlink ref="JW72" r:id="rId32" display="https://kf.kobotoolbox.org/api/v2/assets/a2jMyW8dsvtwpYHzQMRFCn/data/588905381/attachments/attV7gcnTJHKAhjRa3dkfNAe/"/>
    <hyperlink ref="JW73" r:id="rId33" display="https://kf.kobotoolbox.org/api/v2/assets/a2jMyW8dsvtwpYHzQMRFCn/data/588924429/attachments/attapRdWsgC7Y6KdwgpBa4SF/"/>
    <hyperlink ref="JW74" r:id="rId34" display="https://kf.kobotoolbox.org/api/v2/assets/a2jMyW8dsvtwpYHzQMRFCn/data/588927613/attachments/attbKjpjY6bH7fheRLSrkstz/"/>
    <hyperlink ref="JW75" r:id="rId35" display="https://kf.kobotoolbox.org/api/v2/assets/a2jMyW8dsvtwpYHzQMRFCn/data/588927902/attachments/atte8TkUfgPC93q3QnEcT5cY/"/>
    <hyperlink ref="JW76" r:id="rId36" display="https://kf.kobotoolbox.org/api/v2/assets/a2jMyW8dsvtwpYHzQMRFCn/data/588932740/attachments/attZYN8rMhMTA73shU4tyBWQ/"/>
    <hyperlink ref="JW77" r:id="rId37" display="https://kf.kobotoolbox.org/api/v2/assets/a2jMyW8dsvtwpYHzQMRFCn/data/588933652/attachments/attZtyeAYQdPg8mbA4oyHGdd/"/>
    <hyperlink ref="JW78" r:id="rId38" display="https://kf.kobotoolbox.org/api/v2/assets/a2jMyW8dsvtwpYHzQMRFCn/data/588945815/attachments/attTuFJiGNPHrqVbR3nRoAx7/"/>
    <hyperlink ref="JW79" r:id="rId39" display="https://kf.kobotoolbox.org/api/v2/assets/a2jMyW8dsvtwpYHzQMRFCn/data/588946847/attachments/attniNPqWNrqtBFrTjYmMTaN/"/>
    <hyperlink ref="JW80" r:id="rId40" display="https://kf.kobotoolbox.org/api/v2/assets/a2jMyW8dsvtwpYHzQMRFCn/data/588955134/attachments/attC5VsfC3YgQc33qSDZ9dZY/"/>
    <hyperlink ref="JW81" r:id="rId41" display="https://kf.kobotoolbox.org/api/v2/assets/a2jMyW8dsvtwpYHzQMRFCn/data/588959912/attachments/attKPomgm5hrSpqiNhgzhkqQ/"/>
    <hyperlink ref="JW82" r:id="rId42" display="https://kf.kobotoolbox.org/api/v2/assets/a2jMyW8dsvtwpYHzQMRFCn/data/588964535/attachments/attTREcSzA3qQFKCKASmbRaY/"/>
    <hyperlink ref="JW83" r:id="rId43" display="https://kf.kobotoolbox.org/api/v2/assets/a2jMyW8dsvtwpYHzQMRFCn/data/588964599/attachments/att6wKLXkJf7oSDPPJuTy2Ly/"/>
    <hyperlink ref="JW84" r:id="rId44" display="https://kf.kobotoolbox.org/api/v2/assets/a2jMyW8dsvtwpYHzQMRFCn/data/588964645/attachments/attp9DJD98zudWeCXRdMjbtW/"/>
    <hyperlink ref="JW85" r:id="rId45" display="https://kf.kobotoolbox.org/api/v2/assets/a2jMyW8dsvtwpYHzQMRFCn/data/588965697/attachments/attF2JriLJE3ErVJmfcjM5tc/"/>
    <hyperlink ref="JW86" r:id="rId46" display="https://kf.kobotoolbox.org/api/v2/assets/a2jMyW8dsvtwpYHzQMRFCn/data/588965891/attachments/attRBQynbvQjsuBF6Ca4aRTM/"/>
    <hyperlink ref="JW87" r:id="rId47" display="https://kf.kobotoolbox.org/api/v2/assets/a2jMyW8dsvtwpYHzQMRFCn/data/588967171/attachments/attBYUkXCeEh3NPF7Nu3ELSs/"/>
    <hyperlink ref="JW88" r:id="rId48" display="https://kf.kobotoolbox.org/api/v2/assets/a2jMyW8dsvtwpYHzQMRFCn/data/588969720/attachments/attMhYeNwiUANKy9uNVzEMPT/"/>
    <hyperlink ref="JW89" r:id="rId49" display="https://kf.kobotoolbox.org/api/v2/assets/a2jMyW8dsvtwpYHzQMRFCn/data/588981059/attachments/attjTXmwXm6buj9cQXPm7cNy/"/>
    <hyperlink ref="JW90" r:id="rId50" display="https://kf.kobotoolbox.org/api/v2/assets/a2jMyW8dsvtwpYHzQMRFCn/data/588989530/attachments/attTc9S2zaUf75jhWyvkAQRf/"/>
    <hyperlink ref="JW91" r:id="rId51" display="https://kf.kobotoolbox.org/api/v2/assets/a2jMyW8dsvtwpYHzQMRFCn/data/589012044/attachments/attHuMEX52RQ7gAWaHhgSsc6/"/>
    <hyperlink ref="JW92" r:id="rId52" display="https://kf.kobotoolbox.org/api/v2/assets/a2jMyW8dsvtwpYHzQMRFCn/data/589017979/attachments/attCpNk9VR7KtK7a9Ycygqrb/"/>
    <hyperlink ref="JW93" r:id="rId53" display="https://kf.kobotoolbox.org/api/v2/assets/a2jMyW8dsvtwpYHzQMRFCn/data/589045502/attachments/attGqMNAWbd8zYqW3maJK9TW/"/>
    <hyperlink ref="JW94" r:id="rId54" display="https://kf.kobotoolbox.org/api/v2/assets/a2jMyW8dsvtwpYHzQMRFCn/data/589046906/attachments/att5ANGgiJm9mAJasorhnige/"/>
    <hyperlink ref="JW95" r:id="rId55" display="https://kf.kobotoolbox.org/api/v2/assets/a2jMyW8dsvtwpYHzQMRFCn/data/589050326/attachments/att6sLxbtoMAQmi8y3rr7p6n/"/>
    <hyperlink ref="JW96" r:id="rId56" display="https://kf.kobotoolbox.org/api/v2/assets/a2jMyW8dsvtwpYHzQMRFCn/data/589050931/attachments/attbYZRnYWiDfTbG9p9ZY7RX/"/>
    <hyperlink ref="JW97" r:id="rId57" display="https://kf.kobotoolbox.org/api/v2/assets/a2jMyW8dsvtwpYHzQMRFCn/data/589051813/attachments/attBdNw4ehQ7aWKPTiDLspa4/"/>
    <hyperlink ref="JW98" r:id="rId58" display="https://kf.kobotoolbox.org/api/v2/assets/a2jMyW8dsvtwpYHzQMRFCn/data/589053299/attachments/attM4iQa7PW5c4CfihuUMUXT/"/>
    <hyperlink ref="JW99" r:id="rId59" display="https://kf.kobotoolbox.org/api/v2/assets/a2jMyW8dsvtwpYHzQMRFCn/data/589054724/attachments/attw3Qe9es2UEp4aqs5trqLh/"/>
    <hyperlink ref="JW100" r:id="rId60" display="https://kf.kobotoolbox.org/api/v2/assets/a2jMyW8dsvtwpYHzQMRFCn/data/589071972/attachments/attSyPBhYcNm2QjELaHv2KFz/"/>
    <hyperlink ref="JW101" r:id="rId61" display="https://kf.kobotoolbox.org/api/v2/assets/a2jMyW8dsvtwpYHzQMRFCn/data/589077994/attachments/attYavEZt4ATaFgJiew3MCmH/"/>
    <hyperlink ref="JW102" r:id="rId62" display="https://kf.kobotoolbox.org/api/v2/assets/a2jMyW8dsvtwpYHzQMRFCn/data/589104906/attachments/att9YZoRZPXS7J8dQ9oUdXza/"/>
    <hyperlink ref="JW103" r:id="rId63" display="https://kf.kobotoolbox.org/api/v2/assets/a2jMyW8dsvtwpYHzQMRFCn/data/589109723/attachments/attqLvy5RKscxQFqd6uzHTWH/"/>
    <hyperlink ref="JW104" r:id="rId64" display="https://kf.kobotoolbox.org/api/v2/assets/a2jMyW8dsvtwpYHzQMRFCn/data/589110113/attachments/attAyYwkBHUphvQWBdUf2q2V/"/>
    <hyperlink ref="JW105" r:id="rId65" display="https://kf.kobotoolbox.org/api/v2/assets/a2jMyW8dsvtwpYHzQMRFCn/data/589110190/attachments/attjr3PpBgD3Vs7d7zMqmrZs/"/>
    <hyperlink ref="JW106" r:id="rId66" display="https://kf.kobotoolbox.org/api/v2/assets/a2jMyW8dsvtwpYHzQMRFCn/data/589110224/attachments/att7ueCDfDEGXq3EfS8QAv4s/"/>
    <hyperlink ref="JW107" r:id="rId67" display="https://kf.kobotoolbox.org/api/v2/assets/a2jMyW8dsvtwpYHzQMRFCn/data/589113598/attachments/attdueUeeXvitimGkgnQ4hzJ/"/>
    <hyperlink ref="JW109" r:id="rId68" display="https://kf.kobotoolbox.org/api/v2/assets/a2jMyW8dsvtwpYHzQMRFCn/data/589122723/attachments/attwPoXCvQuKTSPrTY49YfsP/"/>
    <hyperlink ref="JW110" r:id="rId69" display="https://kf.kobotoolbox.org/api/v2/assets/a2jMyW8dsvtwpYHzQMRFCn/data/589124397/attachments/attBVTkcvkGALVdeUVf4Kv8v/"/>
    <hyperlink ref="JW111" r:id="rId70" display="https://kf.kobotoolbox.org/api/v2/assets/a2jMyW8dsvtwpYHzQMRFCn/data/589133930/attachments/attLVjeRSeaHM32wnRd3zobr/"/>
    <hyperlink ref="JW112" r:id="rId71" display="https://kf.kobotoolbox.org/api/v2/assets/a2jMyW8dsvtwpYHzQMRFCn/data/589161240/attachments/attjzprX4pfhkznQFyGBr9xx/"/>
    <hyperlink ref="JW113" r:id="rId72" display="https://kf.kobotoolbox.org/api/v2/assets/a2jMyW8dsvtwpYHzQMRFCn/data/589170392/attachments/attVJmD3wc4rgVLaAZq6FAV3/"/>
    <hyperlink ref="JW114" r:id="rId73" display="https://kf.kobotoolbox.org/api/v2/assets/a2jMyW8dsvtwpYHzQMRFCn/data/589190528/attachments/attD6eSjXSSn8BJZXSpxWRv3/"/>
    <hyperlink ref="JW115" r:id="rId74" display="https://kf.kobotoolbox.org/api/v2/assets/a2jMyW8dsvtwpYHzQMRFCn/data/589195787/attachments/attsEPoCk8NivLqRhZd4pwv7/"/>
    <hyperlink ref="JW116" r:id="rId75" display="https://kf.kobotoolbox.org/api/v2/assets/a2jMyW8dsvtwpYHzQMRFCn/data/589198820/attachments/attEf5444CAs6N4xycwCNS9U/"/>
    <hyperlink ref="JW117" r:id="rId76" display="https://kf.kobotoolbox.org/api/v2/assets/a2jMyW8dsvtwpYHzQMRFCn/data/589217992/attachments/att8tL6KGLefKbk5cMxmF6KJ/"/>
    <hyperlink ref="JW118" r:id="rId77" display="https://kf.kobotoolbox.org/api/v2/assets/a2jMyW8dsvtwpYHzQMRFCn/data/589219068/attachments/att5rZqoSJLZ6ZbyxakpWsou/"/>
    <hyperlink ref="JW119" r:id="rId78" display="https://kf.kobotoolbox.org/api/v2/assets/a2jMyW8dsvtwpYHzQMRFCn/data/589223213/attachments/attNFEHBnk6eCo7i3DFDrCQP/"/>
    <hyperlink ref="JW120" r:id="rId79" display="https://kf.kobotoolbox.org/api/v2/assets/a2jMyW8dsvtwpYHzQMRFCn/data/589230247/attachments/attvBZupMFAmfYgj7oZd4QAB/"/>
    <hyperlink ref="JW121" r:id="rId80" display="https://kf.kobotoolbox.org/api/v2/assets/a2jMyW8dsvtwpYHzQMRFCn/data/589239247/attachments/attq86Cs3CkPmzsZjapMwQqZ/"/>
    <hyperlink ref="JW122" r:id="rId81" display="https://kf.kobotoolbox.org/api/v2/assets/a2jMyW8dsvtwpYHzQMRFCn/data/589258225/attachments/attfZ37ALQKMvzqUqx3LUNz9/"/>
    <hyperlink ref="JW123" r:id="rId82" display="https://kf.kobotoolbox.org/api/v2/assets/a2jMyW8dsvtwpYHzQMRFCn/data/589269790/attachments/attFhnwbtXGnvLnzom7RsHSP/"/>
    <hyperlink ref="JW124" r:id="rId83" display="https://kf.kobotoolbox.org/api/v2/assets/a2jMyW8dsvtwpYHzQMRFCn/data/589270401/attachments/attPNBY8CWrtnQGtNAN9hkEU/"/>
    <hyperlink ref="JW125" r:id="rId84" display="https://kf.kobotoolbox.org/api/v2/assets/a2jMyW8dsvtwpYHzQMRFCn/data/589277934/attachments/att3cA7pkEKxSKJB7jh8DrdQ/"/>
    <hyperlink ref="JW126" r:id="rId85" display="https://kf.kobotoolbox.org/api/v2/assets/a2jMyW8dsvtwpYHzQMRFCn/data/589282634/attachments/attp7vYKMigVeJgboq7L4x8U/"/>
    <hyperlink ref="JW127" r:id="rId86" display="https://kf.kobotoolbox.org/api/v2/assets/a2jMyW8dsvtwpYHzQMRFCn/data/589289692/attachments/attDQN6xkVetBwRfi29hwxt5/"/>
    <hyperlink ref="JW128" r:id="rId87" display="https://kf.kobotoolbox.org/api/v2/assets/a2jMyW8dsvtwpYHzQMRFCn/data/589297571/attachments/attpb2EBaKf8grnQnR6vFQbG/"/>
    <hyperlink ref="JW134" r:id="rId88" display="https://kf.kobotoolbox.org/api/v2/assets/a2jMyW8dsvtwpYHzQMRFCn/data/589299695/attachments/attR7qdNxYK9fs7HTsJL38pE/"/>
    <hyperlink ref="JW135" r:id="rId89" display="https://kf.kobotoolbox.org/api/v2/assets/a2jMyW8dsvtwpYHzQMRFCn/data/589767860/attachments/attFpqomVMXzU7xymRJ2szf5/"/>
    <hyperlink ref="JW136" r:id="rId90" display="https://kf.kobotoolbox.org/api/v2/assets/a2jMyW8dsvtwpYHzQMRFCn/data/589769592/attachments/attfQSBFaw7FD3Xiy8ge8N7n/"/>
    <hyperlink ref="JW137" r:id="rId91" display="https://kf.kobotoolbox.org/api/v2/assets/a2jMyW8dsvtwpYHzQMRFCn/data/589772993/attachments/attTzL873D57nfVSTMeuPYhG/"/>
    <hyperlink ref="JW138" r:id="rId92" display="https://kf.kobotoolbox.org/api/v2/assets/a2jMyW8dsvtwpYHzQMRFCn/data/589775909/attachments/attLRy9ujX8FPzQaCiFJYuJC/"/>
    <hyperlink ref="JW139" r:id="rId93" display="https://kf.kobotoolbox.org/api/v2/assets/a2jMyW8dsvtwpYHzQMRFCn/data/589779979/attachments/atteCsyYaXSP2aV4hYDwEWfr/"/>
    <hyperlink ref="JW140" r:id="rId94" display="https://kf.kobotoolbox.org/api/v2/assets/a2jMyW8dsvtwpYHzQMRFCn/data/589783597/attachments/attBTCoMxhAGcYC9tmGHnGUj/"/>
    <hyperlink ref="JW141" r:id="rId95" display="https://kf.kobotoolbox.org/api/v2/assets/a2jMyW8dsvtwpYHzQMRFCn/data/589783623/attachments/attgPegqNdBdYdkmgLSo9bJV/"/>
    <hyperlink ref="JW142" r:id="rId96" display="https://kf.kobotoolbox.org/api/v2/assets/a2jMyW8dsvtwpYHzQMRFCn/data/589788394/attachments/att7BhZE2oUbyfF8kfg7t7SC/"/>
    <hyperlink ref="JW143" r:id="rId97" display="https://kf.kobotoolbox.org/api/v2/assets/a2jMyW8dsvtwpYHzQMRFCn/data/589789237/attachments/attkCGUaiikSEKyrLPntRrwk/"/>
    <hyperlink ref="JW144" r:id="rId98" display="https://kf.kobotoolbox.org/api/v2/assets/a2jMyW8dsvtwpYHzQMRFCn/data/589789803/attachments/attUHH85WXKjnKQFHmhyFrhx/"/>
    <hyperlink ref="JW145" r:id="rId99" display="https://kf.kobotoolbox.org/api/v2/assets/a2jMyW8dsvtwpYHzQMRFCn/data/589789918/attachments/att6wicwmk6Hx6TBjCi98xXf/"/>
    <hyperlink ref="JW146" r:id="rId100" display="https://kf.kobotoolbox.org/api/v2/assets/a2jMyW8dsvtwpYHzQMRFCn/data/589790129/attachments/att2BuaAT7Vc6LfRFirFHLMZ/"/>
    <hyperlink ref="JW147" r:id="rId101" display="https://kf.kobotoolbox.org/api/v2/assets/a2jMyW8dsvtwpYHzQMRFCn/data/589790382/attachments/atthqgSzXRFqdQUzDSUmrt3s/"/>
    <hyperlink ref="JW148" r:id="rId102" display="https://kf.kobotoolbox.org/api/v2/assets/a2jMyW8dsvtwpYHzQMRFCn/data/589801912/attachments/attT5nkAahaRhXiARNWN2GdY/"/>
    <hyperlink ref="JW149" r:id="rId103" display="https://kf.kobotoolbox.org/api/v2/assets/a2jMyW8dsvtwpYHzQMRFCn/data/589801979/attachments/attCHBUkwpz3E5SeT89VhcE3/"/>
    <hyperlink ref="JW150" r:id="rId104" display="https://kf.kobotoolbox.org/api/v2/assets/a2jMyW8dsvtwpYHzQMRFCn/data/589802014/attachments/attL95awYtww6NufFPpDXWGi/"/>
    <hyperlink ref="JW151" r:id="rId105" display="https://kf.kobotoolbox.org/api/v2/assets/a2jMyW8dsvtwpYHzQMRFCn/data/589803087/attachments/attLcSjXtBBkuhwXFudXYG3Y/"/>
    <hyperlink ref="JW152" r:id="rId106" display="https://kf.kobotoolbox.org/api/v2/assets/a2jMyW8dsvtwpYHzQMRFCn/data/589804499/attachments/attwxMwvmAGiEKCozUpuvd6B/"/>
    <hyperlink ref="JW153" r:id="rId107" display="https://kf.kobotoolbox.org/api/v2/assets/a2jMyW8dsvtwpYHzQMRFCn/data/589806432/attachments/attUNGZEqD8MqfiZS5Mueozj/"/>
    <hyperlink ref="JW154" r:id="rId108" display="https://kf.kobotoolbox.org/api/v2/assets/a2jMyW8dsvtwpYHzQMRFCn/data/589807952/attachments/attRGS6N5YD3uqeiG7Z2w42t/"/>
    <hyperlink ref="JW155" r:id="rId109" display="https://kf.kobotoolbox.org/api/v2/assets/a2jMyW8dsvtwpYHzQMRFCn/data/589817553/attachments/attAy3swfsoadmRXngfGm7wv/"/>
    <hyperlink ref="JW156" r:id="rId110" display="https://kf.kobotoolbox.org/api/v2/assets/a2jMyW8dsvtwpYHzQMRFCn/data/589817814/attachments/attnWr4bV7tvLqJJvzv9Prj5/"/>
    <hyperlink ref="JW157" r:id="rId111" display="https://kf.kobotoolbox.org/api/v2/assets/a2jMyW8dsvtwpYHzQMRFCn/data/589818364/attachments/attAf2whzwEm2UumPLQejVxH/"/>
    <hyperlink ref="JW158" r:id="rId112" display="https://kf.kobotoolbox.org/api/v2/assets/a2jMyW8dsvtwpYHzQMRFCn/data/589818555/attachments/attgHinWSfb9iUq3AENxujh2/"/>
    <hyperlink ref="JW159" r:id="rId113" display="https://kf.kobotoolbox.org/api/v2/assets/a2jMyW8dsvtwpYHzQMRFCn/data/589820080/attachments/att4tWsnRiyKyqwDiXQrMpSi/"/>
    <hyperlink ref="JW160" r:id="rId114" display="https://kf.kobotoolbox.org/api/v2/assets/a2jMyW8dsvtwpYHzQMRFCn/data/589825400/attachments/atttzuvn9KEXdHoCGrhadZH4/"/>
    <hyperlink ref="JW161" r:id="rId115" display="https://kf.kobotoolbox.org/api/v2/assets/a2jMyW8dsvtwpYHzQMRFCn/data/589825465/attachments/att7jys9ciiA582hvQCBbkio/"/>
    <hyperlink ref="JW162" r:id="rId116" display="https://kf.kobotoolbox.org/api/v2/assets/a2jMyW8dsvtwpYHzQMRFCn/data/589832597/attachments/attp6kFpr4RDPAzManPrunFD/"/>
    <hyperlink ref="JW163" r:id="rId117" display="https://kf.kobotoolbox.org/api/v2/assets/a2jMyW8dsvtwpYHzQMRFCn/data/589833473/attachments/attQJVXcr6HTgCJ8d6ifmDwU/"/>
    <hyperlink ref="JW164" r:id="rId118" display="https://kf.kobotoolbox.org/api/v2/assets/a2jMyW8dsvtwpYHzQMRFCn/data/589834280/attachments/attdrgQjZSJTSpJHo4HfpQjn/"/>
    <hyperlink ref="JW165" r:id="rId119" display="https://kf.kobotoolbox.org/api/v2/assets/a2jMyW8dsvtwpYHzQMRFCn/data/589838398/attachments/attdDuta67dy9A8V2DiYVFG3/"/>
    <hyperlink ref="JW166" r:id="rId120" display="https://kf.kobotoolbox.org/api/v2/assets/a2jMyW8dsvtwpYHzQMRFCn/data/589840787/attachments/attSXNqASgzJgbEn4mGqqxJX/"/>
    <hyperlink ref="JW167" r:id="rId121" display="https://kf.kobotoolbox.org/api/v2/assets/a2jMyW8dsvtwpYHzQMRFCn/data/589841021/attachments/att87nhMZUBGD4VMxJBeUBry/"/>
    <hyperlink ref="JW168" r:id="rId122" display="https://kf.kobotoolbox.org/api/v2/assets/a2jMyW8dsvtwpYHzQMRFCn/data/589847209/attachments/atttRtQ2DP64gD2sopuxzyt4/"/>
    <hyperlink ref="JW169" r:id="rId123" display="https://kf.kobotoolbox.org/api/v2/assets/a2jMyW8dsvtwpYHzQMRFCn/data/589854368/attachments/attNXZDbMVNtRt3HWmsmwBeH/"/>
    <hyperlink ref="JW170" r:id="rId124" display="https://kf.kobotoolbox.org/api/v2/assets/a2jMyW8dsvtwpYHzQMRFCn/data/589856004/attachments/attAKYpHcpbQRFj8LkxzjNaY/"/>
    <hyperlink ref="JW171" r:id="rId125" display="https://kf.kobotoolbox.org/api/v2/assets/a2jMyW8dsvtwpYHzQMRFCn/data/589856440/attachments/attZvSqPkSuPvCiwdNpqnytM/"/>
    <hyperlink ref="JW172" r:id="rId126" display="https://kf.kobotoolbox.org/api/v2/assets/a2jMyW8dsvtwpYHzQMRFCn/data/589856661/attachments/attb7EjLrDYjxQ4eTj9GgCEg/"/>
    <hyperlink ref="JW173" r:id="rId127" display="https://kf.kobotoolbox.org/api/v2/assets/a2jMyW8dsvtwpYHzQMRFCn/data/589856693/attachments/attmSke97ujuGVykqZtExsJG/"/>
    <hyperlink ref="JW174" r:id="rId128" display="https://kf.kobotoolbox.org/api/v2/assets/a2jMyW8dsvtwpYHzQMRFCn/data/589856735/attachments/attWxX5tBJ8UoMRWjNres4sC/"/>
    <hyperlink ref="JW175" r:id="rId129" display="https://kf.kobotoolbox.org/api/v2/assets/a2jMyW8dsvtwpYHzQMRFCn/data/589856772/attachments/attDrKsC85eqAuKpGK8Lu3QP/"/>
    <hyperlink ref="JW176" r:id="rId130" display="https://kf.kobotoolbox.org/api/v2/assets/a2jMyW8dsvtwpYHzQMRFCn/data/589856802/attachments/attYLiSTXkFt8eshdPxMvd4y/"/>
    <hyperlink ref="JW177" r:id="rId131" display="https://kf.kobotoolbox.org/api/v2/assets/a2jMyW8dsvtwpYHzQMRFCn/data/589858411/attachments/att4dDXGgdtZWdcv7N9i8nqY/"/>
    <hyperlink ref="JW178" r:id="rId132" display="https://kf.kobotoolbox.org/api/v2/assets/a2jMyW8dsvtwpYHzQMRFCn/data/589858653/attachments/attnQ9xCBQVuFUW3TZ6fxgj3/"/>
    <hyperlink ref="JW179" r:id="rId133" display="https://kf.kobotoolbox.org/api/v2/assets/a2jMyW8dsvtwpYHzQMRFCn/data/589859005/attachments/attYFAeRKmWRztYNnN3vs9Au/"/>
    <hyperlink ref="JW180" r:id="rId134" display="https://kf.kobotoolbox.org/api/v2/assets/a2jMyW8dsvtwpYHzQMRFCn/data/589859042/attachments/att4PhVzwwfq7vNbNLcxCDww/"/>
    <hyperlink ref="JW181" r:id="rId135" display="https://kf.kobotoolbox.org/api/v2/assets/a2jMyW8dsvtwpYHzQMRFCn/data/589859256/attachments/attrFYAZhzrF4rzu9h5K8ufL/"/>
    <hyperlink ref="JW182" r:id="rId136" display="https://kf.kobotoolbox.org/api/v2/assets/a2jMyW8dsvtwpYHzQMRFCn/data/589873491/attachments/attLYVvEemS2oJ798Pc9MZgT/"/>
    <hyperlink ref="JW183" r:id="rId137" display="https://kf.kobotoolbox.org/api/v2/assets/a2jMyW8dsvtwpYHzQMRFCn/data/589874691/attachments/attzaenoMMt9AdQT5UBhfP9T/"/>
    <hyperlink ref="JW184" r:id="rId138" display="https://kf.kobotoolbox.org/api/v2/assets/a2jMyW8dsvtwpYHzQMRFCn/data/589875466/attachments/attEQHWkjSfnbgw9UzJgKN4g/"/>
    <hyperlink ref="JW185" r:id="rId139" display="https://kf.kobotoolbox.org/api/v2/assets/a2jMyW8dsvtwpYHzQMRFCn/data/589880662/attachments/attgffnQfqyJAPWn68SBX9T5/"/>
    <hyperlink ref="JW186" r:id="rId140" display="https://kf.kobotoolbox.org/api/v2/assets/a2jMyW8dsvtwpYHzQMRFCn/data/589881138/attachments/attrsGVPZR8haFuPkXyth7Mg/"/>
    <hyperlink ref="JW187" r:id="rId141" display="https://kf.kobotoolbox.org/api/v2/assets/a2jMyW8dsvtwpYHzQMRFCn/data/589885735/attachments/attyUpJM9TvQWcnLWmxALEHX/"/>
    <hyperlink ref="JW188" r:id="rId142" display="https://kf.kobotoolbox.org/api/v2/assets/a2jMyW8dsvtwpYHzQMRFCn/data/589893836/attachments/atto4MYF9JnVJsucMeh4Y5pM/"/>
    <hyperlink ref="JW190" r:id="rId143" display="https://kf.kobotoolbox.org/api/v2/assets/a2jMyW8dsvtwpYHzQMRFCn/data/589893962/attachments/attBmVuFVKWTMg9PBKWJm8bF/"/>
    <hyperlink ref="JW191" r:id="rId144" display="https://kf.kobotoolbox.org/api/v2/assets/a2jMyW8dsvtwpYHzQMRFCn/data/589894792/attachments/atteoHCfJCfK4VXA6v8jTmWZ/"/>
    <hyperlink ref="JW192" r:id="rId145" display="https://kf.kobotoolbox.org/api/v2/assets/a2jMyW8dsvtwpYHzQMRFCn/data/589898892/attachments/attJ2Dvgxop4oB6U6SBWenFN/"/>
    <hyperlink ref="JW193" r:id="rId146" display="https://kf.kobotoolbox.org/api/v2/assets/a2jMyW8dsvtwpYHzQMRFCn/data/589899331/attachments/attr7mEhwoYwCnUXWeZFKRRq/"/>
    <hyperlink ref="JW194" r:id="rId147" display="https://kf.kobotoolbox.org/api/v2/assets/a2jMyW8dsvtwpYHzQMRFCn/data/589910106/attachments/attjBCEZYENjM5tytmhPGfDU/"/>
    <hyperlink ref="JW195" r:id="rId148" display="https://kf.kobotoolbox.org/api/v2/assets/a2jMyW8dsvtwpYHzQMRFCn/data/589917204/attachments/attMXMwPxGTh6UwAdVygAbSj/"/>
    <hyperlink ref="JW196" r:id="rId149" display="https://kf.kobotoolbox.org/api/v2/assets/a2jMyW8dsvtwpYHzQMRFCn/data/589926580/attachments/att3NgcEFzeAmeJHJNHtrUEb/"/>
    <hyperlink ref="JW197" r:id="rId150" display="https://kf.kobotoolbox.org/api/v2/assets/a2jMyW8dsvtwpYHzQMRFCn/data/589935979/attachments/attwnLHmuy2VFJMEAVriPMcp/"/>
    <hyperlink ref="JW198" r:id="rId151" display="https://kf.kobotoolbox.org/api/v2/assets/a2jMyW8dsvtwpYHzQMRFCn/data/589950490/attachments/attETtjxmD56mbFdkcyb3RQA/"/>
    <hyperlink ref="JW199" r:id="rId152" display="https://kf.kobotoolbox.org/api/v2/assets/a2jMyW8dsvtwpYHzQMRFCn/data/589955609/attachments/attMciVceqtMpjJgKUNGWn3z/"/>
    <hyperlink ref="JW129" r:id="rId153" display="https://kf.kobotoolbox.org/api/v2/assets/a2jMyW8dsvtwpYHzQMRFCn/data/590536294/attachments/attHaGkVd7RAHbMKgv7hF4js/"/>
    <hyperlink ref="JW130" r:id="rId154" display="https://kf.kobotoolbox.org/api/v2/assets/a2jMyW8dsvtwpYHzQMRFCn/data/590546746/attachments/attDxRXoVrzAc8UDgDz8fRyb/"/>
    <hyperlink ref="JW132" r:id="rId155" display="https://kf.kobotoolbox.org/api/v2/assets/a2jMyW8dsvtwpYHzQMRFCn/data/590563653/attachments/attCMKCa4rBrATkzZbsp4GpD/"/>
    <hyperlink ref="JW133" r:id="rId156" display="https://kf.kobotoolbox.org/api/v2/assets/a2jMyW8dsvtwpYHzQMRFCn/data/590572275/attachments/attDG5DcYFFmNTXXVVFkUjV7/"/>
    <hyperlink ref="JW131" r:id="rId157" display="https://kf.kobotoolbox.org/api/v2/assets/a2jMyW8dsvtwpYHzQMRFCn/data/590582175/attachments/attJgFrwuEY94HFnYjvsiNPi/"/>
    <hyperlink ref="JW34" r:id="rId158" display="https://kf.kobotoolbox.org/api/v2/assets/a2jMyW8dsvtwpYHzQMRFCn/data/590586791/attachments/attqeYzePLjwQVW4hQAyWaHj/"/>
    <hyperlink ref="JW35" r:id="rId159" display="https://kf.kobotoolbox.org/api/v2/assets/a2jMyW8dsvtwpYHzQMRFCn/data/590593295/attachments/attn9TKKoHNA8vFqnGVAhXGC/"/>
    <hyperlink ref="JW36" r:id="rId160" display="https://kf.kobotoolbox.org/api/v2/assets/a2jMyW8dsvtwpYHzQMRFCn/data/590604271/attachments/att4TSg55XTRVoVhHAU6gfBW/"/>
    <hyperlink ref="JW37" r:id="rId161" display="https://kf.kobotoolbox.org/api/v2/assets/a2jMyW8dsvtwpYHzQMRFCn/data/590604945/attachments/attkXKzKqRpvDzewyKgYtEyY/"/>
    <hyperlink ref="JW38" r:id="rId162" display="https://kf.kobotoolbox.org/api/v2/assets/a2jMyW8dsvtwpYHzQMRFCn/data/590605747/attachments/att7SnRrVTaCPY5y7bxnsiWh/"/>
    <hyperlink ref="JW39" r:id="rId163" display="https://kf.kobotoolbox.org/api/v2/assets/a2jMyW8dsvtwpYHzQMRFCn/data/590606356/attachments/attUeCApxjmieonpa8ZdH7hj/"/>
    <hyperlink ref="JW40" r:id="rId164" display="https://kf.kobotoolbox.org/api/v2/assets/a2jMyW8dsvtwpYHzQMRFCn/data/590608010/attachments/attKkPo3idoMNuca6rYhm4Je/"/>
    <hyperlink ref="JW41" r:id="rId165" display="https://kf.kobotoolbox.org/api/v2/assets/a2jMyW8dsvtwpYHzQMRFCn/data/590615393/attachments/attcVmkidR2JDjxT8CFbPKeH/"/>
    <hyperlink ref="JW42" r:id="rId166" display="https://kf.kobotoolbox.org/api/v2/assets/a2jMyW8dsvtwpYHzQMRFCn/data/590615613/attachments/att9HgassfxcsrJmcrr5fdGk/"/>
    <hyperlink ref="JW43" r:id="rId167" display="https://kf.kobotoolbox.org/api/v2/assets/a2jMyW8dsvtwpYHzQMRFCn/data/590617314/attachments/attkCP7oPBH7gsaUvcnSpNVB/"/>
    <hyperlink ref="JW44" r:id="rId168" display="https://kf.kobotoolbox.org/api/v2/assets/a2jMyW8dsvtwpYHzQMRFCn/data/590617798/attachments/att9Ubsayj3fwMyJERw6KLhN/"/>
    <hyperlink ref="JW45" r:id="rId169" display="https://kf.kobotoolbox.org/api/v2/assets/a2jMyW8dsvtwpYHzQMRFCn/data/590618121/attachments/attLTmZDvFux3mNy9p2WqbGV/"/>
    <hyperlink ref="JW46" r:id="rId170" display="https://kf.kobotoolbox.org/api/v2/assets/a2jMyW8dsvtwpYHzQMRFCn/data/590619573/attachments/att6Dz8dpzPrVkEv3JSdoDbJ/"/>
    <hyperlink ref="JW47" r:id="rId171" display="https://kf.kobotoolbox.org/api/v2/assets/a2jMyW8dsvtwpYHzQMRFCn/data/590621347/attachments/att5A7HejWosrsHKwFYMDCDB/"/>
    <hyperlink ref="JW48" r:id="rId172" display="https://kf.kobotoolbox.org/api/v2/assets/a2jMyW8dsvtwpYHzQMRFCn/data/590625779/attachments/attqLrDGqfeyGp4QPGmBf76A/"/>
    <hyperlink ref="JW49" r:id="rId173" display="https://kf.kobotoolbox.org/api/v2/assets/a2jMyW8dsvtwpYHzQMRFCn/data/590628157/attachments/attNUYgrXfLt3cH4GQgxbXUW/"/>
    <hyperlink ref="JW50" r:id="rId174" display="https://kf.kobotoolbox.org/api/v2/assets/a2jMyW8dsvtwpYHzQMRFCn/data/590628703/attachments/attzchrqjc6pTeuKHd5Muw2y/"/>
    <hyperlink ref="JW51" r:id="rId175" display="https://kf.kobotoolbox.org/api/v2/assets/a2jMyW8dsvtwpYHzQMRFCn/data/590629233/attachments/attvnk6B9k5onSn9dnDA5RUd/"/>
    <hyperlink ref="JW52" r:id="rId176" display="https://kf.kobotoolbox.org/api/v2/assets/a2jMyW8dsvtwpYHzQMRFCn/data/590629398/attachments/attZcwBMiiCpBGW2FPN4Mzwp/"/>
    <hyperlink ref="JW53" r:id="rId177" display="https://kf.kobotoolbox.org/api/v2/assets/a2jMyW8dsvtwpYHzQMRFCn/data/590630498/attachments/attGTSegfFKecqZKZSHY9neq/"/>
    <hyperlink ref="JW54" r:id="rId178" display="https://kf.kobotoolbox.org/api/v2/assets/a2jMyW8dsvtwpYHzQMRFCn/data/590631272/attachments/attK6ZVwuEVRfiPC9Keb6fUd/"/>
    <hyperlink ref="JW55" r:id="rId179" display="https://kf.kobotoolbox.org/api/v2/assets/a2jMyW8dsvtwpYHzQMRFCn/data/590635705/attachments/attdtkTFse7kuoyhordkFnHt/"/>
    <hyperlink ref="JW56" r:id="rId180" display="https://kf.kobotoolbox.org/api/v2/assets/a2jMyW8dsvtwpYHzQMRFCn/data/590635737/attachments/attQHfA4ERx75ww4uT3vBBhT/"/>
    <hyperlink ref="JW57" r:id="rId181" display="https://kf.kobotoolbox.org/api/v2/assets/a2jMyW8dsvtwpYHzQMRFCn/data/590636650/attachments/attcKG4iX3eKQQAZQ8r2NByT/"/>
    <hyperlink ref="JW58" r:id="rId182" display="https://kf.kobotoolbox.org/api/v2/assets/a2jMyW8dsvtwpYHzQMRFCn/data/590645647/attachments/atteaT5wcD8VPNVBjWECPAER/"/>
    <hyperlink ref="JW59" r:id="rId183" display="https://kf.kobotoolbox.org/api/v2/assets/a2jMyW8dsvtwpYHzQMRFCn/data/590647390/attachments/attu2NuDTjbuEQRWbcgTREuc/"/>
    <hyperlink ref="JW60" r:id="rId184" display="https://kf.kobotoolbox.org/api/v2/assets/a2jMyW8dsvtwpYHzQMRFCn/data/590649809/attachments/attN96eicdDbxbouXxowT33V/"/>
    <hyperlink ref="JW61" r:id="rId185" display="https://kf.kobotoolbox.org/api/v2/assets/a2jMyW8dsvtwpYHzQMRFCn/data/590651203/attachments/attgStr6SfPjYnDfX9MVSaWj/"/>
    <hyperlink ref="JW62" r:id="rId186" display="https://kf.kobotoolbox.org/api/v2/assets/a2jMyW8dsvtwpYHzQMRFCn/data/590652751/attachments/attYo2Dd7QTdvzmAcbPbAxFy/"/>
    <hyperlink ref="JW63" r:id="rId187" display="https://kf.kobotoolbox.org/api/v2/assets/a2jMyW8dsvtwpYHzQMRFCn/data/590656959/attachments/attd4Ve878XBjvc5BktpteHK/"/>
    <hyperlink ref="JW64" r:id="rId188" display="https://kf.kobotoolbox.org/api/v2/assets/a2jMyW8dsvtwpYHzQMRFCn/data/590662994/attachments/attrMVzVGh78SNjTASzi87WF/"/>
    <hyperlink ref="JW65" r:id="rId189" display="https://kf.kobotoolbox.org/api/v2/assets/a2jMyW8dsvtwpYHzQMRFCn/data/590680538/attachments/attNsNCH58YwyvsN7o38CZjt/"/>
    <hyperlink ref="JW66" r:id="rId190" display="https://kf.kobotoolbox.org/api/v2/assets/a2jMyW8dsvtwpYHzQMRFCn/data/590680578/attachments/atthWGygvvevpXLDGBkd7Lgb/"/>
    <hyperlink ref="JW67" r:id="rId191" display="https://kf.kobotoolbox.org/api/v2/assets/a2jMyW8dsvtwpYHzQMRFCn/data/590734254/attachments/attAsDwFC4XUFUTpw4reg5X4/"/>
    <hyperlink ref="JW68" r:id="rId29" display="https://kf.kobotoolbox.org/api/v2/assets/a2jMyW8dsvtwpYHzQMRFCn/data/588413979/attachments/attPqBuiipf46Q2srUQyRadm/"/>
    <hyperlink ref="JW24" r:id="rId20" display="https://kf.kobotoolbox.org/api/v2/assets/a2jMyW8dsvtwpYHzQMRFCn/data/588237526/attachments/attrUTqyizvjRgR32HXTwF6Q/"/>
    <hyperlink ref="JW108" r:id="rId67" display="https://kf.kobotoolbox.org/api/v2/assets/a2jMyW8dsvtwpYHzQMRFCn/data/589113598/attachments/attdueUeeXvitimGkgnQ4hzJ/"/>
    <hyperlink ref="JW189" r:id="rId142" display="https://kf.kobotoolbox.org/api/v2/assets/a2jMyW8dsvtwpYHzQMRFCn/data/589893836/attachments/atto4MYF9JnVJsucMeh4Y5pM/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41"/>
  <sheetViews>
    <sheetView topLeftCell="J1" workbookViewId="0">
      <selection activeCell="J3" sqref="J3"/>
    </sheetView>
  </sheetViews>
  <sheetFormatPr defaultColWidth="9.14285714285714" defaultRowHeight="15"/>
  <cols>
    <col min="1" max="1" width="26.7142857142857" customWidth="1"/>
    <col min="2" max="2" width="22.4285714285714" customWidth="1"/>
    <col min="3" max="3" width="32.4285714285714" customWidth="1"/>
    <col min="4" max="4" width="14.2857142857143" customWidth="1"/>
    <col min="5" max="5" width="30.4285714285714" customWidth="1"/>
    <col min="6" max="6" width="10.8571428571429" style="1" customWidth="1"/>
    <col min="7" max="7" width="9"/>
    <col min="8" max="8" width="28" customWidth="1"/>
    <col min="9" max="9" width="31.2857142857143" style="2" customWidth="1"/>
    <col min="10" max="10" width="96.8571428571429" customWidth="1"/>
    <col min="11" max="11" width="79.2857142857143" customWidth="1"/>
    <col min="12" max="12" width="116" customWidth="1"/>
    <col min="13" max="17" width="9"/>
    <col min="18" max="18" width="28.5714285714286" customWidth="1"/>
  </cols>
  <sheetData>
    <row r="1" ht="26.25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10"/>
      <c r="K1" s="10"/>
      <c r="L1" s="10"/>
      <c r="M1" s="10"/>
      <c r="N1" s="10"/>
      <c r="O1" s="10"/>
      <c r="P1" s="10"/>
      <c r="Q1" s="10"/>
      <c r="R1" s="10"/>
    </row>
    <row r="2" ht="21" spans="1:18">
      <c r="A2" s="3"/>
      <c r="B2" s="3"/>
      <c r="C2" s="3"/>
      <c r="D2" s="3"/>
      <c r="E2" s="3"/>
      <c r="F2" s="3"/>
      <c r="G2" s="3"/>
      <c r="H2" s="3"/>
      <c r="I2" s="3"/>
      <c r="J2" s="11"/>
      <c r="K2" s="11"/>
      <c r="L2" s="11"/>
      <c r="M2" s="11"/>
      <c r="N2" s="11"/>
      <c r="O2" s="11"/>
      <c r="P2" s="11"/>
      <c r="Q2" s="11"/>
      <c r="R2" s="11"/>
    </row>
    <row r="3" ht="21" spans="1:18">
      <c r="A3" s="3"/>
      <c r="B3" s="3"/>
      <c r="C3" s="3"/>
      <c r="D3" s="3"/>
      <c r="E3" s="3"/>
      <c r="F3" s="3"/>
      <c r="G3" s="3"/>
      <c r="H3" s="3"/>
      <c r="I3" s="3"/>
      <c r="J3" s="12" t="s">
        <v>125</v>
      </c>
      <c r="K3" s="13" t="s">
        <v>126</v>
      </c>
      <c r="L3" s="12" t="s">
        <v>127</v>
      </c>
      <c r="M3" s="12"/>
      <c r="N3" s="12"/>
      <c r="O3" s="12"/>
      <c r="P3" s="12"/>
      <c r="Q3" s="12"/>
      <c r="R3" s="12"/>
    </row>
    <row r="4" spans="1:18">
      <c r="A4" s="4" t="s">
        <v>132</v>
      </c>
      <c r="B4" s="4" t="s">
        <v>133</v>
      </c>
      <c r="C4" s="4" t="s">
        <v>134</v>
      </c>
      <c r="D4" s="4" t="s">
        <v>135</v>
      </c>
      <c r="E4" s="4" t="s">
        <v>136</v>
      </c>
      <c r="F4" s="5" t="s">
        <v>137</v>
      </c>
      <c r="G4" s="4" t="s">
        <v>138</v>
      </c>
      <c r="H4" s="4" t="s">
        <v>139</v>
      </c>
      <c r="I4" s="14" t="s">
        <v>140</v>
      </c>
      <c r="J4" s="4" t="s">
        <v>390</v>
      </c>
      <c r="K4" s="4" t="s">
        <v>391</v>
      </c>
      <c r="L4" s="4" t="s">
        <v>392</v>
      </c>
      <c r="M4" s="4" t="s">
        <v>393</v>
      </c>
      <c r="N4" s="4" t="s">
        <v>394</v>
      </c>
      <c r="O4" s="4" t="s">
        <v>395</v>
      </c>
      <c r="P4" s="4" t="s">
        <v>396</v>
      </c>
      <c r="Q4" s="4" t="s">
        <v>397</v>
      </c>
      <c r="R4" s="4" t="s">
        <v>398</v>
      </c>
    </row>
    <row r="5" spans="1:18">
      <c r="A5" s="6" t="s">
        <v>419</v>
      </c>
      <c r="B5" s="7" t="s">
        <v>420</v>
      </c>
      <c r="C5" s="6" t="s">
        <v>421</v>
      </c>
      <c r="D5" s="6" t="s">
        <v>421</v>
      </c>
      <c r="E5" s="6" t="s">
        <v>422</v>
      </c>
      <c r="F5" s="8" t="s">
        <v>423</v>
      </c>
      <c r="G5" s="6" t="s">
        <v>424</v>
      </c>
      <c r="H5" s="6" t="s">
        <v>425</v>
      </c>
      <c r="I5" s="15"/>
      <c r="J5" s="6" t="s">
        <v>426</v>
      </c>
      <c r="K5" s="6" t="s">
        <v>476</v>
      </c>
      <c r="L5" s="6"/>
      <c r="M5" s="6"/>
      <c r="N5" s="6"/>
      <c r="O5" s="6"/>
      <c r="P5" s="6"/>
      <c r="Q5" s="6"/>
      <c r="R5" s="6"/>
    </row>
    <row r="6" spans="1:18">
      <c r="A6" s="6" t="s">
        <v>480</v>
      </c>
      <c r="B6" s="6" t="s">
        <v>420</v>
      </c>
      <c r="C6" s="6" t="s">
        <v>421</v>
      </c>
      <c r="D6" s="6" t="s">
        <v>481</v>
      </c>
      <c r="E6" s="6" t="s">
        <v>482</v>
      </c>
      <c r="F6" s="8" t="s">
        <v>483</v>
      </c>
      <c r="G6" s="6" t="s">
        <v>484</v>
      </c>
      <c r="H6" s="6" t="s">
        <v>425</v>
      </c>
      <c r="I6" s="15"/>
      <c r="J6" s="6"/>
      <c r="K6" s="6"/>
      <c r="L6" s="6"/>
      <c r="M6" s="6"/>
      <c r="N6" s="6"/>
      <c r="O6" s="6"/>
      <c r="P6" s="6"/>
      <c r="Q6" s="6"/>
      <c r="R6" s="6"/>
    </row>
    <row r="7" spans="1:18">
      <c r="A7" s="6" t="s">
        <v>514</v>
      </c>
      <c r="B7" s="6" t="s">
        <v>420</v>
      </c>
      <c r="C7" s="6" t="s">
        <v>421</v>
      </c>
      <c r="D7" s="6" t="s">
        <v>515</v>
      </c>
      <c r="E7" s="6" t="s">
        <v>516</v>
      </c>
      <c r="F7" s="8" t="s">
        <v>483</v>
      </c>
      <c r="G7" s="6" t="s">
        <v>484</v>
      </c>
      <c r="H7" s="6" t="s">
        <v>517</v>
      </c>
      <c r="I7" s="15"/>
      <c r="J7" s="6" t="s">
        <v>426</v>
      </c>
      <c r="K7" s="6" t="s">
        <v>476</v>
      </c>
      <c r="L7" s="6"/>
      <c r="M7" s="6"/>
      <c r="N7" s="6"/>
      <c r="O7" s="6"/>
      <c r="P7" s="6"/>
      <c r="Q7" s="6"/>
      <c r="R7" s="6"/>
    </row>
    <row r="8" spans="1:18">
      <c r="A8" s="6" t="s">
        <v>547</v>
      </c>
      <c r="B8" s="6" t="s">
        <v>420</v>
      </c>
      <c r="C8" s="6" t="s">
        <v>421</v>
      </c>
      <c r="D8" s="6" t="s">
        <v>548</v>
      </c>
      <c r="E8" s="6" t="s">
        <v>549</v>
      </c>
      <c r="F8" s="8" t="s">
        <v>483</v>
      </c>
      <c r="G8" s="6" t="s">
        <v>424</v>
      </c>
      <c r="H8" s="6" t="s">
        <v>517</v>
      </c>
      <c r="I8" s="15"/>
      <c r="J8" s="6" t="s">
        <v>426</v>
      </c>
      <c r="K8" s="6" t="s">
        <v>476</v>
      </c>
      <c r="L8" s="6"/>
      <c r="M8" s="6"/>
      <c r="N8" s="6"/>
      <c r="O8" s="6"/>
      <c r="P8" s="6"/>
      <c r="Q8" s="6"/>
      <c r="R8" s="6"/>
    </row>
    <row r="9" spans="1:18">
      <c r="A9" s="6" t="s">
        <v>419</v>
      </c>
      <c r="B9" s="6" t="s">
        <v>420</v>
      </c>
      <c r="C9" s="6" t="s">
        <v>421</v>
      </c>
      <c r="D9" s="6" t="s">
        <v>421</v>
      </c>
      <c r="E9" s="6" t="s">
        <v>566</v>
      </c>
      <c r="F9" s="8" t="s">
        <v>423</v>
      </c>
      <c r="G9" s="6" t="s">
        <v>567</v>
      </c>
      <c r="H9" s="6" t="s">
        <v>425</v>
      </c>
      <c r="I9" s="15"/>
      <c r="J9" s="6" t="s">
        <v>426</v>
      </c>
      <c r="K9" s="6" t="s">
        <v>476</v>
      </c>
      <c r="L9" s="6"/>
      <c r="M9" s="6"/>
      <c r="N9" s="6"/>
      <c r="O9" s="6"/>
      <c r="P9" s="6"/>
      <c r="Q9" s="6"/>
      <c r="R9" s="6"/>
    </row>
    <row r="10" spans="1:18">
      <c r="A10" s="6" t="s">
        <v>581</v>
      </c>
      <c r="B10" s="6" t="s">
        <v>420</v>
      </c>
      <c r="C10" s="6" t="s">
        <v>421</v>
      </c>
      <c r="D10" s="6" t="s">
        <v>515</v>
      </c>
      <c r="E10" s="6" t="s">
        <v>582</v>
      </c>
      <c r="F10" s="8" t="s">
        <v>483</v>
      </c>
      <c r="G10" s="6" t="s">
        <v>567</v>
      </c>
      <c r="H10" s="6" t="s">
        <v>517</v>
      </c>
      <c r="I10" s="15"/>
      <c r="J10" s="6" t="s">
        <v>605</v>
      </c>
      <c r="K10" s="6"/>
      <c r="L10" s="6"/>
      <c r="M10" s="6"/>
      <c r="N10" s="6"/>
      <c r="O10" s="6"/>
      <c r="P10" s="6"/>
      <c r="Q10" s="6"/>
      <c r="R10" s="6"/>
    </row>
    <row r="11" spans="1:18">
      <c r="A11" s="6" t="s">
        <v>480</v>
      </c>
      <c r="B11" s="6" t="s">
        <v>420</v>
      </c>
      <c r="C11" s="6" t="s">
        <v>421</v>
      </c>
      <c r="D11" s="6" t="s">
        <v>481</v>
      </c>
      <c r="E11" s="6" t="s">
        <v>608</v>
      </c>
      <c r="F11" s="8" t="s">
        <v>483</v>
      </c>
      <c r="G11" s="6" t="s">
        <v>424</v>
      </c>
      <c r="H11" s="6" t="s">
        <v>425</v>
      </c>
      <c r="I11" s="15"/>
      <c r="J11" s="6"/>
      <c r="K11" s="6"/>
      <c r="L11" s="6"/>
      <c r="M11" s="6"/>
      <c r="N11" s="6"/>
      <c r="O11" s="6"/>
      <c r="P11" s="6"/>
      <c r="Q11" s="6"/>
      <c r="R11" s="6"/>
    </row>
    <row r="12" spans="1:18">
      <c r="A12" s="6" t="s">
        <v>633</v>
      </c>
      <c r="B12" s="6" t="s">
        <v>420</v>
      </c>
      <c r="C12" s="6" t="s">
        <v>421</v>
      </c>
      <c r="D12" s="6" t="s">
        <v>634</v>
      </c>
      <c r="E12" s="6" t="s">
        <v>635</v>
      </c>
      <c r="F12" s="8" t="s">
        <v>483</v>
      </c>
      <c r="G12" s="6" t="s">
        <v>567</v>
      </c>
      <c r="H12" s="6" t="s">
        <v>517</v>
      </c>
      <c r="I12" s="15"/>
      <c r="J12" s="6" t="s">
        <v>426</v>
      </c>
      <c r="K12" s="6" t="s">
        <v>651</v>
      </c>
      <c r="L12" s="6"/>
      <c r="M12" s="6"/>
      <c r="N12" s="6"/>
      <c r="O12" s="6"/>
      <c r="P12" s="6"/>
      <c r="Q12" s="6"/>
      <c r="R12" s="6"/>
    </row>
    <row r="13" spans="1:18">
      <c r="A13" s="6" t="s">
        <v>514</v>
      </c>
      <c r="B13" s="6" t="s">
        <v>420</v>
      </c>
      <c r="C13" s="6" t="s">
        <v>421</v>
      </c>
      <c r="D13" s="6" t="s">
        <v>654</v>
      </c>
      <c r="E13" s="6" t="s">
        <v>655</v>
      </c>
      <c r="F13" s="8" t="s">
        <v>483</v>
      </c>
      <c r="G13" s="6" t="s">
        <v>424</v>
      </c>
      <c r="H13" s="6" t="s">
        <v>517</v>
      </c>
      <c r="I13" s="15"/>
      <c r="J13" s="6" t="s">
        <v>605</v>
      </c>
      <c r="K13" s="6"/>
      <c r="L13" s="6"/>
      <c r="M13" s="6"/>
      <c r="N13" s="6"/>
      <c r="O13" s="6"/>
      <c r="P13" s="6"/>
      <c r="Q13" s="6"/>
      <c r="R13" s="6"/>
    </row>
    <row r="14" spans="1:18">
      <c r="A14" s="6" t="s">
        <v>419</v>
      </c>
      <c r="B14" s="6" t="s">
        <v>420</v>
      </c>
      <c r="C14" s="6" t="s">
        <v>421</v>
      </c>
      <c r="D14" s="6" t="s">
        <v>421</v>
      </c>
      <c r="E14" s="6" t="s">
        <v>682</v>
      </c>
      <c r="F14" s="8" t="s">
        <v>483</v>
      </c>
      <c r="G14" s="6" t="s">
        <v>567</v>
      </c>
      <c r="H14" s="6" t="s">
        <v>425</v>
      </c>
      <c r="I14" s="15"/>
      <c r="J14" s="6" t="s">
        <v>426</v>
      </c>
      <c r="K14" s="6" t="s">
        <v>476</v>
      </c>
      <c r="L14" s="6"/>
      <c r="M14" s="6"/>
      <c r="N14" s="6"/>
      <c r="O14" s="6"/>
      <c r="P14" s="6"/>
      <c r="Q14" s="6"/>
      <c r="R14" s="6"/>
    </row>
    <row r="15" spans="1:18">
      <c r="A15" s="6" t="s">
        <v>480</v>
      </c>
      <c r="B15" s="6" t="s">
        <v>420</v>
      </c>
      <c r="C15" s="6" t="s">
        <v>421</v>
      </c>
      <c r="D15" s="6" t="s">
        <v>515</v>
      </c>
      <c r="E15" s="6" t="s">
        <v>710</v>
      </c>
      <c r="F15" s="8" t="s">
        <v>423</v>
      </c>
      <c r="G15" s="6" t="s">
        <v>567</v>
      </c>
      <c r="H15" s="6" t="s">
        <v>425</v>
      </c>
      <c r="I15" s="15"/>
      <c r="J15" s="6" t="s">
        <v>426</v>
      </c>
      <c r="K15" s="6" t="s">
        <v>476</v>
      </c>
      <c r="L15" s="6"/>
      <c r="M15" s="6"/>
      <c r="N15" s="6"/>
      <c r="O15" s="6"/>
      <c r="P15" s="6"/>
      <c r="Q15" s="6"/>
      <c r="R15" s="6"/>
    </row>
    <row r="16" spans="1:18">
      <c r="A16" s="6" t="s">
        <v>633</v>
      </c>
      <c r="B16" s="6" t="s">
        <v>420</v>
      </c>
      <c r="C16" s="6" t="s">
        <v>421</v>
      </c>
      <c r="D16" s="6" t="s">
        <v>515</v>
      </c>
      <c r="E16" s="6" t="s">
        <v>730</v>
      </c>
      <c r="F16" s="8" t="s">
        <v>483</v>
      </c>
      <c r="G16" s="6" t="s">
        <v>731</v>
      </c>
      <c r="H16" s="6" t="s">
        <v>517</v>
      </c>
      <c r="I16" s="15"/>
      <c r="J16" s="6"/>
      <c r="K16" s="6"/>
      <c r="L16" s="6"/>
      <c r="M16" s="6"/>
      <c r="N16" s="6"/>
      <c r="O16" s="6"/>
      <c r="P16" s="6"/>
      <c r="Q16" s="6"/>
      <c r="R16" s="6"/>
    </row>
    <row r="17" spans="1:18">
      <c r="A17" s="6" t="s">
        <v>755</v>
      </c>
      <c r="B17" s="6" t="s">
        <v>420</v>
      </c>
      <c r="C17" s="6" t="s">
        <v>421</v>
      </c>
      <c r="D17" s="6" t="s">
        <v>756</v>
      </c>
      <c r="E17" s="6" t="s">
        <v>757</v>
      </c>
      <c r="F17" s="8" t="s">
        <v>483</v>
      </c>
      <c r="G17" s="6" t="s">
        <v>424</v>
      </c>
      <c r="H17" s="6" t="s">
        <v>517</v>
      </c>
      <c r="I17" s="15"/>
      <c r="J17" s="6" t="s">
        <v>426</v>
      </c>
      <c r="K17" s="6" t="s">
        <v>476</v>
      </c>
      <c r="L17" s="6"/>
      <c r="M17" s="6"/>
      <c r="N17" s="6"/>
      <c r="O17" s="6"/>
      <c r="P17" s="6"/>
      <c r="Q17" s="6"/>
      <c r="R17" s="6"/>
    </row>
    <row r="18" spans="1:18">
      <c r="A18" s="6" t="s">
        <v>581</v>
      </c>
      <c r="B18" s="6" t="s">
        <v>420</v>
      </c>
      <c r="C18" s="6" t="s">
        <v>421</v>
      </c>
      <c r="D18" s="6" t="s">
        <v>782</v>
      </c>
      <c r="E18" s="6" t="s">
        <v>783</v>
      </c>
      <c r="F18" s="8" t="s">
        <v>423</v>
      </c>
      <c r="G18" s="6" t="s">
        <v>567</v>
      </c>
      <c r="H18" s="6" t="s">
        <v>517</v>
      </c>
      <c r="I18" s="15"/>
      <c r="J18" s="6" t="s">
        <v>605</v>
      </c>
      <c r="K18" s="6"/>
      <c r="L18" s="6"/>
      <c r="M18" s="6"/>
      <c r="N18" s="6"/>
      <c r="O18" s="6"/>
      <c r="P18" s="6"/>
      <c r="Q18" s="6"/>
      <c r="R18" s="6"/>
    </row>
    <row r="19" spans="1:18">
      <c r="A19" s="6" t="s">
        <v>547</v>
      </c>
      <c r="B19" s="6" t="s">
        <v>420</v>
      </c>
      <c r="C19" s="6" t="s">
        <v>421</v>
      </c>
      <c r="D19" s="6" t="s">
        <v>803</v>
      </c>
      <c r="E19" s="6" t="s">
        <v>804</v>
      </c>
      <c r="F19" s="8" t="s">
        <v>483</v>
      </c>
      <c r="G19" s="6" t="s">
        <v>567</v>
      </c>
      <c r="H19" s="6" t="s">
        <v>517</v>
      </c>
      <c r="I19" s="15"/>
      <c r="J19" s="6" t="s">
        <v>426</v>
      </c>
      <c r="K19" s="6" t="s">
        <v>476</v>
      </c>
      <c r="L19" s="6"/>
      <c r="M19" s="6"/>
      <c r="N19" s="6"/>
      <c r="O19" s="6"/>
      <c r="P19" s="6"/>
      <c r="Q19" s="6"/>
      <c r="R19" s="6"/>
    </row>
    <row r="20" spans="1:18">
      <c r="A20" s="6" t="s">
        <v>419</v>
      </c>
      <c r="B20" s="6" t="s">
        <v>420</v>
      </c>
      <c r="C20" s="6" t="s">
        <v>421</v>
      </c>
      <c r="D20" s="6" t="s">
        <v>421</v>
      </c>
      <c r="E20" s="6" t="s">
        <v>822</v>
      </c>
      <c r="F20" s="8" t="s">
        <v>483</v>
      </c>
      <c r="G20" s="6" t="s">
        <v>424</v>
      </c>
      <c r="H20" s="6" t="s">
        <v>425</v>
      </c>
      <c r="I20" s="15"/>
      <c r="J20" s="6" t="s">
        <v>426</v>
      </c>
      <c r="K20" s="6" t="s">
        <v>476</v>
      </c>
      <c r="L20" s="6"/>
      <c r="M20" s="6"/>
      <c r="N20" s="6"/>
      <c r="O20" s="6"/>
      <c r="P20" s="6"/>
      <c r="Q20" s="6"/>
      <c r="R20" s="6"/>
    </row>
    <row r="21" spans="1:18">
      <c r="A21" s="6" t="s">
        <v>755</v>
      </c>
      <c r="B21" s="6" t="s">
        <v>420</v>
      </c>
      <c r="C21" s="6" t="s">
        <v>421</v>
      </c>
      <c r="D21" s="6" t="s">
        <v>842</v>
      </c>
      <c r="E21" s="6" t="s">
        <v>843</v>
      </c>
      <c r="F21" s="8" t="s">
        <v>423</v>
      </c>
      <c r="G21" s="6" t="s">
        <v>567</v>
      </c>
      <c r="H21" s="6" t="s">
        <v>517</v>
      </c>
      <c r="I21" s="15"/>
      <c r="J21" s="6" t="s">
        <v>426</v>
      </c>
      <c r="K21" s="6" t="s">
        <v>476</v>
      </c>
      <c r="L21" s="6"/>
      <c r="M21" s="6"/>
      <c r="N21" s="6"/>
      <c r="O21" s="6"/>
      <c r="P21" s="6"/>
      <c r="Q21" s="6"/>
      <c r="R21" s="6"/>
    </row>
    <row r="22" spans="1:18">
      <c r="A22" s="6" t="s">
        <v>864</v>
      </c>
      <c r="B22" s="6" t="s">
        <v>420</v>
      </c>
      <c r="C22" s="6" t="s">
        <v>421</v>
      </c>
      <c r="D22" s="6" t="s">
        <v>865</v>
      </c>
      <c r="E22" s="6" t="s">
        <v>866</v>
      </c>
      <c r="F22" s="8" t="s">
        <v>483</v>
      </c>
      <c r="G22" s="6" t="s">
        <v>424</v>
      </c>
      <c r="H22" s="6" t="s">
        <v>517</v>
      </c>
      <c r="I22" s="15"/>
      <c r="J22" s="6" t="s">
        <v>605</v>
      </c>
      <c r="K22" s="6"/>
      <c r="L22" s="6"/>
      <c r="M22" s="6"/>
      <c r="N22" s="6"/>
      <c r="O22" s="6"/>
      <c r="P22" s="6"/>
      <c r="Q22" s="6"/>
      <c r="R22" s="6"/>
    </row>
    <row r="23" spans="1:18">
      <c r="A23" s="6" t="s">
        <v>864</v>
      </c>
      <c r="B23" s="6" t="s">
        <v>420</v>
      </c>
      <c r="C23" s="6" t="s">
        <v>421</v>
      </c>
      <c r="D23" s="6" t="s">
        <v>865</v>
      </c>
      <c r="E23" s="6" t="s">
        <v>879</v>
      </c>
      <c r="F23" s="8" t="s">
        <v>483</v>
      </c>
      <c r="G23" s="6" t="s">
        <v>567</v>
      </c>
      <c r="H23" s="6" t="s">
        <v>517</v>
      </c>
      <c r="I23" s="15"/>
      <c r="J23" s="6" t="s">
        <v>426</v>
      </c>
      <c r="K23" s="6" t="s">
        <v>476</v>
      </c>
      <c r="L23" s="6"/>
      <c r="M23" s="6"/>
      <c r="N23" s="6"/>
      <c r="O23" s="6"/>
      <c r="P23" s="6"/>
      <c r="Q23" s="6"/>
      <c r="R23" s="6"/>
    </row>
    <row r="24" spans="1:18">
      <c r="A24" s="6" t="s">
        <v>514</v>
      </c>
      <c r="B24" s="6" t="s">
        <v>420</v>
      </c>
      <c r="C24" s="6" t="s">
        <v>421</v>
      </c>
      <c r="D24" s="6" t="s">
        <v>899</v>
      </c>
      <c r="E24" s="6" t="s">
        <v>900</v>
      </c>
      <c r="F24" s="8" t="s">
        <v>483</v>
      </c>
      <c r="G24" s="6" t="s">
        <v>424</v>
      </c>
      <c r="H24" s="6" t="s">
        <v>517</v>
      </c>
      <c r="I24" s="15"/>
      <c r="J24" s="6" t="s">
        <v>605</v>
      </c>
      <c r="K24" s="6"/>
      <c r="L24" s="6"/>
      <c r="M24" s="6"/>
      <c r="N24" s="6"/>
      <c r="O24" s="6"/>
      <c r="P24" s="6"/>
      <c r="Q24" s="6"/>
      <c r="R24" s="6"/>
    </row>
    <row r="25" spans="1:18">
      <c r="A25" s="9" t="s">
        <v>633</v>
      </c>
      <c r="B25" s="9" t="s">
        <v>420</v>
      </c>
      <c r="C25" s="9" t="s">
        <v>421</v>
      </c>
      <c r="D25" s="9" t="s">
        <v>916</v>
      </c>
      <c r="E25" s="9" t="s">
        <v>917</v>
      </c>
      <c r="F25" s="9" t="s">
        <v>483</v>
      </c>
      <c r="G25" s="9" t="s">
        <v>567</v>
      </c>
      <c r="H25" s="9" t="s">
        <v>425</v>
      </c>
      <c r="I25" s="9"/>
      <c r="J25" s="16" t="s">
        <v>605</v>
      </c>
      <c r="K25" s="16"/>
      <c r="L25" s="16"/>
      <c r="M25" s="16"/>
      <c r="N25" s="16"/>
      <c r="O25" s="16"/>
      <c r="P25" s="16"/>
      <c r="Q25" s="16"/>
      <c r="R25" s="16"/>
    </row>
    <row r="26" spans="1:18">
      <c r="A26" s="6" t="s">
        <v>480</v>
      </c>
      <c r="B26" s="6" t="s">
        <v>420</v>
      </c>
      <c r="C26" s="6" t="s">
        <v>421</v>
      </c>
      <c r="D26" s="6" t="s">
        <v>918</v>
      </c>
      <c r="E26" s="6" t="s">
        <v>919</v>
      </c>
      <c r="F26" s="8" t="s">
        <v>483</v>
      </c>
      <c r="G26" s="6" t="s">
        <v>567</v>
      </c>
      <c r="H26" s="6" t="s">
        <v>425</v>
      </c>
      <c r="I26" s="15"/>
      <c r="J26" s="6"/>
      <c r="K26" s="6"/>
      <c r="L26" s="6"/>
      <c r="M26" s="6"/>
      <c r="N26" s="6"/>
      <c r="O26" s="6"/>
      <c r="P26" s="6"/>
      <c r="Q26" s="6"/>
      <c r="R26" s="6"/>
    </row>
    <row r="27" spans="1:18">
      <c r="A27" s="6" t="s">
        <v>419</v>
      </c>
      <c r="B27" s="6" t="s">
        <v>420</v>
      </c>
      <c r="C27" s="6" t="s">
        <v>421</v>
      </c>
      <c r="D27" s="6" t="s">
        <v>421</v>
      </c>
      <c r="E27" s="6" t="s">
        <v>933</v>
      </c>
      <c r="F27" s="8" t="s">
        <v>483</v>
      </c>
      <c r="G27" s="6" t="s">
        <v>484</v>
      </c>
      <c r="H27" s="6" t="s">
        <v>425</v>
      </c>
      <c r="I27" s="15"/>
      <c r="J27" s="6" t="s">
        <v>426</v>
      </c>
      <c r="K27" s="6" t="s">
        <v>476</v>
      </c>
      <c r="L27" s="6"/>
      <c r="M27" s="6"/>
      <c r="N27" s="6"/>
      <c r="O27" s="6"/>
      <c r="P27" s="6"/>
      <c r="Q27" s="6"/>
      <c r="R27" s="6"/>
    </row>
    <row r="28" spans="1:18">
      <c r="A28" s="6" t="s">
        <v>864</v>
      </c>
      <c r="B28" s="6" t="s">
        <v>420</v>
      </c>
      <c r="C28" s="6" t="s">
        <v>421</v>
      </c>
      <c r="D28" s="6" t="s">
        <v>918</v>
      </c>
      <c r="E28" s="6" t="s">
        <v>951</v>
      </c>
      <c r="F28" s="8" t="s">
        <v>483</v>
      </c>
      <c r="G28" s="6" t="s">
        <v>567</v>
      </c>
      <c r="H28" s="6" t="s">
        <v>517</v>
      </c>
      <c r="I28" s="15"/>
      <c r="J28" s="6"/>
      <c r="K28" s="6"/>
      <c r="L28" s="6"/>
      <c r="M28" s="6"/>
      <c r="N28" s="6"/>
      <c r="O28" s="6"/>
      <c r="P28" s="6"/>
      <c r="Q28" s="6"/>
      <c r="R28" s="6"/>
    </row>
    <row r="29" spans="1:18">
      <c r="A29" s="6" t="s">
        <v>419</v>
      </c>
      <c r="B29" s="6" t="s">
        <v>420</v>
      </c>
      <c r="C29" s="6" t="s">
        <v>421</v>
      </c>
      <c r="D29" s="6" t="s">
        <v>421</v>
      </c>
      <c r="E29" s="6" t="s">
        <v>969</v>
      </c>
      <c r="F29" s="8" t="s">
        <v>423</v>
      </c>
      <c r="G29" s="6" t="s">
        <v>731</v>
      </c>
      <c r="H29" s="6" t="s">
        <v>425</v>
      </c>
      <c r="I29" s="15"/>
      <c r="J29" s="6" t="s">
        <v>426</v>
      </c>
      <c r="K29" s="6" t="s">
        <v>476</v>
      </c>
      <c r="L29" s="6"/>
      <c r="M29" s="6"/>
      <c r="N29" s="6"/>
      <c r="O29" s="6"/>
      <c r="P29" s="6"/>
      <c r="Q29" s="6"/>
      <c r="R29" s="6"/>
    </row>
    <row r="30" spans="1:18">
      <c r="A30" s="6" t="s">
        <v>633</v>
      </c>
      <c r="B30" s="6" t="s">
        <v>420</v>
      </c>
      <c r="C30" s="6" t="s">
        <v>421</v>
      </c>
      <c r="D30" s="6" t="s">
        <v>983</v>
      </c>
      <c r="E30" s="6" t="s">
        <v>984</v>
      </c>
      <c r="F30" s="8" t="s">
        <v>483</v>
      </c>
      <c r="G30" s="6" t="s">
        <v>731</v>
      </c>
      <c r="H30" s="6" t="s">
        <v>517</v>
      </c>
      <c r="I30" s="15"/>
      <c r="J30" s="6" t="s">
        <v>426</v>
      </c>
      <c r="K30" s="6" t="s">
        <v>651</v>
      </c>
      <c r="L30" s="6"/>
      <c r="M30" s="6"/>
      <c r="N30" s="6"/>
      <c r="O30" s="6"/>
      <c r="P30" s="6"/>
      <c r="Q30" s="6"/>
      <c r="R30" s="6"/>
    </row>
    <row r="31" spans="1:18">
      <c r="A31" s="6" t="s">
        <v>864</v>
      </c>
      <c r="B31" s="6" t="s">
        <v>420</v>
      </c>
      <c r="C31" s="6" t="s">
        <v>421</v>
      </c>
      <c r="D31" s="6" t="s">
        <v>1006</v>
      </c>
      <c r="E31" s="6" t="s">
        <v>1007</v>
      </c>
      <c r="F31" s="8" t="s">
        <v>423</v>
      </c>
      <c r="G31" s="6" t="s">
        <v>567</v>
      </c>
      <c r="H31" s="6" t="s">
        <v>517</v>
      </c>
      <c r="I31" s="15"/>
      <c r="J31" s="6" t="s">
        <v>426</v>
      </c>
      <c r="K31" s="6" t="s">
        <v>476</v>
      </c>
      <c r="L31" s="6"/>
      <c r="M31" s="6"/>
      <c r="N31" s="6"/>
      <c r="O31" s="6"/>
      <c r="P31" s="6"/>
      <c r="Q31" s="6"/>
      <c r="R31" s="6"/>
    </row>
    <row r="32" spans="1:18">
      <c r="A32" s="6" t="s">
        <v>755</v>
      </c>
      <c r="B32" s="6" t="s">
        <v>420</v>
      </c>
      <c r="C32" s="6" t="s">
        <v>421</v>
      </c>
      <c r="D32" s="6" t="s">
        <v>515</v>
      </c>
      <c r="E32" s="6" t="s">
        <v>1022</v>
      </c>
      <c r="F32" s="8" t="s">
        <v>483</v>
      </c>
      <c r="G32" s="6" t="s">
        <v>731</v>
      </c>
      <c r="H32" s="6" t="s">
        <v>425</v>
      </c>
      <c r="I32" s="15"/>
      <c r="J32" s="6" t="s">
        <v>426</v>
      </c>
      <c r="K32" s="6" t="s">
        <v>476</v>
      </c>
      <c r="L32" s="6"/>
      <c r="M32" s="6"/>
      <c r="N32" s="6"/>
      <c r="O32" s="6"/>
      <c r="P32" s="6"/>
      <c r="Q32" s="6"/>
      <c r="R32" s="6"/>
    </row>
    <row r="33" spans="1:18">
      <c r="A33" s="6" t="s">
        <v>755</v>
      </c>
      <c r="B33" s="6" t="s">
        <v>420</v>
      </c>
      <c r="C33" s="6" t="s">
        <v>421</v>
      </c>
      <c r="D33" s="6" t="s">
        <v>899</v>
      </c>
      <c r="E33" s="6" t="s">
        <v>1045</v>
      </c>
      <c r="F33" s="8" t="s">
        <v>483</v>
      </c>
      <c r="G33" s="6" t="s">
        <v>567</v>
      </c>
      <c r="H33" s="6" t="s">
        <v>517</v>
      </c>
      <c r="I33" s="15"/>
      <c r="J33" s="6" t="s">
        <v>426</v>
      </c>
      <c r="K33" s="6" t="s">
        <v>476</v>
      </c>
      <c r="L33" s="6"/>
      <c r="M33" s="6"/>
      <c r="N33" s="6"/>
      <c r="O33" s="6"/>
      <c r="P33" s="6"/>
      <c r="Q33" s="6"/>
      <c r="R33" s="6"/>
    </row>
    <row r="34" spans="1:18">
      <c r="A34" s="6" t="s">
        <v>864</v>
      </c>
      <c r="B34" s="6" t="s">
        <v>420</v>
      </c>
      <c r="C34" s="6" t="s">
        <v>421</v>
      </c>
      <c r="D34" s="6" t="s">
        <v>918</v>
      </c>
      <c r="E34" s="6" t="s">
        <v>1062</v>
      </c>
      <c r="F34" s="8" t="s">
        <v>423</v>
      </c>
      <c r="G34" s="6" t="s">
        <v>424</v>
      </c>
      <c r="H34" s="6" t="s">
        <v>425</v>
      </c>
      <c r="I34" s="15"/>
      <c r="J34" s="6"/>
      <c r="K34" s="6"/>
      <c r="L34" s="6"/>
      <c r="M34" s="6"/>
      <c r="N34" s="6"/>
      <c r="O34" s="6"/>
      <c r="P34" s="6"/>
      <c r="Q34" s="6"/>
      <c r="R34" s="6"/>
    </row>
    <row r="35" spans="1:18">
      <c r="A35" s="6" t="s">
        <v>633</v>
      </c>
      <c r="B35" s="6" t="s">
        <v>420</v>
      </c>
      <c r="C35" s="6" t="s">
        <v>421</v>
      </c>
      <c r="D35" s="6" t="s">
        <v>918</v>
      </c>
      <c r="E35" s="6" t="s">
        <v>1084</v>
      </c>
      <c r="F35" s="8" t="s">
        <v>483</v>
      </c>
      <c r="G35" s="6" t="s">
        <v>731</v>
      </c>
      <c r="H35" s="6" t="s">
        <v>517</v>
      </c>
      <c r="I35" s="15"/>
      <c r="J35" s="6" t="s">
        <v>426</v>
      </c>
      <c r="K35" s="6" t="s">
        <v>651</v>
      </c>
      <c r="L35" s="6"/>
      <c r="M35" s="6"/>
      <c r="N35" s="6"/>
      <c r="O35" s="6"/>
      <c r="P35" s="6"/>
      <c r="Q35" s="6"/>
      <c r="R35" s="6"/>
    </row>
    <row r="36" spans="1:18">
      <c r="A36" s="6" t="s">
        <v>633</v>
      </c>
      <c r="B36" s="6" t="s">
        <v>420</v>
      </c>
      <c r="C36" s="6" t="s">
        <v>421</v>
      </c>
      <c r="D36" s="6" t="s">
        <v>918</v>
      </c>
      <c r="E36" s="6" t="s">
        <v>1109</v>
      </c>
      <c r="F36" s="8" t="s">
        <v>483</v>
      </c>
      <c r="G36" s="6" t="s">
        <v>484</v>
      </c>
      <c r="H36" s="6" t="s">
        <v>517</v>
      </c>
      <c r="I36" s="15"/>
      <c r="J36" s="6"/>
      <c r="K36" s="6"/>
      <c r="L36" s="6"/>
      <c r="M36" s="6"/>
      <c r="N36" s="6"/>
      <c r="O36" s="6"/>
      <c r="P36" s="6"/>
      <c r="Q36" s="6"/>
      <c r="R36" s="6"/>
    </row>
    <row r="37" spans="1:18">
      <c r="A37" s="6" t="s">
        <v>547</v>
      </c>
      <c r="B37" s="6" t="s">
        <v>420</v>
      </c>
      <c r="C37" s="6" t="s">
        <v>421</v>
      </c>
      <c r="D37" s="6" t="s">
        <v>548</v>
      </c>
      <c r="E37" s="6" t="s">
        <v>1121</v>
      </c>
      <c r="F37" s="8" t="s">
        <v>423</v>
      </c>
      <c r="G37" s="6" t="s">
        <v>731</v>
      </c>
      <c r="H37" s="6" t="s">
        <v>517</v>
      </c>
      <c r="I37" s="15"/>
      <c r="J37" s="6"/>
      <c r="K37" s="6"/>
      <c r="L37" s="6"/>
      <c r="M37" s="6"/>
      <c r="N37" s="6"/>
      <c r="O37" s="6"/>
      <c r="P37" s="6"/>
      <c r="Q37" s="6"/>
      <c r="R37" s="6"/>
    </row>
    <row r="38" spans="1:18">
      <c r="A38" s="6" t="s">
        <v>419</v>
      </c>
      <c r="B38" s="6" t="s">
        <v>420</v>
      </c>
      <c r="C38" s="6" t="s">
        <v>421</v>
      </c>
      <c r="D38" s="6" t="s">
        <v>654</v>
      </c>
      <c r="E38" s="6" t="s">
        <v>1133</v>
      </c>
      <c r="F38" s="8" t="s">
        <v>483</v>
      </c>
      <c r="G38" s="6" t="s">
        <v>424</v>
      </c>
      <c r="H38" s="6" t="s">
        <v>425</v>
      </c>
      <c r="I38" s="15"/>
      <c r="J38" s="6" t="s">
        <v>426</v>
      </c>
      <c r="K38" s="6" t="s">
        <v>476</v>
      </c>
      <c r="L38" s="6"/>
      <c r="M38" s="6"/>
      <c r="N38" s="6"/>
      <c r="O38" s="6"/>
      <c r="P38" s="6"/>
      <c r="Q38" s="6"/>
      <c r="R38" s="6"/>
    </row>
    <row r="39" spans="1:18">
      <c r="A39" s="6" t="s">
        <v>480</v>
      </c>
      <c r="B39" s="6" t="s">
        <v>420</v>
      </c>
      <c r="C39" s="6" t="s">
        <v>421</v>
      </c>
      <c r="D39" s="6" t="s">
        <v>1150</v>
      </c>
      <c r="E39" s="6" t="s">
        <v>1151</v>
      </c>
      <c r="F39" s="8" t="s">
        <v>483</v>
      </c>
      <c r="G39" s="6" t="s">
        <v>567</v>
      </c>
      <c r="H39" s="6" t="s">
        <v>425</v>
      </c>
      <c r="I39" s="15"/>
      <c r="J39" s="6" t="s">
        <v>426</v>
      </c>
      <c r="K39" s="6" t="s">
        <v>476</v>
      </c>
      <c r="L39" s="6"/>
      <c r="M39" s="6"/>
      <c r="N39" s="6"/>
      <c r="O39" s="6"/>
      <c r="P39" s="6"/>
      <c r="Q39" s="6"/>
      <c r="R39" s="6"/>
    </row>
    <row r="40" spans="1:18">
      <c r="A40" s="6" t="s">
        <v>581</v>
      </c>
      <c r="B40" s="6" t="s">
        <v>420</v>
      </c>
      <c r="C40" s="6" t="s">
        <v>421</v>
      </c>
      <c r="D40" s="6" t="s">
        <v>899</v>
      </c>
      <c r="E40" s="6" t="s">
        <v>1168</v>
      </c>
      <c r="F40" s="8" t="s">
        <v>423</v>
      </c>
      <c r="G40" s="6" t="s">
        <v>567</v>
      </c>
      <c r="H40" s="6" t="s">
        <v>425</v>
      </c>
      <c r="I40" s="15"/>
      <c r="J40" s="6" t="s">
        <v>426</v>
      </c>
      <c r="K40" s="6" t="s">
        <v>476</v>
      </c>
      <c r="L40" s="6"/>
      <c r="M40" s="6"/>
      <c r="N40" s="6"/>
      <c r="O40" s="6"/>
      <c r="P40" s="6"/>
      <c r="Q40" s="6"/>
      <c r="R40" s="6"/>
    </row>
    <row r="41" spans="1:18">
      <c r="A41" s="6" t="s">
        <v>864</v>
      </c>
      <c r="B41" s="6" t="s">
        <v>420</v>
      </c>
      <c r="C41" s="6" t="s">
        <v>421</v>
      </c>
      <c r="D41" s="6" t="s">
        <v>1006</v>
      </c>
      <c r="E41" s="6" t="s">
        <v>1187</v>
      </c>
      <c r="F41" s="8" t="s">
        <v>483</v>
      </c>
      <c r="G41" s="6" t="s">
        <v>484</v>
      </c>
      <c r="H41" s="6" t="s">
        <v>425</v>
      </c>
      <c r="I41" s="15"/>
      <c r="J41" s="6" t="s">
        <v>426</v>
      </c>
      <c r="K41" s="6" t="s">
        <v>476</v>
      </c>
      <c r="L41" s="6"/>
      <c r="M41" s="6"/>
      <c r="N41" s="6"/>
      <c r="O41" s="6"/>
      <c r="P41" s="6"/>
      <c r="Q41" s="6"/>
      <c r="R41" s="6"/>
    </row>
    <row r="42" spans="1:18">
      <c r="A42" s="6" t="s">
        <v>864</v>
      </c>
      <c r="B42" s="6" t="s">
        <v>420</v>
      </c>
      <c r="C42" s="6" t="s">
        <v>421</v>
      </c>
      <c r="D42" s="6" t="s">
        <v>918</v>
      </c>
      <c r="E42" s="6" t="s">
        <v>1208</v>
      </c>
      <c r="F42" s="8" t="s">
        <v>483</v>
      </c>
      <c r="G42" s="6" t="s">
        <v>424</v>
      </c>
      <c r="H42" s="6" t="s">
        <v>517</v>
      </c>
      <c r="I42" s="15"/>
      <c r="J42" s="6"/>
      <c r="K42" s="6"/>
      <c r="L42" s="6"/>
      <c r="M42" s="6"/>
      <c r="N42" s="6"/>
      <c r="O42" s="6"/>
      <c r="P42" s="6"/>
      <c r="Q42" s="6"/>
      <c r="R42" s="6"/>
    </row>
    <row r="43" spans="1:18">
      <c r="A43" s="6" t="s">
        <v>633</v>
      </c>
      <c r="B43" s="6" t="s">
        <v>420</v>
      </c>
      <c r="C43" s="6" t="s">
        <v>421</v>
      </c>
      <c r="D43" s="6" t="s">
        <v>1006</v>
      </c>
      <c r="E43" s="6" t="s">
        <v>1223</v>
      </c>
      <c r="F43" s="8" t="s">
        <v>423</v>
      </c>
      <c r="G43" s="6" t="s">
        <v>731</v>
      </c>
      <c r="H43" s="6" t="s">
        <v>517</v>
      </c>
      <c r="I43" s="15"/>
      <c r="J43" s="6" t="s">
        <v>426</v>
      </c>
      <c r="K43" s="6" t="s">
        <v>651</v>
      </c>
      <c r="L43" s="6"/>
      <c r="M43" s="6"/>
      <c r="N43" s="6"/>
      <c r="O43" s="6"/>
      <c r="P43" s="6"/>
      <c r="Q43" s="6"/>
      <c r="R43" s="6"/>
    </row>
    <row r="44" spans="1:18">
      <c r="A44" s="6" t="s">
        <v>547</v>
      </c>
      <c r="B44" s="6" t="s">
        <v>420</v>
      </c>
      <c r="C44" s="6" t="s">
        <v>421</v>
      </c>
      <c r="D44" s="6" t="s">
        <v>1237</v>
      </c>
      <c r="E44" s="6" t="s">
        <v>1238</v>
      </c>
      <c r="F44" s="8" t="s">
        <v>483</v>
      </c>
      <c r="G44" s="6" t="s">
        <v>731</v>
      </c>
      <c r="H44" s="6" t="s">
        <v>517</v>
      </c>
      <c r="I44" s="15"/>
      <c r="J44" s="6" t="s">
        <v>426</v>
      </c>
      <c r="K44" s="6" t="s">
        <v>476</v>
      </c>
      <c r="L44" s="6"/>
      <c r="M44" s="6"/>
      <c r="N44" s="6"/>
      <c r="O44" s="6"/>
      <c r="P44" s="6"/>
      <c r="Q44" s="6"/>
      <c r="R44" s="6"/>
    </row>
    <row r="45" spans="1:18">
      <c r="A45" s="6" t="s">
        <v>480</v>
      </c>
      <c r="B45" s="6" t="s">
        <v>420</v>
      </c>
      <c r="C45" s="6" t="s">
        <v>421</v>
      </c>
      <c r="D45" s="6" t="s">
        <v>1250</v>
      </c>
      <c r="E45" s="6" t="s">
        <v>1251</v>
      </c>
      <c r="F45" s="8" t="s">
        <v>423</v>
      </c>
      <c r="G45" s="6" t="s">
        <v>424</v>
      </c>
      <c r="H45" s="6" t="s">
        <v>425</v>
      </c>
      <c r="I45" s="15"/>
      <c r="J45" s="6" t="s">
        <v>426</v>
      </c>
      <c r="K45" s="6" t="s">
        <v>476</v>
      </c>
      <c r="L45" s="6"/>
      <c r="M45" s="6"/>
      <c r="N45" s="6"/>
      <c r="O45" s="6"/>
      <c r="P45" s="6"/>
      <c r="Q45" s="6"/>
      <c r="R45" s="6"/>
    </row>
    <row r="46" spans="1:18">
      <c r="A46" s="6" t="s">
        <v>581</v>
      </c>
      <c r="B46" s="6" t="s">
        <v>420</v>
      </c>
      <c r="C46" s="6" t="s">
        <v>421</v>
      </c>
      <c r="D46" s="6" t="s">
        <v>899</v>
      </c>
      <c r="E46" s="6" t="s">
        <v>1269</v>
      </c>
      <c r="F46" s="8" t="s">
        <v>483</v>
      </c>
      <c r="G46" s="6" t="s">
        <v>424</v>
      </c>
      <c r="H46" s="6" t="s">
        <v>425</v>
      </c>
      <c r="I46" s="15"/>
      <c r="J46" s="6" t="s">
        <v>426</v>
      </c>
      <c r="K46" s="6" t="s">
        <v>476</v>
      </c>
      <c r="L46" s="6"/>
      <c r="M46" s="6"/>
      <c r="N46" s="6"/>
      <c r="O46" s="6"/>
      <c r="P46" s="6"/>
      <c r="Q46" s="6"/>
      <c r="R46" s="6"/>
    </row>
    <row r="47" spans="1:18">
      <c r="A47" s="6" t="s">
        <v>419</v>
      </c>
      <c r="B47" s="6" t="s">
        <v>420</v>
      </c>
      <c r="C47" s="6" t="s">
        <v>421</v>
      </c>
      <c r="D47" s="6" t="s">
        <v>654</v>
      </c>
      <c r="E47" s="6" t="s">
        <v>1288</v>
      </c>
      <c r="F47" s="8" t="s">
        <v>423</v>
      </c>
      <c r="G47" s="6" t="s">
        <v>484</v>
      </c>
      <c r="H47" s="6" t="s">
        <v>425</v>
      </c>
      <c r="I47" s="15"/>
      <c r="J47" s="6"/>
      <c r="K47" s="6"/>
      <c r="L47" s="6"/>
      <c r="M47" s="6"/>
      <c r="N47" s="6"/>
      <c r="O47" s="6"/>
      <c r="P47" s="6"/>
      <c r="Q47" s="6"/>
      <c r="R47" s="6"/>
    </row>
    <row r="48" spans="1:18">
      <c r="A48" s="6" t="s">
        <v>1301</v>
      </c>
      <c r="B48" s="6" t="s">
        <v>420</v>
      </c>
      <c r="C48" s="6" t="s">
        <v>421</v>
      </c>
      <c r="D48" s="6" t="s">
        <v>1302</v>
      </c>
      <c r="E48" s="6" t="s">
        <v>1303</v>
      </c>
      <c r="F48" s="8" t="s">
        <v>483</v>
      </c>
      <c r="G48" s="6" t="s">
        <v>567</v>
      </c>
      <c r="H48" s="6" t="s">
        <v>517</v>
      </c>
      <c r="I48" s="15"/>
      <c r="J48" s="6"/>
      <c r="K48" s="6"/>
      <c r="L48" s="6"/>
      <c r="M48" s="6"/>
      <c r="N48" s="6"/>
      <c r="O48" s="6"/>
      <c r="P48" s="6"/>
      <c r="Q48" s="6"/>
      <c r="R48" s="6"/>
    </row>
    <row r="49" spans="1:18">
      <c r="A49" s="6" t="s">
        <v>755</v>
      </c>
      <c r="B49" s="6" t="s">
        <v>420</v>
      </c>
      <c r="C49" s="6" t="s">
        <v>421</v>
      </c>
      <c r="D49" s="6" t="s">
        <v>842</v>
      </c>
      <c r="E49" s="6" t="s">
        <v>1320</v>
      </c>
      <c r="F49" s="8" t="s">
        <v>483</v>
      </c>
      <c r="G49" s="6" t="s">
        <v>567</v>
      </c>
      <c r="H49" s="6" t="s">
        <v>517</v>
      </c>
      <c r="I49" s="15"/>
      <c r="J49" s="6" t="s">
        <v>426</v>
      </c>
      <c r="K49" s="6" t="s">
        <v>476</v>
      </c>
      <c r="L49" s="6"/>
      <c r="M49" s="6"/>
      <c r="N49" s="6"/>
      <c r="O49" s="6"/>
      <c r="P49" s="6"/>
      <c r="Q49" s="6"/>
      <c r="R49" s="6"/>
    </row>
    <row r="50" spans="1:18">
      <c r="A50" s="6" t="s">
        <v>633</v>
      </c>
      <c r="B50" s="6" t="s">
        <v>420</v>
      </c>
      <c r="C50" s="6" t="s">
        <v>421</v>
      </c>
      <c r="D50" s="6" t="s">
        <v>1006</v>
      </c>
      <c r="E50" s="6" t="s">
        <v>1335</v>
      </c>
      <c r="F50" s="8" t="s">
        <v>483</v>
      </c>
      <c r="G50" s="6" t="s">
        <v>424</v>
      </c>
      <c r="H50" s="6" t="s">
        <v>425</v>
      </c>
      <c r="I50" s="15"/>
      <c r="J50" s="6" t="s">
        <v>426</v>
      </c>
      <c r="K50" s="6" t="s">
        <v>651</v>
      </c>
      <c r="L50" s="6"/>
      <c r="M50" s="6"/>
      <c r="N50" s="6"/>
      <c r="O50" s="6"/>
      <c r="P50" s="6"/>
      <c r="Q50" s="6"/>
      <c r="R50" s="6"/>
    </row>
    <row r="51" spans="1:18">
      <c r="A51" s="6" t="s">
        <v>755</v>
      </c>
      <c r="B51" s="6" t="s">
        <v>420</v>
      </c>
      <c r="C51" s="6" t="s">
        <v>421</v>
      </c>
      <c r="D51" s="6" t="s">
        <v>1348</v>
      </c>
      <c r="E51" s="6" t="s">
        <v>1349</v>
      </c>
      <c r="F51" s="8" t="s">
        <v>423</v>
      </c>
      <c r="G51" s="6" t="s">
        <v>567</v>
      </c>
      <c r="H51" s="6" t="s">
        <v>517</v>
      </c>
      <c r="I51" s="15"/>
      <c r="J51" s="6" t="s">
        <v>426</v>
      </c>
      <c r="K51" s="6" t="s">
        <v>476</v>
      </c>
      <c r="L51" s="6"/>
      <c r="M51" s="6"/>
      <c r="N51" s="6"/>
      <c r="O51" s="6"/>
      <c r="P51" s="6"/>
      <c r="Q51" s="6"/>
      <c r="R51" s="6"/>
    </row>
    <row r="52" spans="1:18">
      <c r="A52" s="6" t="s">
        <v>755</v>
      </c>
      <c r="B52" s="6" t="s">
        <v>420</v>
      </c>
      <c r="C52" s="6" t="s">
        <v>421</v>
      </c>
      <c r="D52" s="6" t="s">
        <v>1348</v>
      </c>
      <c r="E52" s="6" t="s">
        <v>1366</v>
      </c>
      <c r="F52" s="8" t="s">
        <v>423</v>
      </c>
      <c r="G52" s="6" t="s">
        <v>731</v>
      </c>
      <c r="H52" s="6" t="s">
        <v>517</v>
      </c>
      <c r="I52" s="15"/>
      <c r="J52" s="6"/>
      <c r="K52" s="6"/>
      <c r="L52" s="6"/>
      <c r="M52" s="6"/>
      <c r="N52" s="6"/>
      <c r="O52" s="6"/>
      <c r="P52" s="6"/>
      <c r="Q52" s="6"/>
      <c r="R52" s="6"/>
    </row>
    <row r="53" spans="1:18">
      <c r="A53" s="6" t="s">
        <v>514</v>
      </c>
      <c r="B53" s="6" t="s">
        <v>420</v>
      </c>
      <c r="C53" s="6" t="s">
        <v>421</v>
      </c>
      <c r="D53" s="6" t="s">
        <v>899</v>
      </c>
      <c r="E53" s="6" t="s">
        <v>1378</v>
      </c>
      <c r="F53" s="8" t="s">
        <v>423</v>
      </c>
      <c r="G53" s="6" t="s">
        <v>484</v>
      </c>
      <c r="H53" s="6" t="s">
        <v>517</v>
      </c>
      <c r="I53" s="15"/>
      <c r="J53" s="6" t="s">
        <v>426</v>
      </c>
      <c r="K53" s="6" t="s">
        <v>476</v>
      </c>
      <c r="L53" s="6"/>
      <c r="M53" s="6"/>
      <c r="N53" s="6"/>
      <c r="O53" s="6"/>
      <c r="P53" s="6"/>
      <c r="Q53" s="6"/>
      <c r="R53" s="6"/>
    </row>
    <row r="54" spans="1:18">
      <c r="A54" s="6" t="s">
        <v>1301</v>
      </c>
      <c r="B54" s="6" t="s">
        <v>420</v>
      </c>
      <c r="C54" s="6" t="s">
        <v>421</v>
      </c>
      <c r="D54" s="6" t="s">
        <v>899</v>
      </c>
      <c r="E54" s="6" t="s">
        <v>1391</v>
      </c>
      <c r="F54" s="8" t="s">
        <v>483</v>
      </c>
      <c r="G54" s="6" t="s">
        <v>567</v>
      </c>
      <c r="H54" s="6" t="s">
        <v>517</v>
      </c>
      <c r="I54" s="15"/>
      <c r="J54" s="6" t="s">
        <v>426</v>
      </c>
      <c r="K54" s="6" t="s">
        <v>651</v>
      </c>
      <c r="L54" s="6"/>
      <c r="M54" s="6"/>
      <c r="N54" s="6"/>
      <c r="O54" s="6"/>
      <c r="P54" s="6"/>
      <c r="Q54" s="6"/>
      <c r="R54" s="6"/>
    </row>
    <row r="55" spans="1:18">
      <c r="A55" s="6" t="s">
        <v>514</v>
      </c>
      <c r="B55" s="6" t="s">
        <v>420</v>
      </c>
      <c r="C55" s="6" t="s">
        <v>421</v>
      </c>
      <c r="D55" s="6" t="s">
        <v>899</v>
      </c>
      <c r="E55" s="6" t="s">
        <v>1411</v>
      </c>
      <c r="F55" s="8" t="s">
        <v>483</v>
      </c>
      <c r="G55" s="6" t="s">
        <v>424</v>
      </c>
      <c r="H55" s="6" t="s">
        <v>517</v>
      </c>
      <c r="I55" s="15"/>
      <c r="J55" s="6"/>
      <c r="K55" s="6"/>
      <c r="L55" s="6"/>
      <c r="M55" s="6"/>
      <c r="N55" s="6"/>
      <c r="O55" s="6"/>
      <c r="P55" s="6"/>
      <c r="Q55" s="6"/>
      <c r="R55" s="6"/>
    </row>
    <row r="56" spans="1:18">
      <c r="A56" s="6" t="s">
        <v>514</v>
      </c>
      <c r="B56" s="6" t="s">
        <v>420</v>
      </c>
      <c r="C56" s="6" t="s">
        <v>421</v>
      </c>
      <c r="D56" s="6" t="s">
        <v>899</v>
      </c>
      <c r="E56" s="6" t="s">
        <v>1425</v>
      </c>
      <c r="F56" s="8" t="s">
        <v>483</v>
      </c>
      <c r="G56" s="6" t="s">
        <v>731</v>
      </c>
      <c r="H56" s="6" t="s">
        <v>425</v>
      </c>
      <c r="I56" s="15"/>
      <c r="J56" s="6" t="s">
        <v>426</v>
      </c>
      <c r="K56" s="6" t="s">
        <v>476</v>
      </c>
      <c r="L56" s="6"/>
      <c r="M56" s="6"/>
      <c r="N56" s="6"/>
      <c r="O56" s="6"/>
      <c r="P56" s="6"/>
      <c r="Q56" s="6"/>
      <c r="R56" s="6"/>
    </row>
    <row r="57" spans="1:18">
      <c r="A57" s="6" t="s">
        <v>547</v>
      </c>
      <c r="B57" s="6" t="s">
        <v>420</v>
      </c>
      <c r="C57" s="6" t="s">
        <v>421</v>
      </c>
      <c r="D57" s="6" t="s">
        <v>899</v>
      </c>
      <c r="E57" s="6" t="s">
        <v>1437</v>
      </c>
      <c r="F57" s="8" t="s">
        <v>483</v>
      </c>
      <c r="G57" s="6" t="s">
        <v>484</v>
      </c>
      <c r="H57" s="6" t="s">
        <v>517</v>
      </c>
      <c r="I57" s="15"/>
      <c r="J57" s="6" t="s">
        <v>426</v>
      </c>
      <c r="K57" s="6" t="s">
        <v>476</v>
      </c>
      <c r="L57" s="6"/>
      <c r="M57" s="6"/>
      <c r="N57" s="6"/>
      <c r="O57" s="6"/>
      <c r="P57" s="6"/>
      <c r="Q57" s="6"/>
      <c r="R57" s="6"/>
    </row>
    <row r="58" spans="1:18">
      <c r="A58" s="6" t="s">
        <v>864</v>
      </c>
      <c r="B58" s="6" t="s">
        <v>420</v>
      </c>
      <c r="C58" s="6" t="s">
        <v>421</v>
      </c>
      <c r="D58" s="6" t="s">
        <v>1006</v>
      </c>
      <c r="E58" s="6" t="s">
        <v>1449</v>
      </c>
      <c r="F58" s="8" t="s">
        <v>423</v>
      </c>
      <c r="G58" s="6" t="s">
        <v>424</v>
      </c>
      <c r="H58" s="6" t="s">
        <v>517</v>
      </c>
      <c r="I58" s="15"/>
      <c r="J58" s="6" t="s">
        <v>426</v>
      </c>
      <c r="K58" s="6" t="s">
        <v>651</v>
      </c>
      <c r="L58" s="6"/>
      <c r="M58" s="6"/>
      <c r="N58" s="6"/>
      <c r="O58" s="6"/>
      <c r="P58" s="6"/>
      <c r="Q58" s="6"/>
      <c r="R58" s="6"/>
    </row>
    <row r="59" spans="1:18">
      <c r="A59" s="6" t="s">
        <v>755</v>
      </c>
      <c r="B59" s="6" t="s">
        <v>420</v>
      </c>
      <c r="C59" s="6" t="s">
        <v>421</v>
      </c>
      <c r="D59" s="6" t="s">
        <v>1348</v>
      </c>
      <c r="E59" s="6" t="s">
        <v>1467</v>
      </c>
      <c r="F59" s="8" t="s">
        <v>483</v>
      </c>
      <c r="G59" s="6" t="s">
        <v>567</v>
      </c>
      <c r="H59" s="6" t="s">
        <v>517</v>
      </c>
      <c r="I59" s="15"/>
      <c r="J59" s="6"/>
      <c r="K59" s="6"/>
      <c r="L59" s="6"/>
      <c r="M59" s="6"/>
      <c r="N59" s="6"/>
      <c r="O59" s="6"/>
      <c r="P59" s="6"/>
      <c r="Q59" s="6"/>
      <c r="R59" s="6"/>
    </row>
    <row r="60" spans="1:18">
      <c r="A60" s="6" t="s">
        <v>581</v>
      </c>
      <c r="B60" s="6" t="s">
        <v>420</v>
      </c>
      <c r="C60" s="6" t="s">
        <v>421</v>
      </c>
      <c r="D60" s="6" t="s">
        <v>899</v>
      </c>
      <c r="E60" s="6" t="s">
        <v>1479</v>
      </c>
      <c r="F60" s="8" t="s">
        <v>483</v>
      </c>
      <c r="G60" s="6" t="s">
        <v>424</v>
      </c>
      <c r="H60" s="6" t="s">
        <v>425</v>
      </c>
      <c r="I60" s="15"/>
      <c r="J60" s="6" t="s">
        <v>426</v>
      </c>
      <c r="K60" s="6" t="s">
        <v>476</v>
      </c>
      <c r="L60" s="6"/>
      <c r="M60" s="6"/>
      <c r="N60" s="6"/>
      <c r="O60" s="6"/>
      <c r="P60" s="6"/>
      <c r="Q60" s="6"/>
      <c r="R60" s="6"/>
    </row>
    <row r="61" spans="1:18">
      <c r="A61" s="6" t="s">
        <v>633</v>
      </c>
      <c r="B61" s="6" t="s">
        <v>420</v>
      </c>
      <c r="C61" s="6" t="s">
        <v>421</v>
      </c>
      <c r="D61" s="6" t="s">
        <v>918</v>
      </c>
      <c r="E61" s="6" t="s">
        <v>1495</v>
      </c>
      <c r="F61" s="8" t="s">
        <v>423</v>
      </c>
      <c r="G61" s="6" t="s">
        <v>731</v>
      </c>
      <c r="H61" s="6" t="s">
        <v>517</v>
      </c>
      <c r="I61" s="15"/>
      <c r="J61" s="6" t="s">
        <v>426</v>
      </c>
      <c r="K61" s="6" t="s">
        <v>651</v>
      </c>
      <c r="L61" s="6"/>
      <c r="M61" s="6"/>
      <c r="N61" s="6"/>
      <c r="O61" s="6"/>
      <c r="P61" s="6"/>
      <c r="Q61" s="6"/>
      <c r="R61" s="6"/>
    </row>
    <row r="62" spans="1:18">
      <c r="A62" s="6" t="s">
        <v>547</v>
      </c>
      <c r="B62" s="6" t="s">
        <v>420</v>
      </c>
      <c r="C62" s="6" t="s">
        <v>421</v>
      </c>
      <c r="D62" s="6" t="s">
        <v>515</v>
      </c>
      <c r="E62" s="6" t="s">
        <v>1506</v>
      </c>
      <c r="F62" s="8" t="s">
        <v>483</v>
      </c>
      <c r="G62" s="6" t="s">
        <v>567</v>
      </c>
      <c r="H62" s="6" t="s">
        <v>517</v>
      </c>
      <c r="I62" s="15"/>
      <c r="J62" s="6" t="s">
        <v>426</v>
      </c>
      <c r="K62" s="6" t="s">
        <v>476</v>
      </c>
      <c r="L62" s="6"/>
      <c r="M62" s="6"/>
      <c r="N62" s="6"/>
      <c r="O62" s="6"/>
      <c r="P62" s="6"/>
      <c r="Q62" s="6"/>
      <c r="R62" s="6"/>
    </row>
    <row r="63" spans="1:18">
      <c r="A63" s="6" t="s">
        <v>1301</v>
      </c>
      <c r="B63" s="6" t="s">
        <v>420</v>
      </c>
      <c r="C63" s="6" t="s">
        <v>421</v>
      </c>
      <c r="D63" s="6" t="s">
        <v>899</v>
      </c>
      <c r="E63" s="6" t="s">
        <v>1517</v>
      </c>
      <c r="F63" s="8" t="s">
        <v>483</v>
      </c>
      <c r="G63" s="6" t="s">
        <v>424</v>
      </c>
      <c r="H63" s="6" t="s">
        <v>517</v>
      </c>
      <c r="I63" s="15"/>
      <c r="J63" s="6" t="s">
        <v>426</v>
      </c>
      <c r="K63" s="6" t="s">
        <v>651</v>
      </c>
      <c r="L63" s="6"/>
      <c r="M63" s="6"/>
      <c r="N63" s="6"/>
      <c r="O63" s="6"/>
      <c r="P63" s="6"/>
      <c r="Q63" s="6"/>
      <c r="R63" s="6"/>
    </row>
    <row r="64" spans="1:18">
      <c r="A64" s="6" t="s">
        <v>633</v>
      </c>
      <c r="B64" s="6" t="s">
        <v>420</v>
      </c>
      <c r="C64" s="6" t="s">
        <v>421</v>
      </c>
      <c r="D64" s="6" t="s">
        <v>1006</v>
      </c>
      <c r="E64" s="6" t="s">
        <v>1535</v>
      </c>
      <c r="F64" s="8" t="s">
        <v>483</v>
      </c>
      <c r="G64" s="6" t="s">
        <v>567</v>
      </c>
      <c r="H64" s="6" t="s">
        <v>517</v>
      </c>
      <c r="I64" s="15"/>
      <c r="J64" s="6" t="s">
        <v>426</v>
      </c>
      <c r="K64" s="6" t="s">
        <v>651</v>
      </c>
      <c r="L64" s="6"/>
      <c r="M64" s="6"/>
      <c r="N64" s="6"/>
      <c r="O64" s="6"/>
      <c r="P64" s="6"/>
      <c r="Q64" s="6"/>
      <c r="R64" s="6"/>
    </row>
    <row r="65" spans="1:18">
      <c r="A65" s="6" t="s">
        <v>864</v>
      </c>
      <c r="B65" s="6" t="s">
        <v>420</v>
      </c>
      <c r="C65" s="6" t="s">
        <v>421</v>
      </c>
      <c r="D65" s="6" t="s">
        <v>1006</v>
      </c>
      <c r="E65" s="6" t="s">
        <v>1546</v>
      </c>
      <c r="F65" s="8" t="s">
        <v>483</v>
      </c>
      <c r="G65" s="6" t="s">
        <v>731</v>
      </c>
      <c r="H65" s="6" t="s">
        <v>517</v>
      </c>
      <c r="I65" s="15"/>
      <c r="J65" s="6"/>
      <c r="K65" s="6"/>
      <c r="L65" s="6"/>
      <c r="M65" s="6"/>
      <c r="N65" s="6"/>
      <c r="O65" s="6"/>
      <c r="P65" s="6"/>
      <c r="Q65" s="6"/>
      <c r="R65" s="6"/>
    </row>
    <row r="66" spans="1:18">
      <c r="A66" s="6" t="s">
        <v>864</v>
      </c>
      <c r="B66" s="6" t="s">
        <v>420</v>
      </c>
      <c r="C66" s="6" t="s">
        <v>421</v>
      </c>
      <c r="D66" s="6" t="s">
        <v>1006</v>
      </c>
      <c r="E66" s="6" t="s">
        <v>1561</v>
      </c>
      <c r="F66" s="8" t="s">
        <v>483</v>
      </c>
      <c r="G66" s="6" t="s">
        <v>424</v>
      </c>
      <c r="H66" s="6" t="s">
        <v>425</v>
      </c>
      <c r="I66" s="15"/>
      <c r="J66" s="6" t="s">
        <v>426</v>
      </c>
      <c r="K66" s="6" t="s">
        <v>651</v>
      </c>
      <c r="L66" s="6"/>
      <c r="M66" s="6"/>
      <c r="N66" s="6"/>
      <c r="O66" s="6"/>
      <c r="P66" s="6"/>
      <c r="Q66" s="6"/>
      <c r="R66" s="6"/>
    </row>
    <row r="67" spans="1:18">
      <c r="A67" s="6" t="s">
        <v>755</v>
      </c>
      <c r="B67" s="6" t="s">
        <v>420</v>
      </c>
      <c r="C67" s="6" t="s">
        <v>421</v>
      </c>
      <c r="D67" s="6" t="s">
        <v>1348</v>
      </c>
      <c r="E67" s="6" t="s">
        <v>1580</v>
      </c>
      <c r="F67" s="8" t="s">
        <v>423</v>
      </c>
      <c r="G67" s="6" t="s">
        <v>424</v>
      </c>
      <c r="H67" s="6" t="s">
        <v>517</v>
      </c>
      <c r="I67" s="15"/>
      <c r="J67" s="6"/>
      <c r="K67" s="6"/>
      <c r="L67" s="6"/>
      <c r="M67" s="6"/>
      <c r="N67" s="6"/>
      <c r="O67" s="6"/>
      <c r="P67" s="6"/>
      <c r="Q67" s="6"/>
      <c r="R67" s="6"/>
    </row>
    <row r="68" spans="1:18">
      <c r="A68" s="9" t="s">
        <v>514</v>
      </c>
      <c r="B68" s="9" t="s">
        <v>420</v>
      </c>
      <c r="C68" s="9" t="s">
        <v>421</v>
      </c>
      <c r="D68" s="9" t="s">
        <v>634</v>
      </c>
      <c r="E68" s="9" t="s">
        <v>1591</v>
      </c>
      <c r="F68" s="9" t="s">
        <v>483</v>
      </c>
      <c r="G68" s="9" t="s">
        <v>567</v>
      </c>
      <c r="H68" s="9" t="s">
        <v>517</v>
      </c>
      <c r="I68" s="9"/>
      <c r="J68" s="16" t="s">
        <v>426</v>
      </c>
      <c r="K68" s="16" t="s">
        <v>476</v>
      </c>
      <c r="L68" s="16"/>
      <c r="M68" s="16"/>
      <c r="N68" s="16"/>
      <c r="O68" s="16"/>
      <c r="P68" s="16"/>
      <c r="Q68" s="16"/>
      <c r="R68" s="16"/>
    </row>
    <row r="69" spans="1:18">
      <c r="A69" s="6" t="s">
        <v>1301</v>
      </c>
      <c r="B69" s="6" t="s">
        <v>420</v>
      </c>
      <c r="C69" s="6" t="s">
        <v>421</v>
      </c>
      <c r="D69" s="6" t="s">
        <v>515</v>
      </c>
      <c r="E69" s="6" t="s">
        <v>1607</v>
      </c>
      <c r="F69" s="8" t="s">
        <v>483</v>
      </c>
      <c r="G69" s="6" t="s">
        <v>424</v>
      </c>
      <c r="H69" s="6" t="s">
        <v>517</v>
      </c>
      <c r="I69" s="15"/>
      <c r="J69" s="6" t="s">
        <v>426</v>
      </c>
      <c r="K69" s="6" t="s">
        <v>476</v>
      </c>
      <c r="L69" s="6"/>
      <c r="M69" s="6"/>
      <c r="N69" s="6"/>
      <c r="O69" s="6"/>
      <c r="P69" s="6"/>
      <c r="Q69" s="6"/>
      <c r="R69" s="6"/>
    </row>
    <row r="70" spans="1:18">
      <c r="A70" s="6" t="s">
        <v>419</v>
      </c>
      <c r="B70" s="6" t="s">
        <v>420</v>
      </c>
      <c r="C70" s="6" t="s">
        <v>1608</v>
      </c>
      <c r="D70" s="6" t="s">
        <v>1609</v>
      </c>
      <c r="E70" s="6" t="s">
        <v>1610</v>
      </c>
      <c r="F70" s="8" t="s">
        <v>423</v>
      </c>
      <c r="G70" s="6" t="s">
        <v>731</v>
      </c>
      <c r="H70" s="6" t="s">
        <v>425</v>
      </c>
      <c r="I70" s="15"/>
      <c r="J70" s="6" t="s">
        <v>426</v>
      </c>
      <c r="K70" s="6" t="s">
        <v>476</v>
      </c>
      <c r="L70" s="6"/>
      <c r="M70" s="6"/>
      <c r="N70" s="6"/>
      <c r="O70" s="6"/>
      <c r="P70" s="6"/>
      <c r="Q70" s="6"/>
      <c r="R70" s="6"/>
    </row>
    <row r="71" spans="1:18">
      <c r="A71" s="6" t="s">
        <v>581</v>
      </c>
      <c r="B71" s="6" t="s">
        <v>420</v>
      </c>
      <c r="C71" s="6" t="s">
        <v>1608</v>
      </c>
      <c r="D71" s="6" t="s">
        <v>1620</v>
      </c>
      <c r="E71" s="6" t="s">
        <v>1621</v>
      </c>
      <c r="F71" s="8" t="s">
        <v>483</v>
      </c>
      <c r="G71" s="6" t="s">
        <v>424</v>
      </c>
      <c r="H71" s="6" t="s">
        <v>425</v>
      </c>
      <c r="I71" s="15"/>
      <c r="J71" s="6" t="s">
        <v>426</v>
      </c>
      <c r="K71" s="6" t="s">
        <v>651</v>
      </c>
      <c r="L71" s="6"/>
      <c r="M71" s="6"/>
      <c r="N71" s="6"/>
      <c r="O71" s="6"/>
      <c r="P71" s="6"/>
      <c r="Q71" s="6"/>
      <c r="R71" s="6"/>
    </row>
    <row r="72" spans="1:18">
      <c r="A72" s="6" t="s">
        <v>633</v>
      </c>
      <c r="B72" s="6" t="s">
        <v>420</v>
      </c>
      <c r="C72" s="6" t="s">
        <v>1608</v>
      </c>
      <c r="D72" s="6" t="s">
        <v>1609</v>
      </c>
      <c r="E72" s="6" t="s">
        <v>1638</v>
      </c>
      <c r="F72" s="8" t="s">
        <v>423</v>
      </c>
      <c r="G72" s="6" t="s">
        <v>484</v>
      </c>
      <c r="H72" s="6" t="s">
        <v>517</v>
      </c>
      <c r="I72" s="15"/>
      <c r="J72" s="6" t="s">
        <v>426</v>
      </c>
      <c r="K72" s="6" t="s">
        <v>651</v>
      </c>
      <c r="L72" s="6"/>
      <c r="M72" s="6"/>
      <c r="N72" s="6"/>
      <c r="O72" s="6"/>
      <c r="P72" s="6"/>
      <c r="Q72" s="6"/>
      <c r="R72" s="6"/>
    </row>
    <row r="73" spans="1:18">
      <c r="A73" s="6" t="s">
        <v>480</v>
      </c>
      <c r="B73" s="6" t="s">
        <v>420</v>
      </c>
      <c r="C73" s="6" t="s">
        <v>1608</v>
      </c>
      <c r="D73" s="6" t="s">
        <v>1655</v>
      </c>
      <c r="E73" s="6" t="s">
        <v>1656</v>
      </c>
      <c r="F73" s="8" t="s">
        <v>483</v>
      </c>
      <c r="G73" s="6" t="s">
        <v>424</v>
      </c>
      <c r="H73" s="6" t="s">
        <v>425</v>
      </c>
      <c r="I73" s="15"/>
      <c r="J73" s="6" t="s">
        <v>426</v>
      </c>
      <c r="K73" s="6" t="s">
        <v>476</v>
      </c>
      <c r="L73" s="6"/>
      <c r="M73" s="6"/>
      <c r="N73" s="6"/>
      <c r="O73" s="6"/>
      <c r="P73" s="6"/>
      <c r="Q73" s="6"/>
      <c r="R73" s="6"/>
    </row>
    <row r="74" spans="1:18">
      <c r="A74" s="6" t="s">
        <v>419</v>
      </c>
      <c r="B74" s="6" t="s">
        <v>420</v>
      </c>
      <c r="C74" s="6" t="s">
        <v>1608</v>
      </c>
      <c r="D74" s="6" t="s">
        <v>1609</v>
      </c>
      <c r="E74" s="6" t="s">
        <v>1674</v>
      </c>
      <c r="F74" s="8" t="s">
        <v>423</v>
      </c>
      <c r="G74" s="6" t="s">
        <v>484</v>
      </c>
      <c r="H74" s="6" t="s">
        <v>425</v>
      </c>
      <c r="I74" s="15"/>
      <c r="J74" s="6" t="s">
        <v>426</v>
      </c>
      <c r="K74" s="6" t="s">
        <v>476</v>
      </c>
      <c r="L74" s="6"/>
      <c r="M74" s="6"/>
      <c r="N74" s="6"/>
      <c r="O74" s="6"/>
      <c r="P74" s="6"/>
      <c r="Q74" s="6"/>
      <c r="R74" s="6"/>
    </row>
    <row r="75" spans="1:18">
      <c r="A75" s="6" t="s">
        <v>547</v>
      </c>
      <c r="B75" s="6" t="s">
        <v>420</v>
      </c>
      <c r="C75" s="6" t="s">
        <v>1608</v>
      </c>
      <c r="D75" s="6" t="s">
        <v>1620</v>
      </c>
      <c r="E75" s="6" t="s">
        <v>1688</v>
      </c>
      <c r="F75" s="8" t="s">
        <v>483</v>
      </c>
      <c r="G75" s="6" t="s">
        <v>567</v>
      </c>
      <c r="H75" s="6" t="s">
        <v>517</v>
      </c>
      <c r="I75" s="15"/>
      <c r="J75" s="6" t="s">
        <v>426</v>
      </c>
      <c r="K75" s="6" t="s">
        <v>476</v>
      </c>
      <c r="L75" s="6"/>
      <c r="M75" s="6"/>
      <c r="N75" s="6"/>
      <c r="O75" s="6"/>
      <c r="P75" s="6"/>
      <c r="Q75" s="6"/>
      <c r="R75" s="6"/>
    </row>
    <row r="76" spans="1:18">
      <c r="A76" s="6" t="s">
        <v>864</v>
      </c>
      <c r="B76" s="6" t="s">
        <v>420</v>
      </c>
      <c r="C76" s="6" t="s">
        <v>1608</v>
      </c>
      <c r="D76" s="6" t="s">
        <v>1702</v>
      </c>
      <c r="E76" s="6" t="s">
        <v>1703</v>
      </c>
      <c r="F76" s="8" t="s">
        <v>423</v>
      </c>
      <c r="G76" s="6" t="s">
        <v>567</v>
      </c>
      <c r="H76" s="6" t="s">
        <v>517</v>
      </c>
      <c r="I76" s="15"/>
      <c r="J76" s="6"/>
      <c r="K76" s="6"/>
      <c r="L76" s="6"/>
      <c r="M76" s="6"/>
      <c r="N76" s="6"/>
      <c r="O76" s="6"/>
      <c r="P76" s="6"/>
      <c r="Q76" s="6"/>
      <c r="R76" s="6"/>
    </row>
    <row r="77" spans="1:18">
      <c r="A77" s="6" t="s">
        <v>581</v>
      </c>
      <c r="B77" s="6" t="s">
        <v>420</v>
      </c>
      <c r="C77" s="6" t="s">
        <v>1608</v>
      </c>
      <c r="D77" s="6" t="s">
        <v>1720</v>
      </c>
      <c r="E77" s="6" t="s">
        <v>1721</v>
      </c>
      <c r="F77" s="8" t="s">
        <v>483</v>
      </c>
      <c r="G77" s="6" t="s">
        <v>567</v>
      </c>
      <c r="H77" s="6" t="s">
        <v>517</v>
      </c>
      <c r="I77" s="15"/>
      <c r="J77" s="6" t="s">
        <v>426</v>
      </c>
      <c r="K77" s="6" t="s">
        <v>651</v>
      </c>
      <c r="L77" s="6"/>
      <c r="M77" s="6"/>
      <c r="N77" s="6"/>
      <c r="O77" s="6"/>
      <c r="P77" s="6"/>
      <c r="Q77" s="6"/>
      <c r="R77" s="6"/>
    </row>
    <row r="78" spans="1:18">
      <c r="A78" s="6" t="s">
        <v>480</v>
      </c>
      <c r="B78" s="6" t="s">
        <v>420</v>
      </c>
      <c r="C78" s="6" t="s">
        <v>1608</v>
      </c>
      <c r="D78" s="6" t="s">
        <v>1733</v>
      </c>
      <c r="E78" s="6" t="s">
        <v>1734</v>
      </c>
      <c r="F78" s="8" t="s">
        <v>483</v>
      </c>
      <c r="G78" s="6" t="s">
        <v>424</v>
      </c>
      <c r="H78" s="6" t="s">
        <v>425</v>
      </c>
      <c r="I78" s="15"/>
      <c r="J78" s="6" t="s">
        <v>426</v>
      </c>
      <c r="K78" s="6" t="s">
        <v>476</v>
      </c>
      <c r="L78" s="6"/>
      <c r="M78" s="6"/>
      <c r="N78" s="6"/>
      <c r="O78" s="6"/>
      <c r="P78" s="6"/>
      <c r="Q78" s="6"/>
      <c r="R78" s="6"/>
    </row>
    <row r="79" spans="1:18">
      <c r="A79" s="6" t="s">
        <v>633</v>
      </c>
      <c r="B79" s="6" t="s">
        <v>420</v>
      </c>
      <c r="C79" s="6" t="s">
        <v>1608</v>
      </c>
      <c r="D79" s="6" t="s">
        <v>1609</v>
      </c>
      <c r="E79" s="6" t="s">
        <v>1746</v>
      </c>
      <c r="F79" s="8" t="s">
        <v>483</v>
      </c>
      <c r="G79" s="6" t="s">
        <v>424</v>
      </c>
      <c r="H79" s="6" t="s">
        <v>517</v>
      </c>
      <c r="I79" s="15"/>
      <c r="J79" s="6" t="s">
        <v>426</v>
      </c>
      <c r="K79" s="6" t="s">
        <v>651</v>
      </c>
      <c r="L79" s="6"/>
      <c r="M79" s="6"/>
      <c r="N79" s="6"/>
      <c r="O79" s="6"/>
      <c r="P79" s="6"/>
      <c r="Q79" s="6"/>
      <c r="R79" s="6"/>
    </row>
    <row r="80" spans="1:18">
      <c r="A80" s="6" t="s">
        <v>419</v>
      </c>
      <c r="B80" s="6" t="s">
        <v>420</v>
      </c>
      <c r="C80" s="6" t="s">
        <v>1608</v>
      </c>
      <c r="D80" s="6" t="s">
        <v>1609</v>
      </c>
      <c r="E80" s="6" t="s">
        <v>1757</v>
      </c>
      <c r="F80" s="8" t="s">
        <v>483</v>
      </c>
      <c r="G80" s="6" t="s">
        <v>731</v>
      </c>
      <c r="H80" s="6" t="s">
        <v>425</v>
      </c>
      <c r="I80" s="15"/>
      <c r="J80" s="6"/>
      <c r="K80" s="6"/>
      <c r="L80" s="6"/>
      <c r="M80" s="6"/>
      <c r="N80" s="6"/>
      <c r="O80" s="6"/>
      <c r="P80" s="6"/>
      <c r="Q80" s="6"/>
      <c r="R80" s="6"/>
    </row>
    <row r="81" spans="1:18">
      <c r="A81" s="6" t="s">
        <v>581</v>
      </c>
      <c r="B81" s="6" t="s">
        <v>420</v>
      </c>
      <c r="C81" s="6" t="s">
        <v>1608</v>
      </c>
      <c r="D81" s="6" t="s">
        <v>1620</v>
      </c>
      <c r="E81" s="6" t="s">
        <v>1767</v>
      </c>
      <c r="F81" s="8" t="s">
        <v>423</v>
      </c>
      <c r="G81" s="6" t="s">
        <v>567</v>
      </c>
      <c r="H81" s="6" t="s">
        <v>425</v>
      </c>
      <c r="I81" s="15"/>
      <c r="J81" s="6" t="s">
        <v>426</v>
      </c>
      <c r="K81" s="6" t="s">
        <v>476</v>
      </c>
      <c r="L81" s="6"/>
      <c r="M81" s="6"/>
      <c r="N81" s="6"/>
      <c r="O81" s="6"/>
      <c r="P81" s="6"/>
      <c r="Q81" s="6"/>
      <c r="R81" s="6"/>
    </row>
    <row r="82" spans="1:18">
      <c r="A82" s="6" t="s">
        <v>755</v>
      </c>
      <c r="B82" s="6" t="s">
        <v>420</v>
      </c>
      <c r="C82" s="6" t="s">
        <v>1608</v>
      </c>
      <c r="D82" s="6" t="s">
        <v>1609</v>
      </c>
      <c r="E82" s="6" t="s">
        <v>1782</v>
      </c>
      <c r="F82" s="8" t="s">
        <v>423</v>
      </c>
      <c r="G82" s="6" t="s">
        <v>424</v>
      </c>
      <c r="H82" s="6" t="s">
        <v>517</v>
      </c>
      <c r="I82" s="15"/>
      <c r="J82" s="6" t="s">
        <v>426</v>
      </c>
      <c r="K82" s="6" t="s">
        <v>476</v>
      </c>
      <c r="L82" s="6"/>
      <c r="M82" s="6"/>
      <c r="N82" s="6"/>
      <c r="O82" s="6"/>
      <c r="P82" s="6"/>
      <c r="Q82" s="6"/>
      <c r="R82" s="6"/>
    </row>
    <row r="83" spans="1:18">
      <c r="A83" s="6" t="s">
        <v>755</v>
      </c>
      <c r="B83" s="6" t="s">
        <v>420</v>
      </c>
      <c r="C83" s="6" t="s">
        <v>1608</v>
      </c>
      <c r="D83" s="6" t="s">
        <v>1620</v>
      </c>
      <c r="E83" s="6" t="s">
        <v>1801</v>
      </c>
      <c r="F83" s="8" t="s">
        <v>483</v>
      </c>
      <c r="G83" s="6" t="s">
        <v>424</v>
      </c>
      <c r="H83" s="6" t="s">
        <v>517</v>
      </c>
      <c r="I83" s="15"/>
      <c r="J83" s="6" t="s">
        <v>426</v>
      </c>
      <c r="K83" s="6" t="s">
        <v>476</v>
      </c>
      <c r="L83" s="6"/>
      <c r="M83" s="6"/>
      <c r="N83" s="6"/>
      <c r="O83" s="6"/>
      <c r="P83" s="6"/>
      <c r="Q83" s="6"/>
      <c r="R83" s="6"/>
    </row>
    <row r="84" spans="1:18">
      <c r="A84" s="6" t="s">
        <v>755</v>
      </c>
      <c r="B84" s="6" t="s">
        <v>420</v>
      </c>
      <c r="C84" s="6" t="s">
        <v>1608</v>
      </c>
      <c r="D84" s="6" t="s">
        <v>1817</v>
      </c>
      <c r="E84" s="6" t="s">
        <v>1818</v>
      </c>
      <c r="F84" s="8" t="s">
        <v>483</v>
      </c>
      <c r="G84" s="6" t="s">
        <v>567</v>
      </c>
      <c r="H84" s="6" t="s">
        <v>517</v>
      </c>
      <c r="I84" s="15"/>
      <c r="J84" s="6" t="s">
        <v>426</v>
      </c>
      <c r="K84" s="6" t="s">
        <v>476</v>
      </c>
      <c r="L84" s="6"/>
      <c r="M84" s="6"/>
      <c r="N84" s="6"/>
      <c r="O84" s="6"/>
      <c r="P84" s="6"/>
      <c r="Q84" s="6"/>
      <c r="R84" s="6"/>
    </row>
    <row r="85" spans="1:18">
      <c r="A85" s="6" t="s">
        <v>480</v>
      </c>
      <c r="B85" s="6" t="s">
        <v>420</v>
      </c>
      <c r="C85" s="6" t="s">
        <v>1608</v>
      </c>
      <c r="D85" s="6" t="s">
        <v>1835</v>
      </c>
      <c r="E85" s="6" t="s">
        <v>1836</v>
      </c>
      <c r="F85" s="8" t="s">
        <v>483</v>
      </c>
      <c r="G85" s="6" t="s">
        <v>567</v>
      </c>
      <c r="H85" s="6" t="s">
        <v>425</v>
      </c>
      <c r="I85" s="15"/>
      <c r="J85" s="6" t="s">
        <v>426</v>
      </c>
      <c r="K85" s="6" t="s">
        <v>476</v>
      </c>
      <c r="L85" s="6"/>
      <c r="M85" s="6"/>
      <c r="N85" s="6"/>
      <c r="O85" s="6"/>
      <c r="P85" s="6"/>
      <c r="Q85" s="6"/>
      <c r="R85" s="6"/>
    </row>
    <row r="86" spans="1:18">
      <c r="A86" s="6" t="s">
        <v>547</v>
      </c>
      <c r="B86" s="6" t="s">
        <v>420</v>
      </c>
      <c r="C86" s="6" t="s">
        <v>1608</v>
      </c>
      <c r="D86" s="6" t="s">
        <v>1620</v>
      </c>
      <c r="E86" s="6" t="s">
        <v>1851</v>
      </c>
      <c r="F86" s="8" t="s">
        <v>483</v>
      </c>
      <c r="G86" s="6" t="s">
        <v>424</v>
      </c>
      <c r="H86" s="6" t="s">
        <v>517</v>
      </c>
      <c r="I86" s="15"/>
      <c r="J86" s="6" t="s">
        <v>426</v>
      </c>
      <c r="K86" s="6" t="s">
        <v>476</v>
      </c>
      <c r="L86" s="6"/>
      <c r="M86" s="6"/>
      <c r="N86" s="6"/>
      <c r="O86" s="6"/>
      <c r="P86" s="6"/>
      <c r="Q86" s="6"/>
      <c r="R86" s="6"/>
    </row>
    <row r="87" spans="1:18">
      <c r="A87" s="6" t="s">
        <v>633</v>
      </c>
      <c r="B87" s="6" t="s">
        <v>420</v>
      </c>
      <c r="C87" s="6" t="s">
        <v>1608</v>
      </c>
      <c r="D87" s="6" t="s">
        <v>1609</v>
      </c>
      <c r="E87" s="6" t="s">
        <v>1864</v>
      </c>
      <c r="F87" s="8" t="s">
        <v>483</v>
      </c>
      <c r="G87" s="6" t="s">
        <v>424</v>
      </c>
      <c r="H87" s="6" t="s">
        <v>517</v>
      </c>
      <c r="I87" s="15"/>
      <c r="J87" s="6" t="s">
        <v>426</v>
      </c>
      <c r="K87" s="6" t="s">
        <v>651</v>
      </c>
      <c r="L87" s="6"/>
      <c r="M87" s="6"/>
      <c r="N87" s="6"/>
      <c r="O87" s="6"/>
      <c r="P87" s="6"/>
      <c r="Q87" s="6"/>
      <c r="R87" s="6"/>
    </row>
    <row r="88" spans="1:18">
      <c r="A88" s="6" t="s">
        <v>864</v>
      </c>
      <c r="B88" s="6" t="s">
        <v>420</v>
      </c>
      <c r="C88" s="6" t="s">
        <v>1608</v>
      </c>
      <c r="D88" s="6" t="s">
        <v>1877</v>
      </c>
      <c r="E88" s="6" t="s">
        <v>1878</v>
      </c>
      <c r="F88" s="8" t="s">
        <v>483</v>
      </c>
      <c r="G88" s="6" t="s">
        <v>567</v>
      </c>
      <c r="H88" s="6" t="s">
        <v>517</v>
      </c>
      <c r="I88" s="15"/>
      <c r="J88" s="6"/>
      <c r="K88" s="6"/>
      <c r="L88" s="6"/>
      <c r="M88" s="6"/>
      <c r="N88" s="6"/>
      <c r="O88" s="6"/>
      <c r="P88" s="6"/>
      <c r="Q88" s="6"/>
      <c r="R88" s="6"/>
    </row>
    <row r="89" spans="1:18">
      <c r="A89" s="6" t="s">
        <v>480</v>
      </c>
      <c r="B89" s="6" t="s">
        <v>420</v>
      </c>
      <c r="C89" s="6" t="s">
        <v>1608</v>
      </c>
      <c r="D89" s="6" t="s">
        <v>1835</v>
      </c>
      <c r="E89" s="6" t="s">
        <v>1891</v>
      </c>
      <c r="F89" s="8" t="s">
        <v>483</v>
      </c>
      <c r="G89" s="6" t="s">
        <v>424</v>
      </c>
      <c r="H89" s="6" t="s">
        <v>425</v>
      </c>
      <c r="I89" s="15"/>
      <c r="J89" s="6" t="s">
        <v>426</v>
      </c>
      <c r="K89" s="6" t="s">
        <v>476</v>
      </c>
      <c r="L89" s="6"/>
      <c r="M89" s="6"/>
      <c r="N89" s="6"/>
      <c r="O89" s="6"/>
      <c r="P89" s="6"/>
      <c r="Q89" s="6"/>
      <c r="R89" s="6"/>
    </row>
    <row r="90" spans="1:18">
      <c r="A90" s="6" t="s">
        <v>514</v>
      </c>
      <c r="B90" s="6" t="s">
        <v>420</v>
      </c>
      <c r="C90" s="6" t="s">
        <v>1608</v>
      </c>
      <c r="D90" s="6" t="s">
        <v>1901</v>
      </c>
      <c r="E90" s="6" t="s">
        <v>1902</v>
      </c>
      <c r="F90" s="8" t="s">
        <v>483</v>
      </c>
      <c r="G90" s="6" t="s">
        <v>567</v>
      </c>
      <c r="H90" s="6" t="s">
        <v>517</v>
      </c>
      <c r="I90" s="15"/>
      <c r="J90" s="6" t="s">
        <v>426</v>
      </c>
      <c r="K90" s="6" t="s">
        <v>476</v>
      </c>
      <c r="L90" s="6"/>
      <c r="M90" s="6"/>
      <c r="N90" s="6"/>
      <c r="O90" s="6"/>
      <c r="P90" s="6"/>
      <c r="Q90" s="6"/>
      <c r="R90" s="6"/>
    </row>
    <row r="91" spans="1:18">
      <c r="A91" s="6" t="s">
        <v>547</v>
      </c>
      <c r="B91" s="6" t="s">
        <v>420</v>
      </c>
      <c r="C91" s="6" t="s">
        <v>1608</v>
      </c>
      <c r="D91" s="6" t="s">
        <v>1620</v>
      </c>
      <c r="E91" s="6" t="s">
        <v>1915</v>
      </c>
      <c r="F91" s="8" t="s">
        <v>483</v>
      </c>
      <c r="G91" s="6" t="s">
        <v>731</v>
      </c>
      <c r="H91" s="6" t="s">
        <v>517</v>
      </c>
      <c r="I91" s="15"/>
      <c r="J91" s="6" t="s">
        <v>426</v>
      </c>
      <c r="K91" s="6" t="s">
        <v>476</v>
      </c>
      <c r="L91" s="6"/>
      <c r="M91" s="6"/>
      <c r="N91" s="6"/>
      <c r="O91" s="6"/>
      <c r="P91" s="6"/>
      <c r="Q91" s="6"/>
      <c r="R91" s="6"/>
    </row>
    <row r="92" spans="1:18">
      <c r="A92" s="6" t="s">
        <v>864</v>
      </c>
      <c r="B92" s="6" t="s">
        <v>420</v>
      </c>
      <c r="C92" s="6" t="s">
        <v>1608</v>
      </c>
      <c r="D92" s="6" t="s">
        <v>1877</v>
      </c>
      <c r="E92" s="6" t="s">
        <v>1930</v>
      </c>
      <c r="F92" s="8" t="s">
        <v>483</v>
      </c>
      <c r="G92" s="6" t="s">
        <v>484</v>
      </c>
      <c r="H92" s="6" t="s">
        <v>517</v>
      </c>
      <c r="I92" s="15"/>
      <c r="J92" s="6"/>
      <c r="K92" s="6"/>
      <c r="L92" s="6"/>
      <c r="M92" s="6"/>
      <c r="N92" s="6"/>
      <c r="O92" s="6"/>
      <c r="P92" s="6"/>
      <c r="Q92" s="6"/>
      <c r="R92" s="6"/>
    </row>
    <row r="93" spans="1:18">
      <c r="A93" s="6" t="s">
        <v>419</v>
      </c>
      <c r="B93" s="6" t="s">
        <v>420</v>
      </c>
      <c r="C93" s="6" t="s">
        <v>1608</v>
      </c>
      <c r="D93" s="6" t="s">
        <v>1951</v>
      </c>
      <c r="E93" s="6" t="s">
        <v>1952</v>
      </c>
      <c r="F93" s="8" t="s">
        <v>483</v>
      </c>
      <c r="G93" s="6" t="s">
        <v>424</v>
      </c>
      <c r="H93" s="6" t="s">
        <v>425</v>
      </c>
      <c r="I93" s="15"/>
      <c r="J93" s="6"/>
      <c r="K93" s="6"/>
      <c r="L93" s="6"/>
      <c r="M93" s="6"/>
      <c r="N93" s="6"/>
      <c r="O93" s="6"/>
      <c r="P93" s="6"/>
      <c r="Q93" s="6"/>
      <c r="R93" s="6"/>
    </row>
    <row r="94" spans="1:18">
      <c r="A94" s="6" t="s">
        <v>581</v>
      </c>
      <c r="B94" s="6" t="s">
        <v>420</v>
      </c>
      <c r="C94" s="6" t="s">
        <v>1608</v>
      </c>
      <c r="D94" s="6" t="s">
        <v>1720</v>
      </c>
      <c r="E94" s="6" t="s">
        <v>1964</v>
      </c>
      <c r="F94" s="8" t="s">
        <v>483</v>
      </c>
      <c r="G94" s="6" t="s">
        <v>731</v>
      </c>
      <c r="H94" s="6" t="s">
        <v>425</v>
      </c>
      <c r="I94" s="15"/>
      <c r="J94" s="6" t="s">
        <v>426</v>
      </c>
      <c r="K94" s="6" t="s">
        <v>476</v>
      </c>
      <c r="L94" s="6"/>
      <c r="M94" s="6"/>
      <c r="N94" s="6"/>
      <c r="O94" s="6"/>
      <c r="P94" s="6"/>
      <c r="Q94" s="6"/>
      <c r="R94" s="6"/>
    </row>
    <row r="95" spans="1:18">
      <c r="A95" s="6" t="s">
        <v>514</v>
      </c>
      <c r="B95" s="6" t="s">
        <v>420</v>
      </c>
      <c r="C95" s="6" t="s">
        <v>1608</v>
      </c>
      <c r="D95" s="6" t="s">
        <v>1655</v>
      </c>
      <c r="E95" s="6" t="s">
        <v>1980</v>
      </c>
      <c r="F95" s="8" t="s">
        <v>483</v>
      </c>
      <c r="G95" s="6" t="s">
        <v>731</v>
      </c>
      <c r="H95" s="6" t="s">
        <v>517</v>
      </c>
      <c r="I95" s="15"/>
      <c r="J95" s="6" t="s">
        <v>426</v>
      </c>
      <c r="K95" s="6" t="s">
        <v>476</v>
      </c>
      <c r="L95" s="6"/>
      <c r="M95" s="6"/>
      <c r="N95" s="6"/>
      <c r="O95" s="6"/>
      <c r="P95" s="6"/>
      <c r="Q95" s="6"/>
      <c r="R95" s="6"/>
    </row>
    <row r="96" spans="1:18">
      <c r="A96" s="6" t="s">
        <v>755</v>
      </c>
      <c r="B96" s="6" t="s">
        <v>420</v>
      </c>
      <c r="C96" s="6" t="s">
        <v>1608</v>
      </c>
      <c r="D96" s="6" t="s">
        <v>1817</v>
      </c>
      <c r="E96" s="6" t="s">
        <v>1993</v>
      </c>
      <c r="F96" s="8" t="s">
        <v>483</v>
      </c>
      <c r="G96" s="6" t="s">
        <v>567</v>
      </c>
      <c r="H96" s="6" t="s">
        <v>425</v>
      </c>
      <c r="I96" s="15"/>
      <c r="J96" s="6" t="s">
        <v>426</v>
      </c>
      <c r="K96" s="6" t="s">
        <v>476</v>
      </c>
      <c r="L96" s="6"/>
      <c r="M96" s="6"/>
      <c r="N96" s="6"/>
      <c r="O96" s="6"/>
      <c r="P96" s="6"/>
      <c r="Q96" s="6"/>
      <c r="R96" s="6"/>
    </row>
    <row r="97" spans="1:18">
      <c r="A97" s="6" t="s">
        <v>633</v>
      </c>
      <c r="B97" s="6" t="s">
        <v>420</v>
      </c>
      <c r="C97" s="6" t="s">
        <v>1608</v>
      </c>
      <c r="D97" s="6" t="s">
        <v>2012</v>
      </c>
      <c r="E97" s="6" t="s">
        <v>2013</v>
      </c>
      <c r="F97" s="8" t="s">
        <v>423</v>
      </c>
      <c r="G97" s="6" t="s">
        <v>567</v>
      </c>
      <c r="H97" s="6" t="s">
        <v>517</v>
      </c>
      <c r="I97" s="15"/>
      <c r="J97" s="6" t="s">
        <v>426</v>
      </c>
      <c r="K97" s="6" t="s">
        <v>476</v>
      </c>
      <c r="L97" s="6"/>
      <c r="M97" s="6"/>
      <c r="N97" s="6"/>
      <c r="O97" s="6"/>
      <c r="P97" s="6"/>
      <c r="Q97" s="6"/>
      <c r="R97" s="6"/>
    </row>
    <row r="98" spans="1:18">
      <c r="A98" s="6" t="s">
        <v>864</v>
      </c>
      <c r="B98" s="6" t="s">
        <v>420</v>
      </c>
      <c r="C98" s="6" t="s">
        <v>1608</v>
      </c>
      <c r="D98" s="6" t="s">
        <v>1877</v>
      </c>
      <c r="E98" s="6" t="s">
        <v>2026</v>
      </c>
      <c r="F98" s="8" t="s">
        <v>483</v>
      </c>
      <c r="G98" s="6" t="s">
        <v>484</v>
      </c>
      <c r="H98" s="6" t="s">
        <v>517</v>
      </c>
      <c r="I98" s="15"/>
      <c r="J98" s="6"/>
      <c r="K98" s="6"/>
      <c r="L98" s="6"/>
      <c r="M98" s="6"/>
      <c r="N98" s="6"/>
      <c r="O98" s="6"/>
      <c r="P98" s="6"/>
      <c r="Q98" s="6"/>
      <c r="R98" s="6"/>
    </row>
    <row r="99" spans="1:18">
      <c r="A99" s="6" t="s">
        <v>547</v>
      </c>
      <c r="B99" s="6" t="s">
        <v>420</v>
      </c>
      <c r="C99" s="6" t="s">
        <v>1608</v>
      </c>
      <c r="D99" s="6" t="s">
        <v>2043</v>
      </c>
      <c r="E99" s="6" t="s">
        <v>2044</v>
      </c>
      <c r="F99" s="8" t="s">
        <v>483</v>
      </c>
      <c r="G99" s="6" t="s">
        <v>567</v>
      </c>
      <c r="H99" s="6" t="s">
        <v>425</v>
      </c>
      <c r="I99" s="15"/>
      <c r="J99" s="6" t="s">
        <v>426</v>
      </c>
      <c r="K99" s="6" t="s">
        <v>476</v>
      </c>
      <c r="L99" s="6"/>
      <c r="M99" s="6"/>
      <c r="N99" s="6"/>
      <c r="O99" s="6"/>
      <c r="P99" s="6"/>
      <c r="Q99" s="6"/>
      <c r="R99" s="6"/>
    </row>
    <row r="100" spans="1:18">
      <c r="A100" s="6" t="s">
        <v>1301</v>
      </c>
      <c r="B100" s="6" t="s">
        <v>420</v>
      </c>
      <c r="C100" s="6" t="s">
        <v>1608</v>
      </c>
      <c r="D100" s="6" t="s">
        <v>1655</v>
      </c>
      <c r="E100" s="6" t="s">
        <v>2056</v>
      </c>
      <c r="F100" s="8" t="s">
        <v>423</v>
      </c>
      <c r="G100" s="6" t="s">
        <v>567</v>
      </c>
      <c r="H100" s="6" t="s">
        <v>517</v>
      </c>
      <c r="I100" s="15"/>
      <c r="J100" s="6" t="s">
        <v>426</v>
      </c>
      <c r="K100" s="6" t="s">
        <v>476</v>
      </c>
      <c r="L100" s="6"/>
      <c r="M100" s="6"/>
      <c r="N100" s="6"/>
      <c r="O100" s="6"/>
      <c r="P100" s="6"/>
      <c r="Q100" s="6"/>
      <c r="R100" s="6"/>
    </row>
    <row r="101" spans="1:18">
      <c r="A101" s="6" t="s">
        <v>480</v>
      </c>
      <c r="B101" s="6" t="s">
        <v>420</v>
      </c>
      <c r="C101" s="6" t="s">
        <v>1608</v>
      </c>
      <c r="D101" s="6" t="s">
        <v>2074</v>
      </c>
      <c r="E101" s="6" t="s">
        <v>2075</v>
      </c>
      <c r="F101" s="8" t="s">
        <v>423</v>
      </c>
      <c r="G101" s="6" t="s">
        <v>567</v>
      </c>
      <c r="H101" s="6" t="s">
        <v>425</v>
      </c>
      <c r="I101" s="15"/>
      <c r="J101" s="6"/>
      <c r="K101" s="6"/>
      <c r="L101" s="6"/>
      <c r="M101" s="6"/>
      <c r="N101" s="6"/>
      <c r="O101" s="6"/>
      <c r="P101" s="6"/>
      <c r="Q101" s="6"/>
      <c r="R101" s="6"/>
    </row>
    <row r="102" spans="1:18">
      <c r="A102" s="6" t="s">
        <v>480</v>
      </c>
      <c r="B102" s="6" t="s">
        <v>420</v>
      </c>
      <c r="C102" s="6" t="s">
        <v>1608</v>
      </c>
      <c r="D102" s="6" t="s">
        <v>2074</v>
      </c>
      <c r="E102" s="6" t="s">
        <v>2093</v>
      </c>
      <c r="F102" s="8" t="s">
        <v>483</v>
      </c>
      <c r="G102" s="6" t="s">
        <v>567</v>
      </c>
      <c r="H102" s="6" t="s">
        <v>425</v>
      </c>
      <c r="I102" s="15"/>
      <c r="J102" s="6"/>
      <c r="K102" s="6"/>
      <c r="L102" s="6"/>
      <c r="M102" s="6"/>
      <c r="N102" s="6"/>
      <c r="O102" s="6"/>
      <c r="P102" s="6"/>
      <c r="Q102" s="6"/>
      <c r="R102" s="6"/>
    </row>
    <row r="103" spans="1:18">
      <c r="A103" s="6" t="s">
        <v>419</v>
      </c>
      <c r="B103" s="6" t="s">
        <v>420</v>
      </c>
      <c r="C103" s="6" t="s">
        <v>1608</v>
      </c>
      <c r="D103" s="6" t="s">
        <v>2104</v>
      </c>
      <c r="E103" s="6" t="s">
        <v>2105</v>
      </c>
      <c r="F103" s="8" t="s">
        <v>423</v>
      </c>
      <c r="G103" s="6" t="s">
        <v>567</v>
      </c>
      <c r="H103" s="6" t="s">
        <v>425</v>
      </c>
      <c r="I103" s="15"/>
      <c r="J103" s="6"/>
      <c r="K103" s="6"/>
      <c r="L103" s="6"/>
      <c r="M103" s="6"/>
      <c r="N103" s="6"/>
      <c r="O103" s="6"/>
      <c r="P103" s="6"/>
      <c r="Q103" s="6"/>
      <c r="R103" s="6"/>
    </row>
    <row r="104" spans="1:18">
      <c r="A104" s="6" t="s">
        <v>2115</v>
      </c>
      <c r="B104" s="6" t="s">
        <v>420</v>
      </c>
      <c r="C104" s="6" t="s">
        <v>1608</v>
      </c>
      <c r="D104" s="6" t="s">
        <v>1877</v>
      </c>
      <c r="E104" s="6" t="s">
        <v>2116</v>
      </c>
      <c r="F104" s="8" t="s">
        <v>423</v>
      </c>
      <c r="G104" s="6" t="s">
        <v>567</v>
      </c>
      <c r="H104" s="6" t="s">
        <v>425</v>
      </c>
      <c r="I104" s="15"/>
      <c r="J104" s="6"/>
      <c r="K104" s="6"/>
      <c r="L104" s="6"/>
      <c r="M104" s="6"/>
      <c r="N104" s="6"/>
      <c r="O104" s="6"/>
      <c r="P104" s="6"/>
      <c r="Q104" s="6"/>
      <c r="R104" s="6"/>
    </row>
    <row r="105" spans="1:18">
      <c r="A105" s="6" t="s">
        <v>2115</v>
      </c>
      <c r="B105" s="6" t="s">
        <v>420</v>
      </c>
      <c r="C105" s="6" t="s">
        <v>1608</v>
      </c>
      <c r="D105" s="6" t="s">
        <v>1877</v>
      </c>
      <c r="E105" s="6" t="s">
        <v>2127</v>
      </c>
      <c r="F105" s="8" t="s">
        <v>423</v>
      </c>
      <c r="G105" s="6" t="s">
        <v>567</v>
      </c>
      <c r="H105" s="6" t="s">
        <v>425</v>
      </c>
      <c r="I105" s="15"/>
      <c r="J105" s="6"/>
      <c r="K105" s="6"/>
      <c r="L105" s="6"/>
      <c r="M105" s="6"/>
      <c r="N105" s="6"/>
      <c r="O105" s="6"/>
      <c r="P105" s="6"/>
      <c r="Q105" s="6"/>
      <c r="R105" s="6"/>
    </row>
    <row r="106" spans="1:18">
      <c r="A106" s="6" t="s">
        <v>2115</v>
      </c>
      <c r="B106" s="6" t="s">
        <v>420</v>
      </c>
      <c r="C106" s="6" t="s">
        <v>1608</v>
      </c>
      <c r="D106" s="6" t="s">
        <v>2138</v>
      </c>
      <c r="E106" s="6" t="s">
        <v>2139</v>
      </c>
      <c r="F106" s="8" t="s">
        <v>423</v>
      </c>
      <c r="G106" s="6" t="s">
        <v>567</v>
      </c>
      <c r="H106" s="6" t="s">
        <v>425</v>
      </c>
      <c r="I106" s="15"/>
      <c r="J106" s="6" t="s">
        <v>605</v>
      </c>
      <c r="K106" s="6"/>
      <c r="L106" s="6"/>
      <c r="M106" s="6"/>
      <c r="N106" s="6"/>
      <c r="O106" s="6"/>
      <c r="P106" s="6"/>
      <c r="Q106" s="6"/>
      <c r="R106" s="6"/>
    </row>
    <row r="107" spans="1:18">
      <c r="A107" s="7" t="s">
        <v>755</v>
      </c>
      <c r="B107" s="6" t="s">
        <v>420</v>
      </c>
      <c r="C107" s="6" t="s">
        <v>1608</v>
      </c>
      <c r="D107" s="6" t="s">
        <v>2150</v>
      </c>
      <c r="E107" s="6" t="s">
        <v>2151</v>
      </c>
      <c r="F107" s="8" t="s">
        <v>483</v>
      </c>
      <c r="G107" s="6" t="s">
        <v>567</v>
      </c>
      <c r="H107" s="6" t="s">
        <v>517</v>
      </c>
      <c r="I107" s="15"/>
      <c r="J107" s="6"/>
      <c r="K107" s="6"/>
      <c r="L107" s="6"/>
      <c r="M107" s="6"/>
      <c r="N107" s="6"/>
      <c r="O107" s="6"/>
      <c r="P107" s="6"/>
      <c r="Q107" s="6"/>
      <c r="R107" s="6"/>
    </row>
    <row r="108" spans="1:18">
      <c r="A108" s="9" t="s">
        <v>514</v>
      </c>
      <c r="B108" s="9" t="s">
        <v>420</v>
      </c>
      <c r="C108" s="9" t="s">
        <v>1608</v>
      </c>
      <c r="D108" s="9" t="s">
        <v>2167</v>
      </c>
      <c r="E108" s="9" t="s">
        <v>2168</v>
      </c>
      <c r="F108" s="9" t="s">
        <v>483</v>
      </c>
      <c r="G108" s="9" t="s">
        <v>731</v>
      </c>
      <c r="H108" s="9" t="s">
        <v>425</v>
      </c>
      <c r="I108" s="9"/>
      <c r="J108" s="16"/>
      <c r="K108" s="16"/>
      <c r="L108" s="16"/>
      <c r="M108" s="16"/>
      <c r="N108" s="16"/>
      <c r="O108" s="16"/>
      <c r="P108" s="16"/>
      <c r="Q108" s="16"/>
      <c r="R108" s="16"/>
    </row>
    <row r="109" spans="1:18">
      <c r="A109" s="6" t="s">
        <v>633</v>
      </c>
      <c r="B109" s="6" t="s">
        <v>420</v>
      </c>
      <c r="C109" s="6" t="s">
        <v>1608</v>
      </c>
      <c r="D109" s="6" t="s">
        <v>2169</v>
      </c>
      <c r="E109" s="6" t="s">
        <v>2170</v>
      </c>
      <c r="F109" s="8" t="s">
        <v>483</v>
      </c>
      <c r="G109" s="6" t="s">
        <v>567</v>
      </c>
      <c r="H109" s="6" t="s">
        <v>517</v>
      </c>
      <c r="I109" s="15"/>
      <c r="J109" s="6"/>
      <c r="K109" s="6"/>
      <c r="L109" s="6"/>
      <c r="M109" s="6"/>
      <c r="N109" s="6"/>
      <c r="O109" s="6"/>
      <c r="P109" s="6"/>
      <c r="Q109" s="6"/>
      <c r="R109" s="6"/>
    </row>
    <row r="110" spans="1:18">
      <c r="A110" s="6" t="s">
        <v>581</v>
      </c>
      <c r="B110" s="6" t="s">
        <v>420</v>
      </c>
      <c r="C110" s="6" t="s">
        <v>1608</v>
      </c>
      <c r="D110" s="6" t="s">
        <v>2182</v>
      </c>
      <c r="E110" s="6" t="s">
        <v>2183</v>
      </c>
      <c r="F110" s="8" t="s">
        <v>483</v>
      </c>
      <c r="G110" s="6" t="s">
        <v>424</v>
      </c>
      <c r="H110" s="6" t="s">
        <v>425</v>
      </c>
      <c r="I110" s="15"/>
      <c r="J110" s="6" t="s">
        <v>426</v>
      </c>
      <c r="K110" s="6" t="s">
        <v>476</v>
      </c>
      <c r="L110" s="6"/>
      <c r="M110" s="6"/>
      <c r="N110" s="6"/>
      <c r="O110" s="6"/>
      <c r="P110" s="6"/>
      <c r="Q110" s="6"/>
      <c r="R110" s="6"/>
    </row>
    <row r="111" spans="1:18">
      <c r="A111" s="6" t="s">
        <v>480</v>
      </c>
      <c r="B111" s="6" t="s">
        <v>420</v>
      </c>
      <c r="C111" s="6" t="s">
        <v>1608</v>
      </c>
      <c r="D111" s="6" t="s">
        <v>2200</v>
      </c>
      <c r="E111" s="6" t="s">
        <v>2201</v>
      </c>
      <c r="F111" s="8" t="s">
        <v>483</v>
      </c>
      <c r="G111" s="6" t="s">
        <v>567</v>
      </c>
      <c r="H111" s="6" t="s">
        <v>425</v>
      </c>
      <c r="I111" s="15"/>
      <c r="J111" s="6" t="s">
        <v>426</v>
      </c>
      <c r="K111" s="6" t="s">
        <v>476</v>
      </c>
      <c r="L111" s="6"/>
      <c r="M111" s="6"/>
      <c r="N111" s="6"/>
      <c r="O111" s="6"/>
      <c r="P111" s="6"/>
      <c r="Q111" s="6"/>
      <c r="R111" s="6"/>
    </row>
    <row r="112" spans="1:18">
      <c r="A112" s="6" t="s">
        <v>2115</v>
      </c>
      <c r="B112" s="6" t="s">
        <v>420</v>
      </c>
      <c r="C112" s="6" t="s">
        <v>1608</v>
      </c>
      <c r="D112" s="6" t="s">
        <v>2220</v>
      </c>
      <c r="E112" s="6" t="s">
        <v>2221</v>
      </c>
      <c r="F112" s="8" t="s">
        <v>483</v>
      </c>
      <c r="G112" s="6" t="s">
        <v>567</v>
      </c>
      <c r="H112" s="6" t="s">
        <v>425</v>
      </c>
      <c r="I112" s="15"/>
      <c r="J112" s="6" t="s">
        <v>426</v>
      </c>
      <c r="K112" s="6" t="s">
        <v>2229</v>
      </c>
      <c r="L112" s="6" t="s">
        <v>2230</v>
      </c>
      <c r="M112" s="6">
        <v>0</v>
      </c>
      <c r="N112" s="6">
        <v>0</v>
      </c>
      <c r="O112" s="6">
        <v>1</v>
      </c>
      <c r="P112" s="6">
        <v>0</v>
      </c>
      <c r="Q112" s="6">
        <v>0</v>
      </c>
      <c r="R112" s="6"/>
    </row>
    <row r="113" spans="1:18">
      <c r="A113" s="6" t="s">
        <v>514</v>
      </c>
      <c r="B113" s="6" t="s">
        <v>420</v>
      </c>
      <c r="C113" s="6" t="s">
        <v>1608</v>
      </c>
      <c r="D113" s="6" t="s">
        <v>2233</v>
      </c>
      <c r="E113" s="6" t="s">
        <v>2234</v>
      </c>
      <c r="F113" s="8" t="s">
        <v>483</v>
      </c>
      <c r="G113" s="6" t="s">
        <v>731</v>
      </c>
      <c r="H113" s="6" t="s">
        <v>425</v>
      </c>
      <c r="I113" s="15"/>
      <c r="J113" s="6"/>
      <c r="K113" s="6"/>
      <c r="L113" s="6"/>
      <c r="M113" s="6"/>
      <c r="N113" s="6"/>
      <c r="O113" s="6"/>
      <c r="P113" s="6"/>
      <c r="Q113" s="6"/>
      <c r="R113" s="6"/>
    </row>
    <row r="114" spans="1:18">
      <c r="A114" s="6" t="s">
        <v>864</v>
      </c>
      <c r="B114" s="6" t="s">
        <v>420</v>
      </c>
      <c r="C114" s="6" t="s">
        <v>1608</v>
      </c>
      <c r="D114" s="6" t="s">
        <v>2233</v>
      </c>
      <c r="E114" s="6" t="s">
        <v>2246</v>
      </c>
      <c r="F114" s="8" t="s">
        <v>483</v>
      </c>
      <c r="G114" s="6" t="s">
        <v>424</v>
      </c>
      <c r="H114" s="6" t="s">
        <v>517</v>
      </c>
      <c r="I114" s="15"/>
      <c r="J114" s="6" t="s">
        <v>605</v>
      </c>
      <c r="K114" s="6"/>
      <c r="L114" s="6"/>
      <c r="M114" s="6"/>
      <c r="N114" s="6"/>
      <c r="O114" s="6"/>
      <c r="P114" s="6"/>
      <c r="Q114" s="6"/>
      <c r="R114" s="6"/>
    </row>
    <row r="115" spans="1:18">
      <c r="A115" s="6" t="s">
        <v>1301</v>
      </c>
      <c r="B115" s="6" t="s">
        <v>420</v>
      </c>
      <c r="C115" s="6" t="s">
        <v>1608</v>
      </c>
      <c r="D115" s="6" t="s">
        <v>1655</v>
      </c>
      <c r="E115" s="6" t="s">
        <v>2262</v>
      </c>
      <c r="F115" s="8" t="s">
        <v>483</v>
      </c>
      <c r="G115" s="6" t="s">
        <v>567</v>
      </c>
      <c r="H115" s="6" t="s">
        <v>517</v>
      </c>
      <c r="I115" s="15"/>
      <c r="J115" s="6" t="s">
        <v>426</v>
      </c>
      <c r="K115" s="6" t="s">
        <v>476</v>
      </c>
      <c r="L115" s="6"/>
      <c r="M115" s="6"/>
      <c r="N115" s="6"/>
      <c r="O115" s="6"/>
      <c r="P115" s="6"/>
      <c r="Q115" s="6"/>
      <c r="R115" s="6"/>
    </row>
    <row r="116" spans="1:18">
      <c r="A116" s="6" t="s">
        <v>633</v>
      </c>
      <c r="B116" s="6" t="s">
        <v>420</v>
      </c>
      <c r="C116" s="6" t="s">
        <v>1608</v>
      </c>
      <c r="D116" s="6" t="s">
        <v>1608</v>
      </c>
      <c r="E116" s="6" t="s">
        <v>2278</v>
      </c>
      <c r="F116" s="8" t="s">
        <v>483</v>
      </c>
      <c r="G116" s="6" t="s">
        <v>567</v>
      </c>
      <c r="H116" s="6" t="s">
        <v>517</v>
      </c>
      <c r="I116" s="15"/>
      <c r="J116" s="6" t="s">
        <v>426</v>
      </c>
      <c r="K116" s="6" t="s">
        <v>651</v>
      </c>
      <c r="L116" s="6"/>
      <c r="M116" s="6"/>
      <c r="N116" s="6"/>
      <c r="O116" s="6"/>
      <c r="P116" s="6"/>
      <c r="Q116" s="6"/>
      <c r="R116" s="6"/>
    </row>
    <row r="117" spans="1:18">
      <c r="A117" s="6" t="s">
        <v>755</v>
      </c>
      <c r="B117" s="6" t="s">
        <v>420</v>
      </c>
      <c r="C117" s="6" t="s">
        <v>1608</v>
      </c>
      <c r="D117" s="6" t="s">
        <v>1620</v>
      </c>
      <c r="E117" s="6" t="s">
        <v>2288</v>
      </c>
      <c r="F117" s="8" t="s">
        <v>423</v>
      </c>
      <c r="G117" s="6" t="s">
        <v>567</v>
      </c>
      <c r="H117" s="6" t="s">
        <v>517</v>
      </c>
      <c r="I117" s="15"/>
      <c r="J117" s="6"/>
      <c r="K117" s="6"/>
      <c r="L117" s="6"/>
      <c r="M117" s="6"/>
      <c r="N117" s="6"/>
      <c r="O117" s="6"/>
      <c r="P117" s="6"/>
      <c r="Q117" s="6"/>
      <c r="R117" s="6"/>
    </row>
    <row r="118" spans="1:18">
      <c r="A118" s="6" t="s">
        <v>1301</v>
      </c>
      <c r="B118" s="6" t="s">
        <v>420</v>
      </c>
      <c r="C118" s="6" t="s">
        <v>1608</v>
      </c>
      <c r="D118" s="6" t="s">
        <v>1655</v>
      </c>
      <c r="E118" s="6" t="s">
        <v>2302</v>
      </c>
      <c r="F118" s="8" t="s">
        <v>423</v>
      </c>
      <c r="G118" s="6" t="s">
        <v>567</v>
      </c>
      <c r="H118" s="6" t="s">
        <v>2303</v>
      </c>
      <c r="I118" s="15"/>
      <c r="J118" s="6" t="s">
        <v>426</v>
      </c>
      <c r="K118" s="6" t="s">
        <v>651</v>
      </c>
      <c r="L118" s="6"/>
      <c r="M118" s="6"/>
      <c r="N118" s="6"/>
      <c r="O118" s="6"/>
      <c r="P118" s="6"/>
      <c r="Q118" s="6"/>
      <c r="R118" s="6"/>
    </row>
    <row r="119" spans="1:18">
      <c r="A119" s="6" t="s">
        <v>480</v>
      </c>
      <c r="B119" s="6" t="s">
        <v>420</v>
      </c>
      <c r="C119" s="6" t="s">
        <v>1608</v>
      </c>
      <c r="D119" s="6" t="s">
        <v>2317</v>
      </c>
      <c r="E119" s="6" t="s">
        <v>2318</v>
      </c>
      <c r="F119" s="8" t="s">
        <v>423</v>
      </c>
      <c r="G119" s="6" t="s">
        <v>567</v>
      </c>
      <c r="H119" s="6" t="s">
        <v>425</v>
      </c>
      <c r="I119" s="15"/>
      <c r="J119" s="6"/>
      <c r="K119" s="6"/>
      <c r="L119" s="6"/>
      <c r="M119" s="6"/>
      <c r="N119" s="6"/>
      <c r="O119" s="6"/>
      <c r="P119" s="6"/>
      <c r="Q119" s="6"/>
      <c r="R119" s="6"/>
    </row>
    <row r="120" spans="1:18">
      <c r="A120" s="6" t="s">
        <v>547</v>
      </c>
      <c r="B120" s="6" t="s">
        <v>420</v>
      </c>
      <c r="C120" s="6" t="s">
        <v>1608</v>
      </c>
      <c r="D120" s="6" t="s">
        <v>1620</v>
      </c>
      <c r="E120" s="6" t="s">
        <v>2333</v>
      </c>
      <c r="F120" s="8" t="s">
        <v>483</v>
      </c>
      <c r="G120" s="6" t="s">
        <v>731</v>
      </c>
      <c r="H120" s="6" t="s">
        <v>517</v>
      </c>
      <c r="I120" s="15"/>
      <c r="J120" s="6"/>
      <c r="K120" s="6"/>
      <c r="L120" s="6"/>
      <c r="M120" s="6"/>
      <c r="N120" s="6"/>
      <c r="O120" s="6"/>
      <c r="P120" s="6"/>
      <c r="Q120" s="6"/>
      <c r="R120" s="6"/>
    </row>
    <row r="121" spans="1:18">
      <c r="A121" s="6" t="s">
        <v>419</v>
      </c>
      <c r="B121" s="6" t="s">
        <v>420</v>
      </c>
      <c r="C121" s="6" t="s">
        <v>1608</v>
      </c>
      <c r="D121" s="6" t="s">
        <v>2344</v>
      </c>
      <c r="E121" s="6" t="s">
        <v>2345</v>
      </c>
      <c r="F121" s="8" t="s">
        <v>483</v>
      </c>
      <c r="G121" s="6" t="s">
        <v>567</v>
      </c>
      <c r="H121" s="6" t="s">
        <v>425</v>
      </c>
      <c r="I121" s="15"/>
      <c r="J121" s="6" t="s">
        <v>426</v>
      </c>
      <c r="K121" s="6" t="s">
        <v>476</v>
      </c>
      <c r="L121" s="6"/>
      <c r="M121" s="6"/>
      <c r="N121" s="6"/>
      <c r="O121" s="6"/>
      <c r="P121" s="6"/>
      <c r="Q121" s="6"/>
      <c r="R121" s="6"/>
    </row>
    <row r="122" spans="1:18">
      <c r="A122" s="6" t="s">
        <v>581</v>
      </c>
      <c r="B122" s="6" t="s">
        <v>420</v>
      </c>
      <c r="C122" s="6" t="s">
        <v>1608</v>
      </c>
      <c r="D122" s="6" t="s">
        <v>1655</v>
      </c>
      <c r="E122" s="6" t="s">
        <v>2356</v>
      </c>
      <c r="F122" s="8" t="s">
        <v>483</v>
      </c>
      <c r="G122" s="6" t="s">
        <v>424</v>
      </c>
      <c r="H122" s="6" t="s">
        <v>425</v>
      </c>
      <c r="I122" s="15"/>
      <c r="J122" s="6" t="s">
        <v>426</v>
      </c>
      <c r="K122" s="6" t="s">
        <v>476</v>
      </c>
      <c r="L122" s="6"/>
      <c r="M122" s="6"/>
      <c r="N122" s="6"/>
      <c r="O122" s="6"/>
      <c r="P122" s="6"/>
      <c r="Q122" s="6"/>
      <c r="R122" s="6"/>
    </row>
    <row r="123" spans="1:18">
      <c r="A123" s="6" t="s">
        <v>514</v>
      </c>
      <c r="B123" s="6" t="s">
        <v>420</v>
      </c>
      <c r="C123" s="6" t="s">
        <v>1608</v>
      </c>
      <c r="D123" s="6" t="s">
        <v>2372</v>
      </c>
      <c r="E123" s="6" t="s">
        <v>2373</v>
      </c>
      <c r="F123" s="8" t="s">
        <v>483</v>
      </c>
      <c r="G123" s="6" t="s">
        <v>731</v>
      </c>
      <c r="H123" s="6" t="s">
        <v>517</v>
      </c>
      <c r="I123" s="15"/>
      <c r="J123" s="6" t="s">
        <v>426</v>
      </c>
      <c r="K123" s="6" t="s">
        <v>476</v>
      </c>
      <c r="L123" s="6"/>
      <c r="M123" s="6"/>
      <c r="N123" s="6"/>
      <c r="O123" s="6"/>
      <c r="P123" s="6"/>
      <c r="Q123" s="6"/>
      <c r="R123" s="6"/>
    </row>
    <row r="124" spans="1:18">
      <c r="A124" s="6" t="s">
        <v>514</v>
      </c>
      <c r="B124" s="6" t="s">
        <v>420</v>
      </c>
      <c r="C124" s="6" t="s">
        <v>1608</v>
      </c>
      <c r="D124" s="6" t="s">
        <v>1620</v>
      </c>
      <c r="E124" s="6" t="s">
        <v>2383</v>
      </c>
      <c r="F124" s="8" t="s">
        <v>423</v>
      </c>
      <c r="G124" s="6" t="s">
        <v>424</v>
      </c>
      <c r="H124" s="6" t="s">
        <v>517</v>
      </c>
      <c r="I124" s="15"/>
      <c r="J124" s="6" t="s">
        <v>426</v>
      </c>
      <c r="K124" s="6" t="s">
        <v>476</v>
      </c>
      <c r="L124" s="6"/>
      <c r="M124" s="6"/>
      <c r="N124" s="6"/>
      <c r="O124" s="6"/>
      <c r="P124" s="6"/>
      <c r="Q124" s="6"/>
      <c r="R124" s="6"/>
    </row>
    <row r="125" spans="1:18">
      <c r="A125" s="6" t="s">
        <v>755</v>
      </c>
      <c r="B125" s="6" t="s">
        <v>420</v>
      </c>
      <c r="C125" s="6" t="s">
        <v>1608</v>
      </c>
      <c r="D125" s="6" t="s">
        <v>1620</v>
      </c>
      <c r="E125" s="6" t="s">
        <v>2395</v>
      </c>
      <c r="F125" s="8" t="s">
        <v>483</v>
      </c>
      <c r="G125" s="6" t="s">
        <v>484</v>
      </c>
      <c r="H125" s="6" t="s">
        <v>517</v>
      </c>
      <c r="I125" s="15"/>
      <c r="J125" s="6" t="s">
        <v>426</v>
      </c>
      <c r="K125" s="6" t="s">
        <v>476</v>
      </c>
      <c r="L125" s="6"/>
      <c r="M125" s="6"/>
      <c r="N125" s="6"/>
      <c r="O125" s="6"/>
      <c r="P125" s="6"/>
      <c r="Q125" s="6"/>
      <c r="R125" s="6"/>
    </row>
    <row r="126" spans="1:18">
      <c r="A126" s="6" t="s">
        <v>633</v>
      </c>
      <c r="B126" s="6" t="s">
        <v>420</v>
      </c>
      <c r="C126" s="6" t="s">
        <v>1608</v>
      </c>
      <c r="D126" s="6" t="s">
        <v>2407</v>
      </c>
      <c r="E126" s="6" t="s">
        <v>2408</v>
      </c>
      <c r="F126" s="8" t="s">
        <v>423</v>
      </c>
      <c r="G126" s="6" t="s">
        <v>567</v>
      </c>
      <c r="H126" s="6" t="s">
        <v>517</v>
      </c>
      <c r="I126" s="15"/>
      <c r="J126" s="6"/>
      <c r="K126" s="6"/>
      <c r="L126" s="6"/>
      <c r="M126" s="6"/>
      <c r="N126" s="6"/>
      <c r="O126" s="6"/>
      <c r="P126" s="6"/>
      <c r="Q126" s="6"/>
      <c r="R126" s="6"/>
    </row>
    <row r="127" spans="1:18">
      <c r="A127" s="6" t="s">
        <v>2115</v>
      </c>
      <c r="B127" s="6" t="s">
        <v>420</v>
      </c>
      <c r="C127" s="6" t="s">
        <v>1608</v>
      </c>
      <c r="D127" s="6" t="s">
        <v>2417</v>
      </c>
      <c r="E127" s="6" t="s">
        <v>2418</v>
      </c>
      <c r="F127" s="8" t="s">
        <v>483</v>
      </c>
      <c r="G127" s="6" t="s">
        <v>484</v>
      </c>
      <c r="H127" s="6" t="s">
        <v>425</v>
      </c>
      <c r="I127" s="15"/>
      <c r="J127" s="6" t="s">
        <v>605</v>
      </c>
      <c r="K127" s="6"/>
      <c r="L127" s="6"/>
      <c r="M127" s="6"/>
      <c r="N127" s="6"/>
      <c r="O127" s="6"/>
      <c r="P127" s="6"/>
      <c r="Q127" s="6"/>
      <c r="R127" s="6"/>
    </row>
    <row r="128" spans="1:18">
      <c r="A128" s="6" t="s">
        <v>419</v>
      </c>
      <c r="B128" s="6" t="s">
        <v>420</v>
      </c>
      <c r="C128" s="6" t="s">
        <v>1608</v>
      </c>
      <c r="D128" s="6" t="s">
        <v>2344</v>
      </c>
      <c r="E128" s="6" t="s">
        <v>2429</v>
      </c>
      <c r="F128" s="8" t="s">
        <v>483</v>
      </c>
      <c r="G128" s="6" t="s">
        <v>424</v>
      </c>
      <c r="H128" s="6" t="s">
        <v>425</v>
      </c>
      <c r="I128" s="15"/>
      <c r="J128" s="6"/>
      <c r="K128" s="6"/>
      <c r="L128" s="6"/>
      <c r="M128" s="6"/>
      <c r="N128" s="6"/>
      <c r="O128" s="6"/>
      <c r="P128" s="6"/>
      <c r="Q128" s="6"/>
      <c r="R128" s="6"/>
    </row>
    <row r="129" spans="1:18">
      <c r="A129" s="6" t="s">
        <v>2115</v>
      </c>
      <c r="B129" s="6" t="s">
        <v>420</v>
      </c>
      <c r="C129" s="6" t="s">
        <v>1608</v>
      </c>
      <c r="D129" s="6" t="s">
        <v>1877</v>
      </c>
      <c r="E129" s="6" t="s">
        <v>2440</v>
      </c>
      <c r="F129" s="8" t="s">
        <v>483</v>
      </c>
      <c r="G129" s="6" t="s">
        <v>424</v>
      </c>
      <c r="H129" s="6" t="s">
        <v>425</v>
      </c>
      <c r="I129" s="15"/>
      <c r="J129" s="6" t="s">
        <v>426</v>
      </c>
      <c r="K129" s="6" t="s">
        <v>476</v>
      </c>
      <c r="L129" s="6"/>
      <c r="M129" s="6"/>
      <c r="N129" s="6"/>
      <c r="O129" s="6"/>
      <c r="P129" s="6"/>
      <c r="Q129" s="6"/>
      <c r="R129" s="6"/>
    </row>
    <row r="130" spans="1:18">
      <c r="A130" s="6" t="s">
        <v>2115</v>
      </c>
      <c r="B130" s="6" t="s">
        <v>420</v>
      </c>
      <c r="C130" s="6" t="s">
        <v>1608</v>
      </c>
      <c r="D130" s="6" t="s">
        <v>2449</v>
      </c>
      <c r="E130" s="6" t="s">
        <v>2450</v>
      </c>
      <c r="F130" s="8" t="s">
        <v>423</v>
      </c>
      <c r="G130" s="6" t="s">
        <v>567</v>
      </c>
      <c r="H130" s="6" t="s">
        <v>425</v>
      </c>
      <c r="I130" s="15"/>
      <c r="J130" s="6" t="s">
        <v>426</v>
      </c>
      <c r="K130" s="6" t="s">
        <v>476</v>
      </c>
      <c r="L130" s="6"/>
      <c r="M130" s="6"/>
      <c r="N130" s="6"/>
      <c r="O130" s="6"/>
      <c r="P130" s="6"/>
      <c r="Q130" s="6"/>
      <c r="R130" s="6"/>
    </row>
    <row r="131" spans="1:18">
      <c r="A131" s="6" t="s">
        <v>2115</v>
      </c>
      <c r="B131" s="6" t="s">
        <v>420</v>
      </c>
      <c r="C131" s="6" t="s">
        <v>1608</v>
      </c>
      <c r="D131" s="6" t="s">
        <v>1877</v>
      </c>
      <c r="E131" s="6" t="s">
        <v>2457</v>
      </c>
      <c r="F131" s="8" t="s">
        <v>423</v>
      </c>
      <c r="G131" s="6" t="s">
        <v>424</v>
      </c>
      <c r="H131" s="6" t="s">
        <v>425</v>
      </c>
      <c r="I131" s="15"/>
      <c r="J131" s="6" t="s">
        <v>426</v>
      </c>
      <c r="K131" s="6" t="s">
        <v>476</v>
      </c>
      <c r="L131" s="6"/>
      <c r="M131" s="6"/>
      <c r="N131" s="6"/>
      <c r="O131" s="6"/>
      <c r="P131" s="6"/>
      <c r="Q131" s="6"/>
      <c r="R131" s="6"/>
    </row>
    <row r="132" spans="1:18">
      <c r="A132" s="6" t="s">
        <v>2115</v>
      </c>
      <c r="B132" s="6" t="s">
        <v>420</v>
      </c>
      <c r="C132" s="6" t="s">
        <v>1608</v>
      </c>
      <c r="D132" s="6" t="s">
        <v>2449</v>
      </c>
      <c r="E132" s="6" t="s">
        <v>2466</v>
      </c>
      <c r="F132" s="8" t="s">
        <v>423</v>
      </c>
      <c r="G132" s="6" t="s">
        <v>2467</v>
      </c>
      <c r="H132" s="6" t="s">
        <v>425</v>
      </c>
      <c r="I132" s="15"/>
      <c r="J132" s="6"/>
      <c r="K132" s="6"/>
      <c r="L132" s="6"/>
      <c r="M132" s="6"/>
      <c r="N132" s="6"/>
      <c r="O132" s="6"/>
      <c r="P132" s="6"/>
      <c r="Q132" s="6"/>
      <c r="R132" s="6"/>
    </row>
    <row r="133" spans="1:18">
      <c r="A133" s="6" t="s">
        <v>2115</v>
      </c>
      <c r="B133" s="6" t="s">
        <v>420</v>
      </c>
      <c r="C133" s="6" t="s">
        <v>1608</v>
      </c>
      <c r="D133" s="6" t="s">
        <v>1877</v>
      </c>
      <c r="E133" s="6" t="s">
        <v>2477</v>
      </c>
      <c r="F133" s="8" t="s">
        <v>423</v>
      </c>
      <c r="G133" s="6" t="s">
        <v>424</v>
      </c>
      <c r="H133" s="6" t="s">
        <v>425</v>
      </c>
      <c r="I133" s="15"/>
      <c r="J133" s="6" t="s">
        <v>426</v>
      </c>
      <c r="K133" s="6" t="s">
        <v>476</v>
      </c>
      <c r="L133" s="6"/>
      <c r="M133" s="6"/>
      <c r="N133" s="6"/>
      <c r="O133" s="6"/>
      <c r="P133" s="6"/>
      <c r="Q133" s="6"/>
      <c r="R133" s="6"/>
    </row>
    <row r="134" spans="1:18">
      <c r="A134" s="6" t="s">
        <v>1301</v>
      </c>
      <c r="B134" s="6" t="s">
        <v>420</v>
      </c>
      <c r="C134" s="6" t="s">
        <v>1608</v>
      </c>
      <c r="D134" s="6" t="s">
        <v>1655</v>
      </c>
      <c r="E134" s="6" t="s">
        <v>2483</v>
      </c>
      <c r="F134" s="8" t="s">
        <v>483</v>
      </c>
      <c r="G134" s="6" t="s">
        <v>567</v>
      </c>
      <c r="H134" s="6" t="s">
        <v>425</v>
      </c>
      <c r="I134" s="15"/>
      <c r="J134" s="6" t="s">
        <v>426</v>
      </c>
      <c r="K134" s="6" t="s">
        <v>2499</v>
      </c>
      <c r="L134" s="6" t="s">
        <v>2500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/>
    </row>
    <row r="135" spans="1:18">
      <c r="A135" s="6" t="s">
        <v>2115</v>
      </c>
      <c r="B135" s="6" t="s">
        <v>2503</v>
      </c>
      <c r="C135" s="7" t="s">
        <v>2504</v>
      </c>
      <c r="D135" s="6" t="s">
        <v>2505</v>
      </c>
      <c r="E135" s="6" t="s">
        <v>2506</v>
      </c>
      <c r="F135" s="8" t="s">
        <v>483</v>
      </c>
      <c r="G135" s="6" t="s">
        <v>731</v>
      </c>
      <c r="H135" s="6" t="s">
        <v>425</v>
      </c>
      <c r="I135" s="15"/>
      <c r="J135" s="6"/>
      <c r="K135" s="6"/>
      <c r="L135" s="6"/>
      <c r="M135" s="6"/>
      <c r="N135" s="6"/>
      <c r="O135" s="6"/>
      <c r="P135" s="6"/>
      <c r="Q135" s="6"/>
      <c r="R135" s="6"/>
    </row>
    <row r="136" spans="1:18">
      <c r="A136" s="6" t="s">
        <v>581</v>
      </c>
      <c r="B136" s="6" t="s">
        <v>2503</v>
      </c>
      <c r="C136" s="7" t="s">
        <v>2504</v>
      </c>
      <c r="D136" s="6" t="s">
        <v>2514</v>
      </c>
      <c r="E136" s="6" t="s">
        <v>2515</v>
      </c>
      <c r="F136" s="8" t="s">
        <v>483</v>
      </c>
      <c r="G136" s="6" t="s">
        <v>567</v>
      </c>
      <c r="H136" s="6" t="s">
        <v>425</v>
      </c>
      <c r="I136" s="15"/>
      <c r="J136" s="6" t="s">
        <v>426</v>
      </c>
      <c r="K136" s="6" t="s">
        <v>476</v>
      </c>
      <c r="L136" s="6"/>
      <c r="M136" s="6"/>
      <c r="N136" s="6"/>
      <c r="O136" s="6"/>
      <c r="P136" s="6"/>
      <c r="Q136" s="6"/>
      <c r="R136" s="6"/>
    </row>
    <row r="137" spans="1:18">
      <c r="A137" s="6" t="s">
        <v>480</v>
      </c>
      <c r="B137" s="6" t="s">
        <v>2503</v>
      </c>
      <c r="C137" s="7" t="s">
        <v>2504</v>
      </c>
      <c r="D137" s="6" t="s">
        <v>2527</v>
      </c>
      <c r="E137" s="6" t="s">
        <v>2528</v>
      </c>
      <c r="F137" s="8" t="s">
        <v>483</v>
      </c>
      <c r="G137" s="6" t="s">
        <v>567</v>
      </c>
      <c r="H137" s="6" t="s">
        <v>425</v>
      </c>
      <c r="I137" s="15"/>
      <c r="J137" s="6" t="s">
        <v>426</v>
      </c>
      <c r="K137" s="6" t="s">
        <v>476</v>
      </c>
      <c r="L137" s="6"/>
      <c r="M137" s="6"/>
      <c r="N137" s="6"/>
      <c r="O137" s="6"/>
      <c r="P137" s="6"/>
      <c r="Q137" s="6"/>
      <c r="R137" s="6"/>
    </row>
    <row r="138" spans="1:18">
      <c r="A138" s="6" t="s">
        <v>419</v>
      </c>
      <c r="B138" s="6" t="s">
        <v>2503</v>
      </c>
      <c r="C138" s="7" t="s">
        <v>2504</v>
      </c>
      <c r="D138" s="6" t="s">
        <v>2537</v>
      </c>
      <c r="E138" s="6" t="s">
        <v>2538</v>
      </c>
      <c r="F138" s="8" t="s">
        <v>423</v>
      </c>
      <c r="G138" s="6" t="s">
        <v>567</v>
      </c>
      <c r="H138" s="6" t="s">
        <v>425</v>
      </c>
      <c r="I138" s="15"/>
      <c r="J138" s="6" t="s">
        <v>426</v>
      </c>
      <c r="K138" s="6" t="s">
        <v>476</v>
      </c>
      <c r="L138" s="6"/>
      <c r="M138" s="6"/>
      <c r="N138" s="6"/>
      <c r="O138" s="6"/>
      <c r="P138" s="6"/>
      <c r="Q138" s="6"/>
      <c r="R138" s="6"/>
    </row>
    <row r="139" spans="1:18">
      <c r="A139" s="6" t="s">
        <v>2115</v>
      </c>
      <c r="B139" s="6" t="s">
        <v>2503</v>
      </c>
      <c r="C139" s="7" t="s">
        <v>2504</v>
      </c>
      <c r="D139" s="6" t="s">
        <v>2505</v>
      </c>
      <c r="E139" s="6" t="s">
        <v>2547</v>
      </c>
      <c r="F139" s="8" t="s">
        <v>483</v>
      </c>
      <c r="G139" s="6" t="s">
        <v>567</v>
      </c>
      <c r="H139" s="6" t="s">
        <v>425</v>
      </c>
      <c r="I139" s="15"/>
      <c r="J139" s="6" t="s">
        <v>426</v>
      </c>
      <c r="K139" s="6" t="s">
        <v>476</v>
      </c>
      <c r="L139" s="6"/>
      <c r="M139" s="6"/>
      <c r="N139" s="6"/>
      <c r="O139" s="6"/>
      <c r="P139" s="6"/>
      <c r="Q139" s="6"/>
      <c r="R139" s="6"/>
    </row>
    <row r="140" spans="1:18">
      <c r="A140" s="6" t="s">
        <v>581</v>
      </c>
      <c r="B140" s="6" t="s">
        <v>2503</v>
      </c>
      <c r="C140" s="7" t="s">
        <v>2504</v>
      </c>
      <c r="D140" s="6" t="s">
        <v>2505</v>
      </c>
      <c r="E140" s="6" t="s">
        <v>2556</v>
      </c>
      <c r="F140" s="8" t="s">
        <v>483</v>
      </c>
      <c r="G140" s="6" t="s">
        <v>424</v>
      </c>
      <c r="H140" s="6" t="s">
        <v>425</v>
      </c>
      <c r="I140" s="15"/>
      <c r="J140" s="6" t="s">
        <v>426</v>
      </c>
      <c r="K140" s="6" t="s">
        <v>476</v>
      </c>
      <c r="L140" s="6"/>
      <c r="M140" s="6"/>
      <c r="N140" s="6"/>
      <c r="O140" s="6"/>
      <c r="P140" s="6"/>
      <c r="Q140" s="6"/>
      <c r="R140" s="6"/>
    </row>
    <row r="141" spans="1:18">
      <c r="A141" s="6" t="s">
        <v>864</v>
      </c>
      <c r="B141" s="6" t="s">
        <v>2503</v>
      </c>
      <c r="C141" s="7" t="s">
        <v>2504</v>
      </c>
      <c r="D141" s="6" t="s">
        <v>2167</v>
      </c>
      <c r="E141" s="6" t="s">
        <v>2574</v>
      </c>
      <c r="F141" s="8" t="s">
        <v>423</v>
      </c>
      <c r="G141" s="6" t="s">
        <v>567</v>
      </c>
      <c r="H141" s="6" t="s">
        <v>425</v>
      </c>
      <c r="I141" s="15"/>
      <c r="J141" s="6"/>
      <c r="K141" s="6"/>
      <c r="L141" s="6"/>
      <c r="M141" s="6"/>
      <c r="N141" s="6"/>
      <c r="O141" s="6"/>
      <c r="P141" s="6"/>
      <c r="Q141" s="6"/>
      <c r="R141" s="6"/>
    </row>
    <row r="142" spans="1:18">
      <c r="A142" s="6" t="s">
        <v>633</v>
      </c>
      <c r="B142" s="6" t="s">
        <v>2503</v>
      </c>
      <c r="C142" s="7" t="s">
        <v>2504</v>
      </c>
      <c r="D142" s="6" t="s">
        <v>2167</v>
      </c>
      <c r="E142" s="6" t="s">
        <v>2589</v>
      </c>
      <c r="F142" s="8" t="s">
        <v>483</v>
      </c>
      <c r="G142" s="6" t="s">
        <v>567</v>
      </c>
      <c r="H142" s="6" t="s">
        <v>517</v>
      </c>
      <c r="I142" s="15"/>
      <c r="J142" s="6" t="s">
        <v>426</v>
      </c>
      <c r="K142" s="6" t="s">
        <v>651</v>
      </c>
      <c r="L142" s="6"/>
      <c r="M142" s="6"/>
      <c r="N142" s="6"/>
      <c r="O142" s="6"/>
      <c r="P142" s="6"/>
      <c r="Q142" s="6"/>
      <c r="R142" s="6"/>
    </row>
    <row r="143" spans="1:18">
      <c r="A143" s="6" t="s">
        <v>514</v>
      </c>
      <c r="B143" s="6" t="s">
        <v>2503</v>
      </c>
      <c r="C143" s="7" t="s">
        <v>2504</v>
      </c>
      <c r="D143" s="6" t="s">
        <v>2599</v>
      </c>
      <c r="E143" s="6" t="s">
        <v>2600</v>
      </c>
      <c r="F143" s="8" t="s">
        <v>423</v>
      </c>
      <c r="G143" s="6" t="s">
        <v>731</v>
      </c>
      <c r="H143" s="6" t="s">
        <v>425</v>
      </c>
      <c r="I143" s="15"/>
      <c r="J143" s="6" t="s">
        <v>426</v>
      </c>
      <c r="K143" s="6" t="s">
        <v>476</v>
      </c>
      <c r="L143" s="6"/>
      <c r="M143" s="6"/>
      <c r="N143" s="6"/>
      <c r="O143" s="6"/>
      <c r="P143" s="6"/>
      <c r="Q143" s="6"/>
      <c r="R143" s="6"/>
    </row>
    <row r="144" spans="1:18">
      <c r="A144" s="6" t="s">
        <v>419</v>
      </c>
      <c r="B144" s="6" t="s">
        <v>2503</v>
      </c>
      <c r="C144" s="7" t="s">
        <v>2504</v>
      </c>
      <c r="D144" s="6" t="s">
        <v>2537</v>
      </c>
      <c r="E144" s="6" t="s">
        <v>2615</v>
      </c>
      <c r="F144" s="8" t="s">
        <v>483</v>
      </c>
      <c r="G144" s="6" t="s">
        <v>567</v>
      </c>
      <c r="H144" s="6" t="s">
        <v>425</v>
      </c>
      <c r="I144" s="15"/>
      <c r="J144" s="6" t="s">
        <v>426</v>
      </c>
      <c r="K144" s="6" t="s">
        <v>476</v>
      </c>
      <c r="L144" s="6"/>
      <c r="M144" s="6"/>
      <c r="N144" s="6"/>
      <c r="O144" s="6"/>
      <c r="P144" s="6"/>
      <c r="Q144" s="6"/>
      <c r="R144" s="6"/>
    </row>
    <row r="145" spans="1:18">
      <c r="A145" s="6" t="s">
        <v>480</v>
      </c>
      <c r="B145" s="6" t="s">
        <v>2503</v>
      </c>
      <c r="C145" s="7" t="s">
        <v>2504</v>
      </c>
      <c r="D145" s="6" t="s">
        <v>2527</v>
      </c>
      <c r="E145" s="6" t="s">
        <v>2625</v>
      </c>
      <c r="F145" s="8" t="s">
        <v>483</v>
      </c>
      <c r="G145" s="6" t="s">
        <v>424</v>
      </c>
      <c r="H145" s="6" t="s">
        <v>425</v>
      </c>
      <c r="I145" s="15"/>
      <c r="J145" s="6" t="s">
        <v>426</v>
      </c>
      <c r="K145" s="6" t="s">
        <v>476</v>
      </c>
      <c r="L145" s="6"/>
      <c r="M145" s="6"/>
      <c r="N145" s="6"/>
      <c r="O145" s="6"/>
      <c r="P145" s="6"/>
      <c r="Q145" s="6"/>
      <c r="R145" s="6"/>
    </row>
    <row r="146" spans="1:18">
      <c r="A146" s="6" t="s">
        <v>547</v>
      </c>
      <c r="B146" s="6" t="s">
        <v>2503</v>
      </c>
      <c r="C146" s="7" t="s">
        <v>2504</v>
      </c>
      <c r="D146" s="6" t="s">
        <v>2167</v>
      </c>
      <c r="E146" s="6" t="s">
        <v>2637</v>
      </c>
      <c r="F146" s="8" t="s">
        <v>423</v>
      </c>
      <c r="G146" s="6" t="s">
        <v>567</v>
      </c>
      <c r="H146" s="6" t="s">
        <v>517</v>
      </c>
      <c r="I146" s="15"/>
      <c r="J146" s="6" t="s">
        <v>426</v>
      </c>
      <c r="K146" s="6" t="s">
        <v>476</v>
      </c>
      <c r="L146" s="6"/>
      <c r="M146" s="6"/>
      <c r="N146" s="6"/>
      <c r="O146" s="6"/>
      <c r="P146" s="6"/>
      <c r="Q146" s="6"/>
      <c r="R146" s="6"/>
    </row>
    <row r="147" spans="1:18">
      <c r="A147" s="6" t="s">
        <v>2115</v>
      </c>
      <c r="B147" s="6" t="s">
        <v>2503</v>
      </c>
      <c r="C147" s="7" t="s">
        <v>2504</v>
      </c>
      <c r="D147" s="6" t="s">
        <v>2505</v>
      </c>
      <c r="E147" s="6" t="s">
        <v>2649</v>
      </c>
      <c r="F147" s="8" t="s">
        <v>483</v>
      </c>
      <c r="G147" s="6" t="s">
        <v>567</v>
      </c>
      <c r="H147" s="6" t="s">
        <v>425</v>
      </c>
      <c r="I147" s="15"/>
      <c r="J147" s="6" t="s">
        <v>426</v>
      </c>
      <c r="K147" s="6" t="s">
        <v>476</v>
      </c>
      <c r="L147" s="6"/>
      <c r="M147" s="6"/>
      <c r="N147" s="6"/>
      <c r="O147" s="6"/>
      <c r="P147" s="6"/>
      <c r="Q147" s="6"/>
      <c r="R147" s="6"/>
    </row>
    <row r="148" spans="1:18">
      <c r="A148" s="6" t="s">
        <v>2115</v>
      </c>
      <c r="B148" s="6" t="s">
        <v>2503</v>
      </c>
      <c r="C148" s="7" t="s">
        <v>2504</v>
      </c>
      <c r="D148" s="6" t="s">
        <v>2505</v>
      </c>
      <c r="E148" s="6" t="s">
        <v>2656</v>
      </c>
      <c r="F148" s="8" t="s">
        <v>483</v>
      </c>
      <c r="G148" s="6" t="s">
        <v>567</v>
      </c>
      <c r="H148" s="6" t="s">
        <v>425</v>
      </c>
      <c r="I148" s="15"/>
      <c r="J148" s="6"/>
      <c r="K148" s="6"/>
      <c r="L148" s="6"/>
      <c r="M148" s="6"/>
      <c r="N148" s="6"/>
      <c r="O148" s="6"/>
      <c r="P148" s="6"/>
      <c r="Q148" s="6"/>
      <c r="R148" s="6"/>
    </row>
    <row r="149" spans="1:18">
      <c r="A149" s="6" t="s">
        <v>633</v>
      </c>
      <c r="B149" s="6" t="s">
        <v>2503</v>
      </c>
      <c r="C149" s="7" t="s">
        <v>2504</v>
      </c>
      <c r="D149" s="6" t="s">
        <v>2167</v>
      </c>
      <c r="E149" s="6" t="s">
        <v>2661</v>
      </c>
      <c r="F149" s="8" t="s">
        <v>483</v>
      </c>
      <c r="G149" s="6" t="s">
        <v>424</v>
      </c>
      <c r="H149" s="6" t="s">
        <v>517</v>
      </c>
      <c r="I149" s="15"/>
      <c r="J149" s="6" t="s">
        <v>426</v>
      </c>
      <c r="K149" s="6" t="s">
        <v>651</v>
      </c>
      <c r="L149" s="6"/>
      <c r="M149" s="6"/>
      <c r="N149" s="6"/>
      <c r="O149" s="6"/>
      <c r="P149" s="6"/>
      <c r="Q149" s="6"/>
      <c r="R149" s="6"/>
    </row>
    <row r="150" spans="1:18">
      <c r="A150" s="6" t="s">
        <v>547</v>
      </c>
      <c r="B150" s="6" t="s">
        <v>2503</v>
      </c>
      <c r="C150" s="7" t="s">
        <v>2504</v>
      </c>
      <c r="D150" s="6" t="s">
        <v>2167</v>
      </c>
      <c r="E150" s="6" t="s">
        <v>2671</v>
      </c>
      <c r="F150" s="8" t="s">
        <v>483</v>
      </c>
      <c r="G150" s="6" t="s">
        <v>731</v>
      </c>
      <c r="H150" s="6" t="s">
        <v>425</v>
      </c>
      <c r="I150" s="15"/>
      <c r="J150" s="6"/>
      <c r="K150" s="6"/>
      <c r="L150" s="6"/>
      <c r="M150" s="6"/>
      <c r="N150" s="6"/>
      <c r="O150" s="6"/>
      <c r="P150" s="6"/>
      <c r="Q150" s="6"/>
      <c r="R150" s="6"/>
    </row>
    <row r="151" spans="1:18">
      <c r="A151" s="6" t="s">
        <v>864</v>
      </c>
      <c r="B151" s="6" t="s">
        <v>2503</v>
      </c>
      <c r="C151" s="7" t="s">
        <v>2504</v>
      </c>
      <c r="D151" s="6" t="s">
        <v>2599</v>
      </c>
      <c r="E151" s="6" t="s">
        <v>2681</v>
      </c>
      <c r="F151" s="8" t="s">
        <v>483</v>
      </c>
      <c r="G151" s="6" t="s">
        <v>484</v>
      </c>
      <c r="H151" s="6" t="s">
        <v>517</v>
      </c>
      <c r="I151" s="15"/>
      <c r="J151" s="6"/>
      <c r="K151" s="6"/>
      <c r="L151" s="6"/>
      <c r="M151" s="6"/>
      <c r="N151" s="6"/>
      <c r="O151" s="6"/>
      <c r="P151" s="6"/>
      <c r="Q151" s="6"/>
      <c r="R151" s="6"/>
    </row>
    <row r="152" spans="1:18">
      <c r="A152" s="6" t="s">
        <v>514</v>
      </c>
      <c r="B152" s="6" t="s">
        <v>2503</v>
      </c>
      <c r="C152" s="7" t="s">
        <v>2504</v>
      </c>
      <c r="D152" s="6" t="s">
        <v>2167</v>
      </c>
      <c r="E152" s="6" t="s">
        <v>2696</v>
      </c>
      <c r="F152" s="8" t="s">
        <v>483</v>
      </c>
      <c r="G152" s="6" t="s">
        <v>424</v>
      </c>
      <c r="H152" s="6" t="s">
        <v>425</v>
      </c>
      <c r="I152" s="15"/>
      <c r="J152" s="6"/>
      <c r="K152" s="6"/>
      <c r="L152" s="6"/>
      <c r="M152" s="6"/>
      <c r="N152" s="6"/>
      <c r="O152" s="6"/>
      <c r="P152" s="6"/>
      <c r="Q152" s="6"/>
      <c r="R152" s="6"/>
    </row>
    <row r="153" spans="1:18">
      <c r="A153" s="6" t="s">
        <v>480</v>
      </c>
      <c r="B153" s="6" t="s">
        <v>2503</v>
      </c>
      <c r="C153" s="7" t="s">
        <v>2504</v>
      </c>
      <c r="D153" s="6" t="s">
        <v>2706</v>
      </c>
      <c r="E153" s="6" t="s">
        <v>2707</v>
      </c>
      <c r="F153" s="8" t="s">
        <v>483</v>
      </c>
      <c r="G153" s="6" t="s">
        <v>567</v>
      </c>
      <c r="H153" s="6" t="s">
        <v>425</v>
      </c>
      <c r="I153" s="15"/>
      <c r="J153" s="6" t="s">
        <v>426</v>
      </c>
      <c r="K153" s="6" t="s">
        <v>476</v>
      </c>
      <c r="L153" s="6"/>
      <c r="M153" s="6"/>
      <c r="N153" s="6"/>
      <c r="O153" s="6"/>
      <c r="P153" s="6"/>
      <c r="Q153" s="6"/>
      <c r="R153" s="6"/>
    </row>
    <row r="154" spans="1:18">
      <c r="A154" s="6" t="s">
        <v>419</v>
      </c>
      <c r="B154" s="6" t="s">
        <v>2503</v>
      </c>
      <c r="C154" s="7" t="s">
        <v>2504</v>
      </c>
      <c r="D154" s="6" t="s">
        <v>2537</v>
      </c>
      <c r="E154" s="6" t="s">
        <v>2725</v>
      </c>
      <c r="F154" s="8" t="s">
        <v>483</v>
      </c>
      <c r="G154" s="6" t="s">
        <v>484</v>
      </c>
      <c r="H154" s="6" t="s">
        <v>425</v>
      </c>
      <c r="I154" s="15"/>
      <c r="J154" s="6"/>
      <c r="K154" s="6"/>
      <c r="L154" s="6"/>
      <c r="M154" s="6"/>
      <c r="N154" s="6"/>
      <c r="O154" s="6"/>
      <c r="P154" s="6"/>
      <c r="Q154" s="6"/>
      <c r="R154" s="6"/>
    </row>
    <row r="155" spans="1:18">
      <c r="A155" s="6" t="s">
        <v>581</v>
      </c>
      <c r="B155" s="6" t="s">
        <v>2503</v>
      </c>
      <c r="C155" s="7" t="s">
        <v>2504</v>
      </c>
      <c r="D155" s="6" t="s">
        <v>2735</v>
      </c>
      <c r="E155" s="6" t="s">
        <v>2736</v>
      </c>
      <c r="F155" s="8" t="s">
        <v>483</v>
      </c>
      <c r="G155" s="6" t="s">
        <v>424</v>
      </c>
      <c r="H155" s="6" t="s">
        <v>425</v>
      </c>
      <c r="I155" s="15"/>
      <c r="J155" s="6" t="s">
        <v>426</v>
      </c>
      <c r="K155" s="6" t="s">
        <v>476</v>
      </c>
      <c r="L155" s="6"/>
      <c r="M155" s="6"/>
      <c r="N155" s="6"/>
      <c r="O155" s="6"/>
      <c r="P155" s="6"/>
      <c r="Q155" s="6"/>
      <c r="R155" s="6"/>
    </row>
    <row r="156" spans="1:18">
      <c r="A156" s="6" t="s">
        <v>547</v>
      </c>
      <c r="B156" s="6" t="s">
        <v>2503</v>
      </c>
      <c r="C156" s="7" t="s">
        <v>2504</v>
      </c>
      <c r="D156" s="6" t="s">
        <v>2167</v>
      </c>
      <c r="E156" s="6" t="s">
        <v>2747</v>
      </c>
      <c r="F156" s="8" t="s">
        <v>483</v>
      </c>
      <c r="G156" s="6" t="s">
        <v>424</v>
      </c>
      <c r="H156" s="6" t="s">
        <v>517</v>
      </c>
      <c r="I156" s="15"/>
      <c r="J156" s="6" t="s">
        <v>426</v>
      </c>
      <c r="K156" s="6" t="s">
        <v>476</v>
      </c>
      <c r="L156" s="6"/>
      <c r="M156" s="6"/>
      <c r="N156" s="6"/>
      <c r="O156" s="6"/>
      <c r="P156" s="6"/>
      <c r="Q156" s="6"/>
      <c r="R156" s="6"/>
    </row>
    <row r="157" spans="1:18">
      <c r="A157" s="6" t="s">
        <v>514</v>
      </c>
      <c r="B157" s="6" t="s">
        <v>2503</v>
      </c>
      <c r="C157" s="7" t="s">
        <v>2504</v>
      </c>
      <c r="D157" s="6" t="s">
        <v>2167</v>
      </c>
      <c r="E157" s="6" t="s">
        <v>2756</v>
      </c>
      <c r="F157" s="8" t="s">
        <v>483</v>
      </c>
      <c r="G157" s="6" t="s">
        <v>424</v>
      </c>
      <c r="H157" s="6" t="s">
        <v>425</v>
      </c>
      <c r="I157" s="15"/>
      <c r="J157" s="6"/>
      <c r="K157" s="6"/>
      <c r="L157" s="6"/>
      <c r="M157" s="6"/>
      <c r="N157" s="6"/>
      <c r="O157" s="6"/>
      <c r="P157" s="6"/>
      <c r="Q157" s="6"/>
      <c r="R157" s="6"/>
    </row>
    <row r="158" spans="1:18">
      <c r="A158" s="6" t="s">
        <v>633</v>
      </c>
      <c r="B158" s="6" t="s">
        <v>2503</v>
      </c>
      <c r="C158" s="7" t="s">
        <v>2504</v>
      </c>
      <c r="D158" s="6" t="s">
        <v>2599</v>
      </c>
      <c r="E158" s="6" t="s">
        <v>2766</v>
      </c>
      <c r="F158" s="8" t="s">
        <v>483</v>
      </c>
      <c r="G158" s="6" t="s">
        <v>567</v>
      </c>
      <c r="H158" s="6" t="s">
        <v>425</v>
      </c>
      <c r="I158" s="15"/>
      <c r="J158" s="6"/>
      <c r="K158" s="6"/>
      <c r="L158" s="6"/>
      <c r="M158" s="6"/>
      <c r="N158" s="6"/>
      <c r="O158" s="6"/>
      <c r="P158" s="6"/>
      <c r="Q158" s="6"/>
      <c r="R158" s="6"/>
    </row>
    <row r="159" spans="1:18">
      <c r="A159" s="6" t="s">
        <v>480</v>
      </c>
      <c r="B159" s="6" t="s">
        <v>2503</v>
      </c>
      <c r="C159" s="7" t="s">
        <v>2504</v>
      </c>
      <c r="D159" s="6" t="s">
        <v>2706</v>
      </c>
      <c r="E159" s="6" t="s">
        <v>2775</v>
      </c>
      <c r="F159" s="8" t="s">
        <v>483</v>
      </c>
      <c r="G159" s="6" t="s">
        <v>567</v>
      </c>
      <c r="H159" s="6" t="s">
        <v>425</v>
      </c>
      <c r="I159" s="15"/>
      <c r="J159" s="6" t="s">
        <v>426</v>
      </c>
      <c r="K159" s="6" t="s">
        <v>476</v>
      </c>
      <c r="L159" s="6"/>
      <c r="M159" s="6"/>
      <c r="N159" s="6"/>
      <c r="O159" s="6"/>
      <c r="P159" s="6"/>
      <c r="Q159" s="6"/>
      <c r="R159" s="6"/>
    </row>
    <row r="160" spans="1:18">
      <c r="A160" s="6" t="s">
        <v>2115</v>
      </c>
      <c r="B160" s="6" t="s">
        <v>2503</v>
      </c>
      <c r="C160" s="7" t="s">
        <v>2504</v>
      </c>
      <c r="D160" s="6" t="s">
        <v>2505</v>
      </c>
      <c r="E160" s="6" t="s">
        <v>2786</v>
      </c>
      <c r="F160" s="8" t="s">
        <v>483</v>
      </c>
      <c r="G160" s="6" t="s">
        <v>484</v>
      </c>
      <c r="H160" s="6" t="s">
        <v>425</v>
      </c>
      <c r="I160" s="15"/>
      <c r="J160" s="6"/>
      <c r="K160" s="6"/>
      <c r="L160" s="6"/>
      <c r="M160" s="6"/>
      <c r="N160" s="6"/>
      <c r="O160" s="6"/>
      <c r="P160" s="6"/>
      <c r="Q160" s="6"/>
      <c r="R160" s="6"/>
    </row>
    <row r="161" spans="1:18">
      <c r="A161" s="6" t="s">
        <v>419</v>
      </c>
      <c r="B161" s="6" t="s">
        <v>2503</v>
      </c>
      <c r="C161" s="7" t="s">
        <v>2504</v>
      </c>
      <c r="D161" s="6" t="s">
        <v>2537</v>
      </c>
      <c r="E161" s="6" t="s">
        <v>2793</v>
      </c>
      <c r="F161" s="8" t="s">
        <v>483</v>
      </c>
      <c r="G161" s="6" t="s">
        <v>424</v>
      </c>
      <c r="H161" s="6" t="s">
        <v>425</v>
      </c>
      <c r="I161" s="15"/>
      <c r="J161" s="6"/>
      <c r="K161" s="6"/>
      <c r="L161" s="6"/>
      <c r="M161" s="6"/>
      <c r="N161" s="6"/>
      <c r="O161" s="6"/>
      <c r="P161" s="6"/>
      <c r="Q161" s="6"/>
      <c r="R161" s="6"/>
    </row>
    <row r="162" spans="1:18">
      <c r="A162" s="6" t="s">
        <v>864</v>
      </c>
      <c r="B162" s="6" t="s">
        <v>2503</v>
      </c>
      <c r="C162" s="7" t="s">
        <v>2504</v>
      </c>
      <c r="D162" s="6" t="s">
        <v>2599</v>
      </c>
      <c r="E162" s="6" t="s">
        <v>2805</v>
      </c>
      <c r="F162" s="8" t="s">
        <v>483</v>
      </c>
      <c r="G162" s="6" t="s">
        <v>567</v>
      </c>
      <c r="H162" s="6" t="s">
        <v>517</v>
      </c>
      <c r="I162" s="15"/>
      <c r="J162" s="6"/>
      <c r="K162" s="6"/>
      <c r="L162" s="6"/>
      <c r="M162" s="6"/>
      <c r="N162" s="6"/>
      <c r="O162" s="6"/>
      <c r="P162" s="6"/>
      <c r="Q162" s="6"/>
      <c r="R162" s="6"/>
    </row>
    <row r="163" spans="1:18">
      <c r="A163" s="6" t="s">
        <v>633</v>
      </c>
      <c r="B163" s="6" t="s">
        <v>2503</v>
      </c>
      <c r="C163" s="7" t="s">
        <v>2504</v>
      </c>
      <c r="D163" s="6" t="s">
        <v>2167</v>
      </c>
      <c r="E163" s="6" t="s">
        <v>2824</v>
      </c>
      <c r="F163" s="8" t="s">
        <v>483</v>
      </c>
      <c r="G163" s="6" t="s">
        <v>567</v>
      </c>
      <c r="H163" s="6" t="s">
        <v>517</v>
      </c>
      <c r="I163" s="15"/>
      <c r="J163" s="6" t="s">
        <v>426</v>
      </c>
      <c r="K163" s="6" t="s">
        <v>651</v>
      </c>
      <c r="L163" s="6"/>
      <c r="M163" s="6"/>
      <c r="N163" s="6"/>
      <c r="O163" s="6"/>
      <c r="P163" s="6"/>
      <c r="Q163" s="6"/>
      <c r="R163" s="6"/>
    </row>
    <row r="164" spans="1:18">
      <c r="A164" s="6" t="s">
        <v>581</v>
      </c>
      <c r="B164" s="6" t="s">
        <v>2503</v>
      </c>
      <c r="C164" s="7" t="s">
        <v>2504</v>
      </c>
      <c r="D164" s="6" t="s">
        <v>2599</v>
      </c>
      <c r="E164" s="6" t="s">
        <v>2834</v>
      </c>
      <c r="F164" s="8" t="s">
        <v>483</v>
      </c>
      <c r="G164" s="6" t="s">
        <v>731</v>
      </c>
      <c r="H164" s="6" t="s">
        <v>425</v>
      </c>
      <c r="I164" s="15"/>
      <c r="J164" s="6" t="s">
        <v>426</v>
      </c>
      <c r="K164" s="6" t="s">
        <v>476</v>
      </c>
      <c r="L164" s="6"/>
      <c r="M164" s="6"/>
      <c r="N164" s="6"/>
      <c r="O164" s="6"/>
      <c r="P164" s="6"/>
      <c r="Q164" s="6"/>
      <c r="R164" s="6"/>
    </row>
    <row r="165" spans="1:18">
      <c r="A165" s="6" t="s">
        <v>547</v>
      </c>
      <c r="B165" s="6" t="s">
        <v>2503</v>
      </c>
      <c r="C165" s="7" t="s">
        <v>2504</v>
      </c>
      <c r="D165" s="6" t="s">
        <v>2167</v>
      </c>
      <c r="E165" s="6" t="s">
        <v>2383</v>
      </c>
      <c r="F165" s="8" t="s">
        <v>423</v>
      </c>
      <c r="G165" s="6" t="s">
        <v>567</v>
      </c>
      <c r="H165" s="6" t="s">
        <v>425</v>
      </c>
      <c r="I165" s="15"/>
      <c r="J165" s="6" t="s">
        <v>426</v>
      </c>
      <c r="K165" s="6" t="s">
        <v>476</v>
      </c>
      <c r="L165" s="6"/>
      <c r="M165" s="6"/>
      <c r="N165" s="6"/>
      <c r="O165" s="6"/>
      <c r="P165" s="6"/>
      <c r="Q165" s="6"/>
      <c r="R165" s="6"/>
    </row>
    <row r="166" spans="1:18">
      <c r="A166" s="6" t="s">
        <v>480</v>
      </c>
      <c r="B166" s="6" t="s">
        <v>2503</v>
      </c>
      <c r="C166" s="7" t="s">
        <v>2504</v>
      </c>
      <c r="D166" s="6" t="s">
        <v>2706</v>
      </c>
      <c r="E166" s="6" t="s">
        <v>2861</v>
      </c>
      <c r="F166" s="8" t="s">
        <v>483</v>
      </c>
      <c r="G166" s="6" t="s">
        <v>567</v>
      </c>
      <c r="H166" s="6" t="s">
        <v>425</v>
      </c>
      <c r="I166" s="15"/>
      <c r="J166" s="6"/>
      <c r="K166" s="6"/>
      <c r="L166" s="6"/>
      <c r="M166" s="6"/>
      <c r="N166" s="6"/>
      <c r="O166" s="6"/>
      <c r="P166" s="6"/>
      <c r="Q166" s="6"/>
      <c r="R166" s="6"/>
    </row>
    <row r="167" spans="1:18">
      <c r="A167" s="6" t="s">
        <v>419</v>
      </c>
      <c r="B167" s="6" t="s">
        <v>2503</v>
      </c>
      <c r="C167" s="7" t="s">
        <v>2504</v>
      </c>
      <c r="D167" s="6" t="s">
        <v>2537</v>
      </c>
      <c r="E167" s="6" t="s">
        <v>2877</v>
      </c>
      <c r="F167" s="8" t="s">
        <v>423</v>
      </c>
      <c r="G167" s="6" t="s">
        <v>424</v>
      </c>
      <c r="H167" s="6" t="s">
        <v>425</v>
      </c>
      <c r="I167" s="15"/>
      <c r="J167" s="6" t="s">
        <v>426</v>
      </c>
      <c r="K167" s="6" t="s">
        <v>476</v>
      </c>
      <c r="L167" s="6"/>
      <c r="M167" s="6"/>
      <c r="N167" s="6"/>
      <c r="O167" s="6"/>
      <c r="P167" s="6"/>
      <c r="Q167" s="6"/>
      <c r="R167" s="6"/>
    </row>
    <row r="168" spans="1:18">
      <c r="A168" s="6" t="s">
        <v>514</v>
      </c>
      <c r="B168" s="6" t="s">
        <v>2503</v>
      </c>
      <c r="C168" s="7" t="s">
        <v>2504</v>
      </c>
      <c r="D168" s="6" t="s">
        <v>2599</v>
      </c>
      <c r="E168" s="6" t="s">
        <v>2887</v>
      </c>
      <c r="F168" s="8" t="s">
        <v>483</v>
      </c>
      <c r="G168" s="6" t="s">
        <v>567</v>
      </c>
      <c r="H168" s="6" t="s">
        <v>517</v>
      </c>
      <c r="I168" s="15"/>
      <c r="J168" s="6"/>
      <c r="K168" s="6"/>
      <c r="L168" s="6"/>
      <c r="M168" s="6"/>
      <c r="N168" s="6"/>
      <c r="O168" s="6"/>
      <c r="P168" s="6"/>
      <c r="Q168" s="6"/>
      <c r="R168" s="6"/>
    </row>
    <row r="169" spans="1:18">
      <c r="A169" s="6" t="s">
        <v>633</v>
      </c>
      <c r="B169" s="6" t="s">
        <v>2503</v>
      </c>
      <c r="C169" s="7" t="s">
        <v>2504</v>
      </c>
      <c r="D169" s="6" t="s">
        <v>2167</v>
      </c>
      <c r="E169" s="6" t="s">
        <v>2896</v>
      </c>
      <c r="F169" s="8" t="s">
        <v>483</v>
      </c>
      <c r="G169" s="6" t="s">
        <v>424</v>
      </c>
      <c r="H169" s="6" t="s">
        <v>2897</v>
      </c>
      <c r="I169" s="15" t="s">
        <v>2898</v>
      </c>
      <c r="J169" s="6" t="s">
        <v>426</v>
      </c>
      <c r="K169" s="6" t="s">
        <v>476</v>
      </c>
      <c r="L169" s="6"/>
      <c r="M169" s="6"/>
      <c r="N169" s="6"/>
      <c r="O169" s="6"/>
      <c r="P169" s="6"/>
      <c r="Q169" s="6"/>
      <c r="R169" s="6"/>
    </row>
    <row r="170" spans="1:18">
      <c r="A170" s="6" t="s">
        <v>581</v>
      </c>
      <c r="B170" s="6" t="s">
        <v>2503</v>
      </c>
      <c r="C170" s="7" t="s">
        <v>2504</v>
      </c>
      <c r="D170" s="6" t="s">
        <v>2599</v>
      </c>
      <c r="E170" s="6" t="s">
        <v>2907</v>
      </c>
      <c r="F170" s="8" t="s">
        <v>483</v>
      </c>
      <c r="G170" s="6" t="s">
        <v>424</v>
      </c>
      <c r="H170" s="6" t="s">
        <v>425</v>
      </c>
      <c r="I170" s="15"/>
      <c r="J170" s="6" t="s">
        <v>426</v>
      </c>
      <c r="K170" s="6" t="s">
        <v>476</v>
      </c>
      <c r="L170" s="6"/>
      <c r="M170" s="6"/>
      <c r="N170" s="6"/>
      <c r="O170" s="6"/>
      <c r="P170" s="6"/>
      <c r="Q170" s="6"/>
      <c r="R170" s="6"/>
    </row>
    <row r="171" spans="1:18">
      <c r="A171" s="6" t="s">
        <v>514</v>
      </c>
      <c r="B171" s="6" t="s">
        <v>2503</v>
      </c>
      <c r="C171" s="7" t="s">
        <v>2504</v>
      </c>
      <c r="D171" s="6" t="s">
        <v>2167</v>
      </c>
      <c r="E171" s="6" t="s">
        <v>2921</v>
      </c>
      <c r="F171" s="8" t="s">
        <v>483</v>
      </c>
      <c r="G171" s="6" t="s">
        <v>567</v>
      </c>
      <c r="H171" s="6" t="s">
        <v>517</v>
      </c>
      <c r="I171" s="15"/>
      <c r="J171" s="6"/>
      <c r="K171" s="6"/>
      <c r="L171" s="6"/>
      <c r="M171" s="6"/>
      <c r="N171" s="6"/>
      <c r="O171" s="6"/>
      <c r="P171" s="6"/>
      <c r="Q171" s="6"/>
      <c r="R171" s="6"/>
    </row>
    <row r="172" spans="1:18">
      <c r="A172" s="6" t="s">
        <v>755</v>
      </c>
      <c r="B172" s="6" t="s">
        <v>2503</v>
      </c>
      <c r="C172" s="7" t="s">
        <v>2504</v>
      </c>
      <c r="D172" s="6" t="s">
        <v>2932</v>
      </c>
      <c r="E172" s="6" t="s">
        <v>2933</v>
      </c>
      <c r="F172" s="8" t="s">
        <v>483</v>
      </c>
      <c r="G172" s="6" t="s">
        <v>567</v>
      </c>
      <c r="H172" s="6" t="s">
        <v>425</v>
      </c>
      <c r="I172" s="15"/>
      <c r="J172" s="6"/>
      <c r="K172" s="6"/>
      <c r="L172" s="6"/>
      <c r="M172" s="6"/>
      <c r="N172" s="6"/>
      <c r="O172" s="6"/>
      <c r="P172" s="6"/>
      <c r="Q172" s="6"/>
      <c r="R172" s="6"/>
    </row>
    <row r="173" spans="1:18">
      <c r="A173" s="6" t="s">
        <v>755</v>
      </c>
      <c r="B173" s="6" t="s">
        <v>2503</v>
      </c>
      <c r="C173" s="7" t="s">
        <v>2504</v>
      </c>
      <c r="D173" s="6" t="s">
        <v>2167</v>
      </c>
      <c r="E173" s="6" t="s">
        <v>2948</v>
      </c>
      <c r="F173" s="8" t="s">
        <v>483</v>
      </c>
      <c r="G173" s="6" t="s">
        <v>424</v>
      </c>
      <c r="H173" s="6" t="s">
        <v>517</v>
      </c>
      <c r="I173" s="15"/>
      <c r="J173" s="6" t="s">
        <v>426</v>
      </c>
      <c r="K173" s="6" t="s">
        <v>476</v>
      </c>
      <c r="L173" s="6"/>
      <c r="M173" s="6"/>
      <c r="N173" s="6"/>
      <c r="O173" s="6"/>
      <c r="P173" s="6"/>
      <c r="Q173" s="6"/>
      <c r="R173" s="6"/>
    </row>
    <row r="174" spans="1:18">
      <c r="A174" s="6" t="s">
        <v>755</v>
      </c>
      <c r="B174" s="6" t="s">
        <v>2503</v>
      </c>
      <c r="C174" s="7" t="s">
        <v>2504</v>
      </c>
      <c r="D174" s="6" t="s">
        <v>2167</v>
      </c>
      <c r="E174" s="6" t="s">
        <v>2961</v>
      </c>
      <c r="F174" s="8" t="s">
        <v>483</v>
      </c>
      <c r="G174" s="6" t="s">
        <v>567</v>
      </c>
      <c r="H174" s="6" t="s">
        <v>517</v>
      </c>
      <c r="I174" s="15"/>
      <c r="J174" s="6"/>
      <c r="K174" s="6"/>
      <c r="L174" s="6"/>
      <c r="M174" s="6"/>
      <c r="N174" s="6"/>
      <c r="O174" s="6"/>
      <c r="P174" s="6"/>
      <c r="Q174" s="6"/>
      <c r="R174" s="6"/>
    </row>
    <row r="175" spans="1:18">
      <c r="A175" s="6" t="s">
        <v>755</v>
      </c>
      <c r="B175" s="6" t="s">
        <v>2503</v>
      </c>
      <c r="C175" s="7" t="s">
        <v>2504</v>
      </c>
      <c r="D175" s="6" t="s">
        <v>2932</v>
      </c>
      <c r="E175" s="6" t="s">
        <v>2974</v>
      </c>
      <c r="F175" s="8" t="s">
        <v>483</v>
      </c>
      <c r="G175" s="6" t="s">
        <v>567</v>
      </c>
      <c r="H175" s="6" t="s">
        <v>425</v>
      </c>
      <c r="I175" s="15"/>
      <c r="J175" s="6"/>
      <c r="K175" s="6"/>
      <c r="L175" s="6"/>
      <c r="M175" s="6"/>
      <c r="N175" s="6"/>
      <c r="O175" s="6"/>
      <c r="P175" s="6"/>
      <c r="Q175" s="6"/>
      <c r="R175" s="6"/>
    </row>
    <row r="176" spans="1:18">
      <c r="A176" s="6" t="s">
        <v>755</v>
      </c>
      <c r="B176" s="6" t="s">
        <v>2503</v>
      </c>
      <c r="C176" s="7" t="s">
        <v>2504</v>
      </c>
      <c r="D176" s="6" t="s">
        <v>2986</v>
      </c>
      <c r="E176" s="6" t="s">
        <v>2987</v>
      </c>
      <c r="F176" s="8" t="s">
        <v>483</v>
      </c>
      <c r="G176" s="6" t="s">
        <v>424</v>
      </c>
      <c r="H176" s="6" t="s">
        <v>517</v>
      </c>
      <c r="I176" s="15"/>
      <c r="J176" s="6"/>
      <c r="K176" s="6"/>
      <c r="L176" s="6"/>
      <c r="M176" s="6"/>
      <c r="N176" s="6"/>
      <c r="O176" s="6"/>
      <c r="P176" s="6"/>
      <c r="Q176" s="6"/>
      <c r="R176" s="6"/>
    </row>
    <row r="177" spans="1:18">
      <c r="A177" s="6" t="s">
        <v>2115</v>
      </c>
      <c r="B177" s="6" t="s">
        <v>2503</v>
      </c>
      <c r="C177" s="7" t="s">
        <v>2504</v>
      </c>
      <c r="D177" s="6" t="s">
        <v>2505</v>
      </c>
      <c r="E177" s="6" t="s">
        <v>3000</v>
      </c>
      <c r="F177" s="8" t="s">
        <v>423</v>
      </c>
      <c r="G177" s="6" t="s">
        <v>424</v>
      </c>
      <c r="H177" s="6" t="s">
        <v>425</v>
      </c>
      <c r="I177" s="15"/>
      <c r="J177" s="6" t="s">
        <v>426</v>
      </c>
      <c r="K177" s="6" t="s">
        <v>476</v>
      </c>
      <c r="L177" s="6"/>
      <c r="M177" s="6"/>
      <c r="N177" s="6"/>
      <c r="O177" s="6"/>
      <c r="P177" s="6"/>
      <c r="Q177" s="6"/>
      <c r="R177" s="6"/>
    </row>
    <row r="178" spans="1:18">
      <c r="A178" s="6" t="s">
        <v>480</v>
      </c>
      <c r="B178" s="6" t="s">
        <v>2503</v>
      </c>
      <c r="C178" s="7" t="s">
        <v>2504</v>
      </c>
      <c r="D178" s="6" t="s">
        <v>2706</v>
      </c>
      <c r="E178" s="6" t="s">
        <v>3008</v>
      </c>
      <c r="F178" s="8" t="s">
        <v>483</v>
      </c>
      <c r="G178" s="6" t="s">
        <v>567</v>
      </c>
      <c r="H178" s="6" t="s">
        <v>425</v>
      </c>
      <c r="I178" s="15"/>
      <c r="J178" s="6" t="s">
        <v>426</v>
      </c>
      <c r="K178" s="6" t="s">
        <v>476</v>
      </c>
      <c r="L178" s="6"/>
      <c r="M178" s="6"/>
      <c r="N178" s="6"/>
      <c r="O178" s="6"/>
      <c r="P178" s="6"/>
      <c r="Q178" s="6"/>
      <c r="R178" s="6"/>
    </row>
    <row r="179" spans="1:18">
      <c r="A179" s="6" t="s">
        <v>864</v>
      </c>
      <c r="B179" s="6" t="s">
        <v>2503</v>
      </c>
      <c r="C179" s="7" t="s">
        <v>2504</v>
      </c>
      <c r="D179" s="6" t="s">
        <v>2599</v>
      </c>
      <c r="E179" s="6" t="s">
        <v>3025</v>
      </c>
      <c r="F179" s="8" t="s">
        <v>483</v>
      </c>
      <c r="G179" s="6" t="s">
        <v>424</v>
      </c>
      <c r="H179" s="6" t="s">
        <v>517</v>
      </c>
      <c r="I179" s="15"/>
      <c r="J179" s="6"/>
      <c r="K179" s="6"/>
      <c r="L179" s="6"/>
      <c r="M179" s="6"/>
      <c r="N179" s="6"/>
      <c r="O179" s="6"/>
      <c r="P179" s="6"/>
      <c r="Q179" s="6"/>
      <c r="R179" s="6"/>
    </row>
    <row r="180" spans="1:18">
      <c r="A180" s="6" t="s">
        <v>547</v>
      </c>
      <c r="B180" s="6" t="s">
        <v>2503</v>
      </c>
      <c r="C180" s="7" t="s">
        <v>2504</v>
      </c>
      <c r="D180" s="6" t="s">
        <v>2167</v>
      </c>
      <c r="E180" s="6" t="s">
        <v>3040</v>
      </c>
      <c r="F180" s="8" t="s">
        <v>483</v>
      </c>
      <c r="G180" s="6" t="s">
        <v>567</v>
      </c>
      <c r="H180" s="6" t="s">
        <v>425</v>
      </c>
      <c r="I180" s="15"/>
      <c r="J180" s="6"/>
      <c r="K180" s="6"/>
      <c r="L180" s="6"/>
      <c r="M180" s="6"/>
      <c r="N180" s="6"/>
      <c r="O180" s="6"/>
      <c r="P180" s="6"/>
      <c r="Q180" s="6"/>
      <c r="R180" s="6"/>
    </row>
    <row r="181" spans="1:18">
      <c r="A181" s="6" t="s">
        <v>419</v>
      </c>
      <c r="B181" s="6" t="s">
        <v>2503</v>
      </c>
      <c r="C181" s="7" t="s">
        <v>2504</v>
      </c>
      <c r="D181" s="6" t="s">
        <v>3063</v>
      </c>
      <c r="E181" s="6" t="s">
        <v>3064</v>
      </c>
      <c r="F181" s="8" t="s">
        <v>483</v>
      </c>
      <c r="G181" s="6" t="s">
        <v>424</v>
      </c>
      <c r="H181" s="6" t="s">
        <v>425</v>
      </c>
      <c r="I181" s="15"/>
      <c r="J181" s="6" t="s">
        <v>426</v>
      </c>
      <c r="K181" s="6" t="s">
        <v>476</v>
      </c>
      <c r="L181" s="6"/>
      <c r="M181" s="6"/>
      <c r="N181" s="6"/>
      <c r="O181" s="6"/>
      <c r="P181" s="6"/>
      <c r="Q181" s="6"/>
      <c r="R181" s="6"/>
    </row>
    <row r="182" spans="1:18">
      <c r="A182" s="6" t="s">
        <v>2115</v>
      </c>
      <c r="B182" s="6" t="s">
        <v>2503</v>
      </c>
      <c r="C182" s="7" t="s">
        <v>2504</v>
      </c>
      <c r="D182" s="6" t="s">
        <v>2505</v>
      </c>
      <c r="E182" s="6" t="s">
        <v>3073</v>
      </c>
      <c r="F182" s="8" t="s">
        <v>423</v>
      </c>
      <c r="G182" s="6" t="s">
        <v>567</v>
      </c>
      <c r="H182" s="6" t="s">
        <v>425</v>
      </c>
      <c r="I182" s="15"/>
      <c r="J182" s="6"/>
      <c r="K182" s="6"/>
      <c r="L182" s="6"/>
      <c r="M182" s="6"/>
      <c r="N182" s="6"/>
      <c r="O182" s="6"/>
      <c r="P182" s="6"/>
      <c r="Q182" s="6"/>
      <c r="R182" s="6"/>
    </row>
    <row r="183" spans="1:18">
      <c r="A183" s="6" t="s">
        <v>581</v>
      </c>
      <c r="B183" s="6" t="s">
        <v>2503</v>
      </c>
      <c r="C183" s="7" t="s">
        <v>2504</v>
      </c>
      <c r="D183" s="6" t="s">
        <v>2167</v>
      </c>
      <c r="E183" s="6" t="s">
        <v>3080</v>
      </c>
      <c r="F183" s="8" t="s">
        <v>483</v>
      </c>
      <c r="G183" s="6" t="s">
        <v>731</v>
      </c>
      <c r="H183" s="6" t="s">
        <v>425</v>
      </c>
      <c r="I183" s="15"/>
      <c r="J183" s="6" t="s">
        <v>426</v>
      </c>
      <c r="K183" s="6" t="s">
        <v>476</v>
      </c>
      <c r="L183" s="6"/>
      <c r="M183" s="6"/>
      <c r="N183" s="6"/>
      <c r="O183" s="6"/>
      <c r="P183" s="6"/>
      <c r="Q183" s="6"/>
      <c r="R183" s="6"/>
    </row>
    <row r="184" spans="1:18">
      <c r="A184" s="6" t="s">
        <v>480</v>
      </c>
      <c r="B184" s="6" t="s">
        <v>2503</v>
      </c>
      <c r="C184" s="7" t="s">
        <v>2504</v>
      </c>
      <c r="D184" s="6" t="s">
        <v>2706</v>
      </c>
      <c r="E184" s="6" t="s">
        <v>3097</v>
      </c>
      <c r="F184" s="8" t="s">
        <v>483</v>
      </c>
      <c r="G184" s="6" t="s">
        <v>731</v>
      </c>
      <c r="H184" s="6" t="s">
        <v>425</v>
      </c>
      <c r="I184" s="15"/>
      <c r="J184" s="6" t="s">
        <v>426</v>
      </c>
      <c r="K184" s="6" t="s">
        <v>476</v>
      </c>
      <c r="L184" s="6"/>
      <c r="M184" s="6"/>
      <c r="N184" s="6"/>
      <c r="O184" s="6"/>
      <c r="P184" s="6"/>
      <c r="Q184" s="6"/>
      <c r="R184" s="6"/>
    </row>
    <row r="185" spans="1:18">
      <c r="A185" s="6" t="s">
        <v>864</v>
      </c>
      <c r="B185" s="6" t="s">
        <v>2503</v>
      </c>
      <c r="C185" s="7" t="s">
        <v>2504</v>
      </c>
      <c r="D185" s="6" t="s">
        <v>2599</v>
      </c>
      <c r="E185" s="6" t="s">
        <v>3109</v>
      </c>
      <c r="F185" s="8" t="s">
        <v>423</v>
      </c>
      <c r="G185" s="6" t="s">
        <v>567</v>
      </c>
      <c r="H185" s="6" t="s">
        <v>517</v>
      </c>
      <c r="I185" s="15"/>
      <c r="J185" s="6"/>
      <c r="K185" s="6"/>
      <c r="L185" s="6"/>
      <c r="M185" s="6"/>
      <c r="N185" s="6"/>
      <c r="O185" s="6"/>
      <c r="P185" s="6"/>
      <c r="Q185" s="6"/>
      <c r="R185" s="6"/>
    </row>
    <row r="186" spans="1:18">
      <c r="A186" s="6" t="s">
        <v>419</v>
      </c>
      <c r="B186" s="6" t="s">
        <v>2503</v>
      </c>
      <c r="C186" s="7" t="s">
        <v>2504</v>
      </c>
      <c r="D186" s="6" t="s">
        <v>3118</v>
      </c>
      <c r="E186" s="6" t="s">
        <v>3119</v>
      </c>
      <c r="F186" s="8" t="s">
        <v>483</v>
      </c>
      <c r="G186" s="6" t="s">
        <v>424</v>
      </c>
      <c r="H186" s="6" t="s">
        <v>425</v>
      </c>
      <c r="I186" s="15"/>
      <c r="J186" s="6" t="s">
        <v>426</v>
      </c>
      <c r="K186" s="6" t="s">
        <v>476</v>
      </c>
      <c r="L186" s="6"/>
      <c r="M186" s="6"/>
      <c r="N186" s="6"/>
      <c r="O186" s="6"/>
      <c r="P186" s="6"/>
      <c r="Q186" s="6"/>
      <c r="R186" s="6"/>
    </row>
    <row r="187" spans="1:18">
      <c r="A187" s="6" t="s">
        <v>514</v>
      </c>
      <c r="B187" s="6" t="s">
        <v>2503</v>
      </c>
      <c r="C187" s="7" t="s">
        <v>2504</v>
      </c>
      <c r="D187" s="6" t="s">
        <v>3130</v>
      </c>
      <c r="E187" s="6" t="s">
        <v>3131</v>
      </c>
      <c r="F187" s="8" t="s">
        <v>423</v>
      </c>
      <c r="G187" s="6" t="s">
        <v>424</v>
      </c>
      <c r="H187" s="6" t="s">
        <v>425</v>
      </c>
      <c r="I187" s="15"/>
      <c r="J187" s="6" t="s">
        <v>426</v>
      </c>
      <c r="K187" s="6" t="s">
        <v>476</v>
      </c>
      <c r="L187" s="6"/>
      <c r="M187" s="6"/>
      <c r="N187" s="6"/>
      <c r="O187" s="6"/>
      <c r="P187" s="6"/>
      <c r="Q187" s="6"/>
      <c r="R187" s="6"/>
    </row>
    <row r="188" spans="1:18">
      <c r="A188" s="6" t="s">
        <v>581</v>
      </c>
      <c r="B188" s="6" t="s">
        <v>2503</v>
      </c>
      <c r="C188" s="7" t="s">
        <v>2504</v>
      </c>
      <c r="D188" s="6" t="s">
        <v>2167</v>
      </c>
      <c r="E188" s="6" t="s">
        <v>3145</v>
      </c>
      <c r="F188" s="8" t="s">
        <v>483</v>
      </c>
      <c r="G188" s="6" t="s">
        <v>567</v>
      </c>
      <c r="H188" s="6" t="s">
        <v>425</v>
      </c>
      <c r="I188" s="15"/>
      <c r="J188" s="6" t="s">
        <v>426</v>
      </c>
      <c r="K188" s="6" t="s">
        <v>476</v>
      </c>
      <c r="L188" s="6"/>
      <c r="M188" s="6"/>
      <c r="N188" s="6"/>
      <c r="O188" s="6"/>
      <c r="P188" s="6"/>
      <c r="Q188" s="6"/>
      <c r="R188" s="6"/>
    </row>
    <row r="189" spans="1:18">
      <c r="A189" s="9" t="s">
        <v>581</v>
      </c>
      <c r="B189" s="9" t="s">
        <v>2503</v>
      </c>
      <c r="C189" s="7" t="s">
        <v>2504</v>
      </c>
      <c r="D189" s="9" t="s">
        <v>2505</v>
      </c>
      <c r="E189" s="9" t="s">
        <v>3159</v>
      </c>
      <c r="F189" s="9" t="s">
        <v>483</v>
      </c>
      <c r="G189" s="9" t="s">
        <v>484</v>
      </c>
      <c r="H189" s="9" t="s">
        <v>425</v>
      </c>
      <c r="I189" s="9"/>
      <c r="J189" s="16" t="s">
        <v>426</v>
      </c>
      <c r="K189" s="16" t="s">
        <v>476</v>
      </c>
      <c r="L189" s="16"/>
      <c r="M189" s="16"/>
      <c r="N189" s="16"/>
      <c r="O189" s="16"/>
      <c r="P189" s="16"/>
      <c r="Q189" s="16"/>
      <c r="R189" s="16"/>
    </row>
    <row r="190" spans="1:18">
      <c r="A190" s="6" t="s">
        <v>2115</v>
      </c>
      <c r="B190" s="6" t="s">
        <v>2503</v>
      </c>
      <c r="C190" s="7" t="s">
        <v>2504</v>
      </c>
      <c r="D190" s="6" t="s">
        <v>3161</v>
      </c>
      <c r="E190" s="6" t="s">
        <v>3162</v>
      </c>
      <c r="F190" s="8" t="s">
        <v>483</v>
      </c>
      <c r="G190" s="6" t="s">
        <v>567</v>
      </c>
      <c r="H190" s="6" t="s">
        <v>425</v>
      </c>
      <c r="I190" s="15"/>
      <c r="J190" s="6" t="s">
        <v>426</v>
      </c>
      <c r="K190" s="6" t="s">
        <v>476</v>
      </c>
      <c r="L190" s="6"/>
      <c r="M190" s="6"/>
      <c r="N190" s="6"/>
      <c r="O190" s="6"/>
      <c r="P190" s="6"/>
      <c r="Q190" s="6"/>
      <c r="R190" s="6"/>
    </row>
    <row r="191" spans="1:18">
      <c r="A191" s="6" t="s">
        <v>480</v>
      </c>
      <c r="B191" s="6" t="s">
        <v>2503</v>
      </c>
      <c r="C191" s="7" t="s">
        <v>2504</v>
      </c>
      <c r="D191" s="6" t="s">
        <v>2706</v>
      </c>
      <c r="E191" s="6" t="s">
        <v>3167</v>
      </c>
      <c r="F191" s="8" t="s">
        <v>483</v>
      </c>
      <c r="G191" s="6" t="s">
        <v>567</v>
      </c>
      <c r="H191" s="6" t="s">
        <v>425</v>
      </c>
      <c r="I191" s="15"/>
      <c r="J191" s="6" t="s">
        <v>426</v>
      </c>
      <c r="K191" s="6" t="s">
        <v>476</v>
      </c>
      <c r="L191" s="6"/>
      <c r="M191" s="6"/>
      <c r="N191" s="6"/>
      <c r="O191" s="6"/>
      <c r="P191" s="6"/>
      <c r="Q191" s="6"/>
      <c r="R191" s="6"/>
    </row>
    <row r="192" spans="1:18">
      <c r="A192" s="6" t="s">
        <v>864</v>
      </c>
      <c r="B192" s="6" t="s">
        <v>2503</v>
      </c>
      <c r="C192" s="7" t="s">
        <v>2504</v>
      </c>
      <c r="D192" s="6" t="s">
        <v>2599</v>
      </c>
      <c r="E192" s="6" t="s">
        <v>3180</v>
      </c>
      <c r="F192" s="8" t="s">
        <v>483</v>
      </c>
      <c r="G192" s="6" t="s">
        <v>567</v>
      </c>
      <c r="H192" s="6" t="s">
        <v>517</v>
      </c>
      <c r="I192" s="15"/>
      <c r="J192" s="6"/>
      <c r="K192" s="6"/>
      <c r="L192" s="6"/>
      <c r="M192" s="6"/>
      <c r="N192" s="6"/>
      <c r="O192" s="6"/>
      <c r="P192" s="6"/>
      <c r="Q192" s="6"/>
      <c r="R192" s="6"/>
    </row>
    <row r="193" spans="1:18">
      <c r="A193" s="6" t="s">
        <v>514</v>
      </c>
      <c r="B193" s="6" t="s">
        <v>2503</v>
      </c>
      <c r="C193" s="7" t="s">
        <v>2504</v>
      </c>
      <c r="D193" s="6" t="s">
        <v>2167</v>
      </c>
      <c r="E193" s="6" t="s">
        <v>3191</v>
      </c>
      <c r="F193" s="8" t="s">
        <v>423</v>
      </c>
      <c r="G193" s="6" t="s">
        <v>731</v>
      </c>
      <c r="H193" s="6" t="s">
        <v>517</v>
      </c>
      <c r="I193" s="15"/>
      <c r="J193" s="6"/>
      <c r="K193" s="6"/>
      <c r="L193" s="6"/>
      <c r="M193" s="6"/>
      <c r="N193" s="6"/>
      <c r="O193" s="6"/>
      <c r="P193" s="6"/>
      <c r="Q193" s="6"/>
      <c r="R193" s="6"/>
    </row>
    <row r="194" spans="1:18">
      <c r="A194" s="6" t="s">
        <v>514</v>
      </c>
      <c r="B194" s="6" t="s">
        <v>2503</v>
      </c>
      <c r="C194" s="7" t="s">
        <v>2504</v>
      </c>
      <c r="D194" s="6" t="s">
        <v>2599</v>
      </c>
      <c r="E194" s="6" t="s">
        <v>3200</v>
      </c>
      <c r="F194" s="8" t="s">
        <v>483</v>
      </c>
      <c r="G194" s="6" t="s">
        <v>424</v>
      </c>
      <c r="H194" s="6" t="s">
        <v>425</v>
      </c>
      <c r="I194" s="15"/>
      <c r="J194" s="6" t="s">
        <v>426</v>
      </c>
      <c r="K194" s="6" t="s">
        <v>476</v>
      </c>
      <c r="L194" s="6"/>
      <c r="M194" s="6"/>
      <c r="N194" s="6"/>
      <c r="O194" s="6"/>
      <c r="P194" s="6"/>
      <c r="Q194" s="6"/>
      <c r="R194" s="6"/>
    </row>
    <row r="195" spans="1:18">
      <c r="A195" s="6" t="s">
        <v>1301</v>
      </c>
      <c r="B195" s="6" t="s">
        <v>2503</v>
      </c>
      <c r="C195" s="7" t="s">
        <v>2504</v>
      </c>
      <c r="D195" s="6" t="s">
        <v>2167</v>
      </c>
      <c r="E195" s="6" t="s">
        <v>3207</v>
      </c>
      <c r="F195" s="8" t="s">
        <v>483</v>
      </c>
      <c r="G195" s="6" t="s">
        <v>424</v>
      </c>
      <c r="H195" s="6" t="s">
        <v>517</v>
      </c>
      <c r="I195" s="15"/>
      <c r="J195" s="6" t="s">
        <v>426</v>
      </c>
      <c r="K195" s="6" t="s">
        <v>651</v>
      </c>
      <c r="L195" s="6"/>
      <c r="M195" s="6"/>
      <c r="N195" s="6"/>
      <c r="O195" s="6"/>
      <c r="P195" s="6"/>
      <c r="Q195" s="6"/>
      <c r="R195" s="6"/>
    </row>
    <row r="196" spans="1:18">
      <c r="A196" s="6" t="s">
        <v>864</v>
      </c>
      <c r="B196" s="6" t="s">
        <v>2503</v>
      </c>
      <c r="C196" s="7" t="s">
        <v>2504</v>
      </c>
      <c r="D196" s="6" t="s">
        <v>2599</v>
      </c>
      <c r="E196" s="6" t="s">
        <v>2168</v>
      </c>
      <c r="F196" s="8" t="s">
        <v>483</v>
      </c>
      <c r="G196" s="6" t="s">
        <v>731</v>
      </c>
      <c r="H196" s="6" t="s">
        <v>517</v>
      </c>
      <c r="I196" s="15"/>
      <c r="J196" s="6" t="s">
        <v>426</v>
      </c>
      <c r="K196" s="6" t="s">
        <v>476</v>
      </c>
      <c r="L196" s="6"/>
      <c r="M196" s="6"/>
      <c r="N196" s="6"/>
      <c r="O196" s="6"/>
      <c r="P196" s="6"/>
      <c r="Q196" s="6"/>
      <c r="R196" s="6"/>
    </row>
    <row r="197" spans="1:18">
      <c r="A197" s="6" t="s">
        <v>514</v>
      </c>
      <c r="B197" s="6" t="s">
        <v>2503</v>
      </c>
      <c r="C197" s="7" t="s">
        <v>2504</v>
      </c>
      <c r="D197" s="6" t="s">
        <v>2167</v>
      </c>
      <c r="E197" s="6" t="s">
        <v>3235</v>
      </c>
      <c r="F197" s="8" t="s">
        <v>483</v>
      </c>
      <c r="G197" s="6" t="s">
        <v>424</v>
      </c>
      <c r="H197" s="6" t="s">
        <v>425</v>
      </c>
      <c r="I197" s="15"/>
      <c r="J197" s="6" t="s">
        <v>426</v>
      </c>
      <c r="K197" s="6" t="s">
        <v>476</v>
      </c>
      <c r="L197" s="6"/>
      <c r="M197" s="6"/>
      <c r="N197" s="6"/>
      <c r="O197" s="6"/>
      <c r="P197" s="6"/>
      <c r="Q197" s="6"/>
      <c r="R197" s="6"/>
    </row>
    <row r="198" spans="1:18">
      <c r="A198" s="6" t="s">
        <v>514</v>
      </c>
      <c r="B198" s="6" t="s">
        <v>2503</v>
      </c>
      <c r="C198" s="7" t="s">
        <v>2504</v>
      </c>
      <c r="D198" s="6" t="s">
        <v>2167</v>
      </c>
      <c r="E198" s="6" t="s">
        <v>3243</v>
      </c>
      <c r="F198" s="8" t="s">
        <v>483</v>
      </c>
      <c r="G198" s="6" t="s">
        <v>424</v>
      </c>
      <c r="H198" s="6" t="s">
        <v>517</v>
      </c>
      <c r="I198" s="15"/>
      <c r="J198" s="6" t="s">
        <v>426</v>
      </c>
      <c r="K198" s="6" t="s">
        <v>476</v>
      </c>
      <c r="L198" s="6"/>
      <c r="M198" s="6"/>
      <c r="N198" s="6"/>
      <c r="O198" s="6"/>
      <c r="P198" s="6"/>
      <c r="Q198" s="6"/>
      <c r="R198" s="6"/>
    </row>
    <row r="199" spans="1:18">
      <c r="A199" s="6" t="s">
        <v>547</v>
      </c>
      <c r="B199" s="6" t="s">
        <v>2503</v>
      </c>
      <c r="C199" s="7" t="s">
        <v>2504</v>
      </c>
      <c r="D199" s="6" t="s">
        <v>2167</v>
      </c>
      <c r="E199" s="6" t="s">
        <v>3251</v>
      </c>
      <c r="F199" s="8" t="s">
        <v>483</v>
      </c>
      <c r="G199" s="6" t="s">
        <v>424</v>
      </c>
      <c r="H199" s="6" t="s">
        <v>425</v>
      </c>
      <c r="I199" s="15"/>
      <c r="J199" s="6"/>
      <c r="K199" s="6"/>
      <c r="L199" s="6"/>
      <c r="M199" s="6"/>
      <c r="N199" s="6"/>
      <c r="O199" s="6"/>
      <c r="P199" s="6"/>
      <c r="Q199" s="6"/>
      <c r="R199" s="6"/>
    </row>
    <row r="200" spans="6:6">
      <c r="F200"/>
    </row>
    <row r="201" spans="6:6">
      <c r="F201"/>
    </row>
    <row r="202" spans="6:6">
      <c r="F202"/>
    </row>
    <row r="203" spans="1:6">
      <c r="A203" s="17" t="s">
        <v>3261</v>
      </c>
      <c r="B203" s="18"/>
      <c r="F203"/>
    </row>
    <row r="204" spans="1:6">
      <c r="A204" s="19" t="s">
        <v>3262</v>
      </c>
      <c r="B204" s="20">
        <f>COUNTIF(F5:F199,"Female")</f>
        <v>143</v>
      </c>
      <c r="F204"/>
    </row>
    <row r="205" spans="1:6">
      <c r="A205" s="19" t="s">
        <v>3263</v>
      </c>
      <c r="B205" s="21">
        <f>COUNTIF(F5:F199,"Male")</f>
        <v>52</v>
      </c>
      <c r="F205"/>
    </row>
    <row r="206" spans="1:6">
      <c r="A206" s="22" t="s">
        <v>3264</v>
      </c>
      <c r="B206" s="23">
        <f>SUM(B204:B205)</f>
        <v>195</v>
      </c>
      <c r="F206"/>
    </row>
    <row r="207" spans="6:6">
      <c r="F207"/>
    </row>
    <row r="208" spans="1:6">
      <c r="A208" s="24" t="s">
        <v>3265</v>
      </c>
      <c r="B208" s="24" t="s">
        <v>3266</v>
      </c>
      <c r="C208" s="24" t="s">
        <v>423</v>
      </c>
      <c r="D208" s="24" t="s">
        <v>483</v>
      </c>
      <c r="E208" s="24" t="s">
        <v>3267</v>
      </c>
      <c r="F208"/>
    </row>
    <row r="209" spans="1:6">
      <c r="A209" t="s">
        <v>420</v>
      </c>
      <c r="B209" t="s">
        <v>3268</v>
      </c>
      <c r="C209">
        <f>COUNTIF(F5:F69,"Male")</f>
        <v>19</v>
      </c>
      <c r="D209" s="25">
        <f>COUNTIF(F5:F69,"Female")</f>
        <v>46</v>
      </c>
      <c r="E209">
        <f t="shared" ref="E209:E212" si="0">SUM(C209:D209)</f>
        <v>65</v>
      </c>
      <c r="F209"/>
    </row>
    <row r="210" spans="1:6">
      <c r="A210" t="s">
        <v>420</v>
      </c>
      <c r="B210" t="s">
        <v>1608</v>
      </c>
      <c r="C210">
        <f>COUNTIF(F70:F134,"Male")</f>
        <v>22</v>
      </c>
      <c r="D210" s="25">
        <f>COUNTIF(F70:F134,"Female")</f>
        <v>43</v>
      </c>
      <c r="E210">
        <f t="shared" si="0"/>
        <v>65</v>
      </c>
      <c r="F210"/>
    </row>
    <row r="211" spans="1:6">
      <c r="A211" t="s">
        <v>2503</v>
      </c>
      <c r="B211" t="s">
        <v>2504</v>
      </c>
      <c r="C211">
        <f>COUNTIF(F135:F199,"Male")</f>
        <v>11</v>
      </c>
      <c r="D211" s="25">
        <f>COUNTIF(F135:F199,"Female")</f>
        <v>54</v>
      </c>
      <c r="E211">
        <f t="shared" si="0"/>
        <v>65</v>
      </c>
      <c r="F211"/>
    </row>
    <row r="212" spans="1:6">
      <c r="A212" s="26" t="s">
        <v>3269</v>
      </c>
      <c r="B212" s="27"/>
      <c r="C212" s="27">
        <f>(SUM(C209:C211))</f>
        <v>52</v>
      </c>
      <c r="D212" s="26">
        <f>SUM(D209:D211)</f>
        <v>143</v>
      </c>
      <c r="E212" s="26">
        <f t="shared" si="0"/>
        <v>195</v>
      </c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  <row r="305" spans="6:6">
      <c r="F305"/>
    </row>
    <row r="306" spans="6:6">
      <c r="F306"/>
    </row>
    <row r="307" spans="6:6">
      <c r="F307"/>
    </row>
    <row r="308" spans="6:6">
      <c r="F308"/>
    </row>
    <row r="309" spans="6:6">
      <c r="F309"/>
    </row>
    <row r="310" spans="6:6">
      <c r="F310"/>
    </row>
    <row r="311" spans="6:6">
      <c r="F311"/>
    </row>
    <row r="312" spans="6:6">
      <c r="F312"/>
    </row>
    <row r="313" spans="6:6">
      <c r="F313"/>
    </row>
    <row r="314" spans="6:6">
      <c r="F314"/>
    </row>
    <row r="315" spans="6:6">
      <c r="F315"/>
    </row>
    <row r="316" spans="6:6">
      <c r="F316"/>
    </row>
    <row r="317" spans="6:6">
      <c r="F317"/>
    </row>
    <row r="318" spans="6:6">
      <c r="F318"/>
    </row>
    <row r="319" spans="6:6">
      <c r="F319"/>
    </row>
    <row r="320" spans="6:6">
      <c r="F320"/>
    </row>
    <row r="321" spans="6:6">
      <c r="F321"/>
    </row>
    <row r="322" spans="6:6">
      <c r="F322"/>
    </row>
    <row r="323" spans="6:6">
      <c r="F323"/>
    </row>
    <row r="324" spans="6:6">
      <c r="F324"/>
    </row>
    <row r="325" spans="6:6">
      <c r="F325"/>
    </row>
    <row r="326" spans="6:6">
      <c r="F326"/>
    </row>
    <row r="327" spans="6:6">
      <c r="F327"/>
    </row>
    <row r="328" spans="6:6">
      <c r="F328"/>
    </row>
    <row r="329" spans="6:6">
      <c r="F329"/>
    </row>
    <row r="330" spans="6:6">
      <c r="F330"/>
    </row>
    <row r="331" spans="6:6">
      <c r="F331"/>
    </row>
    <row r="332" spans="6:6">
      <c r="F332"/>
    </row>
    <row r="333" spans="6:6">
      <c r="F333"/>
    </row>
    <row r="334" spans="6:6">
      <c r="F334"/>
    </row>
    <row r="335" spans="6:6">
      <c r="F335"/>
    </row>
    <row r="336" spans="6:6">
      <c r="F336"/>
    </row>
    <row r="337" spans="6:6">
      <c r="F337"/>
    </row>
    <row r="338" spans="6:6">
      <c r="F338"/>
    </row>
    <row r="339" spans="6:6">
      <c r="F339"/>
    </row>
    <row r="340" spans="6:6">
      <c r="F340"/>
    </row>
    <row r="341" spans="6:6">
      <c r="F341"/>
    </row>
    <row r="342" spans="6:6">
      <c r="F342"/>
    </row>
    <row r="343" spans="6:6">
      <c r="F343"/>
    </row>
    <row r="344" spans="6:6">
      <c r="F344"/>
    </row>
    <row r="345" spans="6:6">
      <c r="F345"/>
    </row>
    <row r="346" spans="6:6">
      <c r="F346"/>
    </row>
    <row r="347" spans="6:6">
      <c r="F347"/>
    </row>
    <row r="348" spans="6:6">
      <c r="F348"/>
    </row>
    <row r="349" spans="6:6">
      <c r="F349"/>
    </row>
    <row r="350" spans="6:6">
      <c r="F350"/>
    </row>
    <row r="351" spans="6:6">
      <c r="F351"/>
    </row>
    <row r="352" spans="6:6">
      <c r="F352"/>
    </row>
    <row r="353" spans="6:6">
      <c r="F353"/>
    </row>
    <row r="354" spans="6:6">
      <c r="F354"/>
    </row>
    <row r="355" spans="6:6">
      <c r="F355"/>
    </row>
    <row r="356" spans="6:6">
      <c r="F356"/>
    </row>
    <row r="357" spans="6:6">
      <c r="F357"/>
    </row>
    <row r="358" spans="6:6">
      <c r="F358"/>
    </row>
    <row r="359" spans="6:6">
      <c r="F359"/>
    </row>
    <row r="360" spans="6:6">
      <c r="F360"/>
    </row>
    <row r="361" spans="6:6">
      <c r="F361"/>
    </row>
    <row r="362" spans="6:6">
      <c r="F362"/>
    </row>
    <row r="363" spans="6:6">
      <c r="F363"/>
    </row>
    <row r="364" spans="6:6">
      <c r="F364"/>
    </row>
    <row r="365" spans="6:6">
      <c r="F365"/>
    </row>
    <row r="366" spans="6:6">
      <c r="F366"/>
    </row>
    <row r="367" spans="6:6">
      <c r="F367"/>
    </row>
    <row r="368" spans="6:6">
      <c r="F368"/>
    </row>
    <row r="369" spans="6:6">
      <c r="F369"/>
    </row>
    <row r="370" spans="6:6">
      <c r="F370"/>
    </row>
    <row r="371" spans="6:6">
      <c r="F371"/>
    </row>
    <row r="372" spans="6:6">
      <c r="F372"/>
    </row>
    <row r="373" spans="6:6">
      <c r="F373"/>
    </row>
    <row r="374" spans="6:6">
      <c r="F374"/>
    </row>
    <row r="375" spans="6:6">
      <c r="F375"/>
    </row>
    <row r="376" spans="6:6">
      <c r="F376"/>
    </row>
    <row r="377" spans="6:6">
      <c r="F377"/>
    </row>
    <row r="378" spans="6:6">
      <c r="F378"/>
    </row>
    <row r="379" spans="6:6">
      <c r="F379"/>
    </row>
    <row r="380" spans="6:6">
      <c r="F380"/>
    </row>
    <row r="381" spans="6:6">
      <c r="F381"/>
    </row>
    <row r="382" spans="6:6">
      <c r="F382"/>
    </row>
    <row r="383" spans="6:6">
      <c r="F383"/>
    </row>
    <row r="384" spans="6:6">
      <c r="F384"/>
    </row>
    <row r="385" spans="6:6">
      <c r="F385"/>
    </row>
    <row r="386" spans="6:6">
      <c r="F386"/>
    </row>
    <row r="387" spans="6:6">
      <c r="F387"/>
    </row>
    <row r="388" spans="6:6">
      <c r="F388"/>
    </row>
    <row r="389" spans="6:6">
      <c r="F389"/>
    </row>
    <row r="390" spans="6:6">
      <c r="F390"/>
    </row>
    <row r="391" spans="6:6">
      <c r="F391"/>
    </row>
    <row r="392" spans="6:6">
      <c r="F392"/>
    </row>
    <row r="393" spans="6:6">
      <c r="F393"/>
    </row>
    <row r="394" spans="6:6">
      <c r="F394"/>
    </row>
    <row r="395" spans="6:6">
      <c r="F395"/>
    </row>
    <row r="396" spans="6:6">
      <c r="F396"/>
    </row>
    <row r="397" spans="6:6">
      <c r="F397"/>
    </row>
    <row r="398" spans="6:6">
      <c r="F398"/>
    </row>
    <row r="399" spans="6:6">
      <c r="F399"/>
    </row>
    <row r="400" spans="6:6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  <row r="448" spans="6:6">
      <c r="F448"/>
    </row>
    <row r="449" spans="6:6">
      <c r="F449"/>
    </row>
    <row r="450" spans="6:6">
      <c r="F450"/>
    </row>
    <row r="451" spans="6:6">
      <c r="F451"/>
    </row>
    <row r="452" spans="6:6">
      <c r="F452"/>
    </row>
    <row r="453" spans="6:6">
      <c r="F453"/>
    </row>
    <row r="454" spans="6:6">
      <c r="F454"/>
    </row>
    <row r="455" spans="6:6">
      <c r="F455"/>
    </row>
    <row r="456" spans="6:6">
      <c r="F456"/>
    </row>
    <row r="457" spans="6:6">
      <c r="F457"/>
    </row>
    <row r="458" spans="6:6">
      <c r="F458"/>
    </row>
    <row r="459" spans="6:6">
      <c r="F459"/>
    </row>
    <row r="460" spans="6:6">
      <c r="F460"/>
    </row>
    <row r="461" spans="6:6">
      <c r="F461"/>
    </row>
    <row r="462" spans="6:6">
      <c r="F462"/>
    </row>
    <row r="463" spans="6:6">
      <c r="F463"/>
    </row>
    <row r="464" spans="6:6">
      <c r="F464"/>
    </row>
    <row r="465" spans="6:6">
      <c r="F465"/>
    </row>
    <row r="466" spans="6:6">
      <c r="F466"/>
    </row>
    <row r="467" spans="6:6">
      <c r="F467"/>
    </row>
    <row r="468" spans="6:6">
      <c r="F468"/>
    </row>
    <row r="469" spans="6:6">
      <c r="F469"/>
    </row>
    <row r="470" spans="6:6">
      <c r="F470"/>
    </row>
    <row r="471" spans="6:6">
      <c r="F471"/>
    </row>
    <row r="472" spans="6:6">
      <c r="F472"/>
    </row>
    <row r="473" spans="6:6">
      <c r="F473"/>
    </row>
    <row r="474" spans="6:6">
      <c r="F474"/>
    </row>
    <row r="475" spans="6:6">
      <c r="F475"/>
    </row>
    <row r="476" spans="6:6">
      <c r="F476"/>
    </row>
    <row r="477" spans="6:6">
      <c r="F477"/>
    </row>
    <row r="478" spans="6:6">
      <c r="F478"/>
    </row>
    <row r="479" spans="6:6">
      <c r="F479"/>
    </row>
    <row r="480" spans="6:6">
      <c r="F480"/>
    </row>
    <row r="481" spans="6:6">
      <c r="F481"/>
    </row>
    <row r="482" spans="6:6">
      <c r="F482"/>
    </row>
    <row r="483" spans="6:6">
      <c r="F483"/>
    </row>
    <row r="484" spans="6:6">
      <c r="F484"/>
    </row>
    <row r="485" spans="6:6">
      <c r="F485"/>
    </row>
    <row r="486" spans="6:6">
      <c r="F486"/>
    </row>
    <row r="487" spans="6:6">
      <c r="F487"/>
    </row>
    <row r="488" spans="6:6">
      <c r="F488"/>
    </row>
    <row r="489" spans="6:6">
      <c r="F489"/>
    </row>
    <row r="490" spans="6:6">
      <c r="F490"/>
    </row>
    <row r="491" spans="6:6">
      <c r="F491"/>
    </row>
    <row r="492" spans="6:6">
      <c r="F492"/>
    </row>
    <row r="493" spans="6:6">
      <c r="F493"/>
    </row>
    <row r="494" spans="6:6">
      <c r="F494"/>
    </row>
    <row r="495" spans="6:6">
      <c r="F495"/>
    </row>
    <row r="496" spans="6:6">
      <c r="F496"/>
    </row>
    <row r="497" spans="6:6">
      <c r="F497"/>
    </row>
    <row r="498" spans="6:6">
      <c r="F498"/>
    </row>
    <row r="499" spans="6:6">
      <c r="F499"/>
    </row>
    <row r="500" spans="6:6">
      <c r="F500"/>
    </row>
    <row r="501" spans="6:6">
      <c r="F501"/>
    </row>
    <row r="502" spans="6:6">
      <c r="F502"/>
    </row>
    <row r="503" spans="6:6">
      <c r="F503"/>
    </row>
    <row r="504" spans="6:6">
      <c r="F504"/>
    </row>
    <row r="505" spans="6:6">
      <c r="F505"/>
    </row>
    <row r="506" spans="6:6">
      <c r="F506"/>
    </row>
    <row r="507" spans="6:6">
      <c r="F507"/>
    </row>
    <row r="508" spans="6:6">
      <c r="F508"/>
    </row>
    <row r="509" spans="6:6">
      <c r="F509"/>
    </row>
    <row r="510" spans="6:6">
      <c r="F510"/>
    </row>
    <row r="511" spans="6:6">
      <c r="F511"/>
    </row>
    <row r="512" spans="6:6">
      <c r="F512"/>
    </row>
    <row r="513" spans="6:6">
      <c r="F513"/>
    </row>
    <row r="514" spans="6:6">
      <c r="F514"/>
    </row>
    <row r="515" spans="6:6">
      <c r="F515"/>
    </row>
    <row r="516" spans="6:6">
      <c r="F516"/>
    </row>
    <row r="517" spans="6:6">
      <c r="F517"/>
    </row>
    <row r="518" spans="6:6">
      <c r="F518"/>
    </row>
    <row r="519" spans="6:6">
      <c r="F519"/>
    </row>
    <row r="520" spans="6:6">
      <c r="F520"/>
    </row>
    <row r="521" spans="6:6">
      <c r="F521"/>
    </row>
    <row r="522" spans="6:6">
      <c r="F522"/>
    </row>
    <row r="523" spans="6:6">
      <c r="F523"/>
    </row>
    <row r="524" spans="6:6">
      <c r="F524"/>
    </row>
    <row r="525" spans="6:6">
      <c r="F525"/>
    </row>
    <row r="526" spans="6:6">
      <c r="F526"/>
    </row>
    <row r="527" spans="6:6">
      <c r="F527"/>
    </row>
    <row r="528" spans="6:6">
      <c r="F528"/>
    </row>
    <row r="529" spans="6:6">
      <c r="F529"/>
    </row>
    <row r="530" spans="6:6">
      <c r="F530"/>
    </row>
    <row r="531" spans="6:6">
      <c r="F531"/>
    </row>
    <row r="532" spans="6:6">
      <c r="F532"/>
    </row>
    <row r="533" spans="6:6">
      <c r="F533"/>
    </row>
    <row r="534" spans="6:6">
      <c r="F534"/>
    </row>
    <row r="535" spans="6:6">
      <c r="F535"/>
    </row>
    <row r="536" spans="6:6">
      <c r="F536"/>
    </row>
    <row r="537" spans="6:6">
      <c r="F537"/>
    </row>
    <row r="538" spans="6:6">
      <c r="F538"/>
    </row>
    <row r="539" spans="6:6">
      <c r="F539"/>
    </row>
    <row r="540" spans="6:6">
      <c r="F540"/>
    </row>
    <row r="541" spans="6:6">
      <c r="F541"/>
    </row>
    <row r="542" spans="6:6">
      <c r="F542"/>
    </row>
    <row r="543" spans="6:6">
      <c r="F543"/>
    </row>
    <row r="544" spans="6:6">
      <c r="F544"/>
    </row>
    <row r="545" spans="6:6">
      <c r="F545"/>
    </row>
    <row r="546" spans="6:6">
      <c r="F546"/>
    </row>
    <row r="547" spans="6:6">
      <c r="F547"/>
    </row>
    <row r="548" spans="6:6">
      <c r="F548"/>
    </row>
    <row r="549" spans="6:6">
      <c r="F549"/>
    </row>
    <row r="550" spans="6:6">
      <c r="F550"/>
    </row>
    <row r="551" spans="6:6">
      <c r="F551"/>
    </row>
    <row r="552" spans="6:6">
      <c r="F552"/>
    </row>
    <row r="553" spans="6:6">
      <c r="F553"/>
    </row>
    <row r="554" spans="6:6">
      <c r="F554"/>
    </row>
    <row r="555" spans="6:6">
      <c r="F555"/>
    </row>
    <row r="556" spans="6:6">
      <c r="F556"/>
    </row>
    <row r="557" spans="6:6">
      <c r="F557"/>
    </row>
    <row r="558" spans="6:6">
      <c r="F558"/>
    </row>
    <row r="559" spans="6:6">
      <c r="F559"/>
    </row>
    <row r="560" spans="6:6">
      <c r="F560"/>
    </row>
    <row r="561" spans="6:6">
      <c r="F561"/>
    </row>
    <row r="562" spans="6:6">
      <c r="F562"/>
    </row>
    <row r="563" spans="6:6">
      <c r="F563"/>
    </row>
    <row r="564" spans="6:6">
      <c r="F564"/>
    </row>
    <row r="565" spans="6:6">
      <c r="F565"/>
    </row>
    <row r="566" spans="6:6">
      <c r="F566"/>
    </row>
    <row r="567" spans="6:6">
      <c r="F567"/>
    </row>
    <row r="568" spans="6:6">
      <c r="F568"/>
    </row>
    <row r="569" spans="6:6">
      <c r="F569"/>
    </row>
    <row r="570" spans="6:6">
      <c r="F570"/>
    </row>
    <row r="571" spans="6:6">
      <c r="F571"/>
    </row>
    <row r="572" spans="6:6">
      <c r="F572"/>
    </row>
    <row r="573" spans="6:6">
      <c r="F573"/>
    </row>
    <row r="574" spans="6:6">
      <c r="F574"/>
    </row>
    <row r="575" spans="6:6">
      <c r="F575"/>
    </row>
    <row r="576" spans="6:6">
      <c r="F576"/>
    </row>
    <row r="577" spans="6:6">
      <c r="F577"/>
    </row>
    <row r="578" spans="6:6">
      <c r="F578"/>
    </row>
    <row r="579" spans="6:6">
      <c r="F579"/>
    </row>
    <row r="580" spans="6:6">
      <c r="F580"/>
    </row>
    <row r="581" spans="6:6">
      <c r="F581"/>
    </row>
    <row r="582" spans="6:6">
      <c r="F582"/>
    </row>
    <row r="583" spans="6:6">
      <c r="F583"/>
    </row>
    <row r="584" spans="6:6">
      <c r="F584"/>
    </row>
    <row r="585" spans="6:6">
      <c r="F585"/>
    </row>
    <row r="586" spans="6:6">
      <c r="F586"/>
    </row>
    <row r="587" spans="6:6">
      <c r="F587"/>
    </row>
    <row r="588" spans="6:6">
      <c r="F588"/>
    </row>
    <row r="589" spans="6:6">
      <c r="F589"/>
    </row>
    <row r="590" spans="6:6">
      <c r="F590"/>
    </row>
    <row r="591" spans="6:6">
      <c r="F591"/>
    </row>
    <row r="592" spans="6:6">
      <c r="F592"/>
    </row>
    <row r="593" spans="6:6">
      <c r="F593"/>
    </row>
    <row r="594" spans="6:6">
      <c r="F594"/>
    </row>
    <row r="595" spans="6:6">
      <c r="F595"/>
    </row>
    <row r="596" spans="6:6">
      <c r="F596"/>
    </row>
    <row r="597" spans="6:6">
      <c r="F597"/>
    </row>
    <row r="598" spans="6:6">
      <c r="F598"/>
    </row>
    <row r="599" spans="6:6">
      <c r="F599"/>
    </row>
    <row r="600" spans="6:6">
      <c r="F600"/>
    </row>
    <row r="601" spans="6:6">
      <c r="F601"/>
    </row>
    <row r="602" spans="6:6">
      <c r="F602"/>
    </row>
    <row r="603" spans="6:6">
      <c r="F603"/>
    </row>
    <row r="604" spans="6:6">
      <c r="F604"/>
    </row>
    <row r="605" spans="6:6">
      <c r="F605"/>
    </row>
    <row r="606" spans="6:6">
      <c r="F606"/>
    </row>
    <row r="607" spans="6:6">
      <c r="F607"/>
    </row>
    <row r="608" spans="6:6">
      <c r="F608"/>
    </row>
    <row r="609" spans="6:6">
      <c r="F609"/>
    </row>
    <row r="610" spans="6:6">
      <c r="F610"/>
    </row>
    <row r="611" spans="6:6">
      <c r="F611"/>
    </row>
    <row r="612" spans="6:6">
      <c r="F612"/>
    </row>
    <row r="613" spans="6:6">
      <c r="F613"/>
    </row>
    <row r="614" spans="6:6">
      <c r="F614"/>
    </row>
    <row r="615" spans="6:6">
      <c r="F615"/>
    </row>
    <row r="616" spans="6:6">
      <c r="F616"/>
    </row>
    <row r="617" spans="6:6">
      <c r="F617"/>
    </row>
    <row r="618" spans="6:6">
      <c r="F618"/>
    </row>
    <row r="619" spans="6:6">
      <c r="F619"/>
    </row>
    <row r="620" spans="6:6">
      <c r="F620"/>
    </row>
    <row r="621" spans="6:6">
      <c r="F621"/>
    </row>
    <row r="622" spans="6:6">
      <c r="F622"/>
    </row>
    <row r="623" spans="6:6">
      <c r="F623"/>
    </row>
    <row r="624" spans="6:6">
      <c r="F624"/>
    </row>
    <row r="625" spans="6:6">
      <c r="F625"/>
    </row>
    <row r="626" spans="6:6">
      <c r="F626"/>
    </row>
    <row r="627" spans="6:6">
      <c r="F627"/>
    </row>
    <row r="628" spans="6:6">
      <c r="F628"/>
    </row>
    <row r="629" spans="6:6">
      <c r="F629"/>
    </row>
    <row r="630" spans="6:6">
      <c r="F630"/>
    </row>
    <row r="631" spans="6:6">
      <c r="F631"/>
    </row>
    <row r="632" spans="6:6">
      <c r="F632"/>
    </row>
    <row r="633" spans="6:6">
      <c r="F633"/>
    </row>
    <row r="634" spans="6:6">
      <c r="F634"/>
    </row>
    <row r="635" spans="6:6">
      <c r="F635"/>
    </row>
    <row r="636" spans="6:6">
      <c r="F636"/>
    </row>
    <row r="637" spans="6:6">
      <c r="F637"/>
    </row>
    <row r="638" spans="6:6">
      <c r="F638"/>
    </row>
    <row r="639" spans="6:6">
      <c r="F639"/>
    </row>
    <row r="640" spans="6:6">
      <c r="F640"/>
    </row>
    <row r="641" spans="6:6">
      <c r="F641"/>
    </row>
    <row r="642" spans="6:6">
      <c r="F642"/>
    </row>
    <row r="643" spans="6:6">
      <c r="F643"/>
    </row>
    <row r="644" spans="6:6">
      <c r="F644"/>
    </row>
    <row r="645" spans="6:6">
      <c r="F645"/>
    </row>
    <row r="646" spans="6:6">
      <c r="F646"/>
    </row>
    <row r="647" spans="6:6">
      <c r="F647"/>
    </row>
    <row r="648" spans="6:6">
      <c r="F648"/>
    </row>
    <row r="649" spans="6:6">
      <c r="F649"/>
    </row>
    <row r="650" spans="6:6">
      <c r="F650"/>
    </row>
    <row r="651" spans="6:6">
      <c r="F651"/>
    </row>
    <row r="652" spans="6:6">
      <c r="F652"/>
    </row>
    <row r="653" spans="6:6">
      <c r="F653"/>
    </row>
    <row r="654" spans="6:6">
      <c r="F654"/>
    </row>
    <row r="655" spans="6:6">
      <c r="F655"/>
    </row>
    <row r="656" spans="6:6">
      <c r="F656"/>
    </row>
    <row r="657" spans="6:6">
      <c r="F657"/>
    </row>
    <row r="658" spans="6:6">
      <c r="F658"/>
    </row>
    <row r="659" spans="6:6">
      <c r="F659"/>
    </row>
    <row r="660" spans="6:6">
      <c r="F660"/>
    </row>
    <row r="661" spans="6:6">
      <c r="F661"/>
    </row>
    <row r="662" spans="6:6">
      <c r="F662"/>
    </row>
    <row r="663" spans="6:6">
      <c r="F663"/>
    </row>
    <row r="664" spans="6:6">
      <c r="F664"/>
    </row>
    <row r="665" spans="6:6">
      <c r="F665"/>
    </row>
    <row r="666" spans="6:6">
      <c r="F666"/>
    </row>
    <row r="667" spans="6:6">
      <c r="F667"/>
    </row>
    <row r="668" spans="6:6">
      <c r="F668"/>
    </row>
    <row r="669" spans="6:6">
      <c r="F669"/>
    </row>
    <row r="670" spans="6:6">
      <c r="F670"/>
    </row>
    <row r="671" spans="6:6">
      <c r="F671"/>
    </row>
    <row r="672" spans="6:6">
      <c r="F672"/>
    </row>
    <row r="673" spans="6:6">
      <c r="F673"/>
    </row>
    <row r="674" spans="6:6">
      <c r="F674"/>
    </row>
    <row r="675" spans="6:6">
      <c r="F675"/>
    </row>
    <row r="676" spans="6:6">
      <c r="F676"/>
    </row>
    <row r="677" spans="6:6">
      <c r="F677"/>
    </row>
    <row r="678" spans="6:6">
      <c r="F678"/>
    </row>
    <row r="679" spans="6:6">
      <c r="F679"/>
    </row>
    <row r="680" spans="6:6">
      <c r="F680"/>
    </row>
    <row r="681" spans="6:6">
      <c r="F681"/>
    </row>
    <row r="682" spans="6:6">
      <c r="F682"/>
    </row>
    <row r="683" spans="6:6">
      <c r="F683"/>
    </row>
    <row r="684" spans="6:6">
      <c r="F684"/>
    </row>
    <row r="685" spans="6:6">
      <c r="F685"/>
    </row>
    <row r="686" spans="6:6">
      <c r="F686"/>
    </row>
    <row r="687" spans="6:6">
      <c r="F687"/>
    </row>
    <row r="688" spans="6:6">
      <c r="F688"/>
    </row>
    <row r="689" spans="6:6">
      <c r="F689"/>
    </row>
    <row r="690" spans="6:6">
      <c r="F690"/>
    </row>
    <row r="691" spans="6:6">
      <c r="F691"/>
    </row>
    <row r="692" spans="6:6">
      <c r="F692"/>
    </row>
    <row r="693" spans="6:6">
      <c r="F693"/>
    </row>
    <row r="694" spans="6:6">
      <c r="F694"/>
    </row>
    <row r="695" spans="6:6">
      <c r="F695"/>
    </row>
    <row r="696" spans="6:6">
      <c r="F696"/>
    </row>
    <row r="697" spans="6:6">
      <c r="F697"/>
    </row>
    <row r="698" spans="6:6">
      <c r="F698"/>
    </row>
    <row r="699" spans="6:6">
      <c r="F699"/>
    </row>
    <row r="700" spans="6:6">
      <c r="F700"/>
    </row>
    <row r="701" spans="6:6">
      <c r="F701"/>
    </row>
    <row r="702" spans="6:6">
      <c r="F702"/>
    </row>
    <row r="703" spans="6:6">
      <c r="F703"/>
    </row>
    <row r="704" spans="6:6">
      <c r="F704"/>
    </row>
    <row r="705" spans="6:6">
      <c r="F705"/>
    </row>
    <row r="706" spans="6:6">
      <c r="F706"/>
    </row>
    <row r="707" spans="6:6">
      <c r="F707"/>
    </row>
    <row r="708" spans="6:6">
      <c r="F708"/>
    </row>
    <row r="709" spans="6:6">
      <c r="F709"/>
    </row>
    <row r="710" spans="6:6">
      <c r="F710"/>
    </row>
    <row r="711" spans="6:6">
      <c r="F711"/>
    </row>
    <row r="712" spans="6:6">
      <c r="F712"/>
    </row>
    <row r="713" spans="6:6">
      <c r="F713"/>
    </row>
    <row r="714" spans="6:6">
      <c r="F714"/>
    </row>
    <row r="715" spans="6:6">
      <c r="F715"/>
    </row>
    <row r="716" spans="6:6">
      <c r="F716"/>
    </row>
    <row r="717" spans="6:6">
      <c r="F717"/>
    </row>
    <row r="718" spans="6:6">
      <c r="F718"/>
    </row>
    <row r="719" spans="6:6">
      <c r="F719"/>
    </row>
    <row r="720" spans="6:6">
      <c r="F720"/>
    </row>
    <row r="721" spans="6:6">
      <c r="F721"/>
    </row>
    <row r="722" spans="6:6">
      <c r="F722"/>
    </row>
    <row r="723" spans="6:6">
      <c r="F723"/>
    </row>
    <row r="724" spans="6:6">
      <c r="F724"/>
    </row>
    <row r="725" spans="6:6">
      <c r="F725"/>
    </row>
    <row r="726" spans="6:6">
      <c r="F726"/>
    </row>
    <row r="727" spans="6:6">
      <c r="F727"/>
    </row>
    <row r="728" spans="6:6">
      <c r="F728"/>
    </row>
    <row r="729" spans="6:6">
      <c r="F729"/>
    </row>
    <row r="730" spans="6:6">
      <c r="F730"/>
    </row>
    <row r="731" spans="6:6">
      <c r="F731"/>
    </row>
    <row r="732" spans="6:6">
      <c r="F732"/>
    </row>
    <row r="733" spans="6:6">
      <c r="F733"/>
    </row>
    <row r="734" spans="6:6">
      <c r="F734"/>
    </row>
    <row r="735" spans="6:6">
      <c r="F735"/>
    </row>
    <row r="736" spans="6:6">
      <c r="F736"/>
    </row>
    <row r="737" spans="6:6">
      <c r="F737"/>
    </row>
    <row r="738" spans="6:6">
      <c r="F738"/>
    </row>
    <row r="739" spans="6:6">
      <c r="F739"/>
    </row>
    <row r="740" spans="6:6">
      <c r="F740"/>
    </row>
    <row r="741" spans="6:6">
      <c r="F741"/>
    </row>
    <row r="742" spans="6:6">
      <c r="F742"/>
    </row>
    <row r="743" spans="6:6">
      <c r="F743"/>
    </row>
    <row r="744" spans="6:6">
      <c r="F744"/>
    </row>
    <row r="745" spans="6:6">
      <c r="F745"/>
    </row>
    <row r="746" spans="6:6">
      <c r="F746"/>
    </row>
    <row r="747" spans="6:6">
      <c r="F747"/>
    </row>
    <row r="748" spans="6:6">
      <c r="F748"/>
    </row>
    <row r="749" spans="6:6">
      <c r="F749"/>
    </row>
    <row r="750" spans="6:6">
      <c r="F750"/>
    </row>
    <row r="751" spans="6:6">
      <c r="F751"/>
    </row>
    <row r="752" spans="6:6">
      <c r="F752"/>
    </row>
    <row r="753" spans="6:6">
      <c r="F753"/>
    </row>
    <row r="754" spans="6:6">
      <c r="F754"/>
    </row>
    <row r="755" spans="6:6">
      <c r="F755"/>
    </row>
    <row r="756" spans="6:6">
      <c r="F756"/>
    </row>
    <row r="757" spans="6:6">
      <c r="F757"/>
    </row>
    <row r="758" spans="6:6">
      <c r="F758"/>
    </row>
    <row r="759" spans="6:6">
      <c r="F759"/>
    </row>
    <row r="760" spans="6:6">
      <c r="F760"/>
    </row>
    <row r="761" spans="6:6">
      <c r="F761"/>
    </row>
    <row r="762" spans="6:6">
      <c r="F762"/>
    </row>
    <row r="763" spans="6:6">
      <c r="F763"/>
    </row>
    <row r="764" spans="6:6">
      <c r="F764"/>
    </row>
    <row r="765" spans="6:6">
      <c r="F765"/>
    </row>
    <row r="766" spans="6:6">
      <c r="F766"/>
    </row>
    <row r="767" spans="6:6">
      <c r="F767"/>
    </row>
    <row r="768" spans="6:6">
      <c r="F768"/>
    </row>
    <row r="769" spans="6:6">
      <c r="F769"/>
    </row>
    <row r="770" spans="6:6">
      <c r="F770"/>
    </row>
    <row r="771" spans="6:6">
      <c r="F771"/>
    </row>
    <row r="772" spans="6:6">
      <c r="F772"/>
    </row>
    <row r="773" spans="6:6">
      <c r="F773"/>
    </row>
    <row r="774" spans="6:6">
      <c r="F774"/>
    </row>
    <row r="775" spans="6:6">
      <c r="F775"/>
    </row>
    <row r="776" spans="6:6">
      <c r="F776"/>
    </row>
    <row r="777" spans="6:6">
      <c r="F777"/>
    </row>
    <row r="778" spans="6:6">
      <c r="F778"/>
    </row>
    <row r="779" spans="6:6">
      <c r="F779"/>
    </row>
    <row r="780" spans="6:6">
      <c r="F780"/>
    </row>
    <row r="781" spans="6:6">
      <c r="F781"/>
    </row>
    <row r="782" spans="6:6">
      <c r="F782"/>
    </row>
    <row r="783" spans="6:6">
      <c r="F783"/>
    </row>
    <row r="784" spans="6:6">
      <c r="F784"/>
    </row>
    <row r="785" spans="6:6">
      <c r="F785"/>
    </row>
    <row r="786" spans="6:6">
      <c r="F786"/>
    </row>
    <row r="787" spans="6:6">
      <c r="F787"/>
    </row>
    <row r="788" spans="6:6">
      <c r="F788"/>
    </row>
    <row r="789" spans="6:6">
      <c r="F789"/>
    </row>
    <row r="790" spans="6:6">
      <c r="F790"/>
    </row>
    <row r="791" spans="6:6">
      <c r="F791"/>
    </row>
    <row r="792" spans="6:6">
      <c r="F792"/>
    </row>
    <row r="793" spans="6:6">
      <c r="F793"/>
    </row>
    <row r="794" spans="6:6">
      <c r="F794"/>
    </row>
    <row r="795" spans="6:6">
      <c r="F795"/>
    </row>
    <row r="796" spans="6:6">
      <c r="F796"/>
    </row>
    <row r="797" spans="6:6">
      <c r="F797"/>
    </row>
    <row r="798" spans="6:6">
      <c r="F798"/>
    </row>
    <row r="799" spans="6:6">
      <c r="F799"/>
    </row>
    <row r="800" spans="6:6">
      <c r="F800"/>
    </row>
    <row r="801" spans="6:6">
      <c r="F801"/>
    </row>
    <row r="802" spans="6:6">
      <c r="F802"/>
    </row>
    <row r="803" spans="6:6">
      <c r="F803"/>
    </row>
    <row r="804" spans="6:6">
      <c r="F804"/>
    </row>
    <row r="805" spans="6:6">
      <c r="F805"/>
    </row>
    <row r="806" spans="6:6">
      <c r="F806"/>
    </row>
    <row r="807" spans="6:6">
      <c r="F807"/>
    </row>
    <row r="808" spans="6:6">
      <c r="F808"/>
    </row>
    <row r="809" spans="6:6">
      <c r="F809"/>
    </row>
    <row r="810" spans="6:6">
      <c r="F810"/>
    </row>
    <row r="811" spans="6:6">
      <c r="F811"/>
    </row>
    <row r="812" spans="6:6">
      <c r="F812"/>
    </row>
    <row r="813" spans="6:6">
      <c r="F813"/>
    </row>
    <row r="814" spans="6:6">
      <c r="F814"/>
    </row>
    <row r="815" spans="6:6">
      <c r="F815"/>
    </row>
    <row r="816" spans="6:6">
      <c r="F816"/>
    </row>
    <row r="817" spans="6:6">
      <c r="F817"/>
    </row>
    <row r="818" spans="6:6">
      <c r="F818"/>
    </row>
    <row r="819" spans="6:6">
      <c r="F819"/>
    </row>
    <row r="820" spans="6:6">
      <c r="F820"/>
    </row>
    <row r="821" spans="6:6">
      <c r="F821"/>
    </row>
    <row r="822" spans="6:6">
      <c r="F822"/>
    </row>
    <row r="823" spans="6:6">
      <c r="F823"/>
    </row>
    <row r="824" spans="6:6">
      <c r="F824"/>
    </row>
    <row r="825" spans="6:6">
      <c r="F825"/>
    </row>
    <row r="826" spans="6:6">
      <c r="F826"/>
    </row>
    <row r="827" spans="6:6">
      <c r="F827"/>
    </row>
    <row r="828" spans="6:6">
      <c r="F828"/>
    </row>
    <row r="829" spans="6:6">
      <c r="F829"/>
    </row>
    <row r="830" spans="6:6">
      <c r="F830"/>
    </row>
    <row r="831" spans="6:6">
      <c r="F831"/>
    </row>
    <row r="832" spans="6:6">
      <c r="F832"/>
    </row>
    <row r="833" spans="6:6">
      <c r="F833"/>
    </row>
    <row r="834" spans="6:6">
      <c r="F834"/>
    </row>
    <row r="835" spans="6:6">
      <c r="F835"/>
    </row>
    <row r="836" spans="6:6">
      <c r="F836"/>
    </row>
    <row r="837" spans="6:6">
      <c r="F837"/>
    </row>
    <row r="838" spans="6:6">
      <c r="F838"/>
    </row>
    <row r="839" spans="6:6">
      <c r="F839"/>
    </row>
    <row r="840" spans="6:6">
      <c r="F840"/>
    </row>
    <row r="841" spans="6:6">
      <c r="F841"/>
    </row>
    <row r="842" spans="6:6">
      <c r="F842"/>
    </row>
    <row r="843" spans="6:6">
      <c r="F843"/>
    </row>
    <row r="844" spans="6:6">
      <c r="F844"/>
    </row>
    <row r="845" spans="6:6">
      <c r="F845"/>
    </row>
    <row r="846" spans="6:6">
      <c r="F846"/>
    </row>
    <row r="847" spans="6:6">
      <c r="F847"/>
    </row>
    <row r="848" spans="6:6">
      <c r="F848"/>
    </row>
    <row r="849" spans="6:6">
      <c r="F849"/>
    </row>
    <row r="850" spans="6:6">
      <c r="F850"/>
    </row>
    <row r="851" spans="6:6">
      <c r="F851"/>
    </row>
    <row r="852" spans="6:6">
      <c r="F852"/>
    </row>
    <row r="853" spans="6:6">
      <c r="F853"/>
    </row>
    <row r="854" spans="6:6">
      <c r="F854"/>
    </row>
    <row r="855" spans="6:6">
      <c r="F855"/>
    </row>
    <row r="856" spans="6:6">
      <c r="F856"/>
    </row>
    <row r="857" spans="6:6">
      <c r="F857"/>
    </row>
    <row r="858" spans="6:6">
      <c r="F858"/>
    </row>
    <row r="859" spans="6:6">
      <c r="F859"/>
    </row>
    <row r="860" spans="6:6">
      <c r="F860"/>
    </row>
    <row r="861" spans="6:6">
      <c r="F861"/>
    </row>
    <row r="862" spans="6:6">
      <c r="F862"/>
    </row>
    <row r="863" spans="6:6">
      <c r="F863"/>
    </row>
    <row r="864" spans="6:6">
      <c r="F864"/>
    </row>
    <row r="865" spans="6:6">
      <c r="F865"/>
    </row>
    <row r="866" spans="6:6">
      <c r="F866"/>
    </row>
    <row r="867" spans="6:6">
      <c r="F867"/>
    </row>
    <row r="868" spans="6:6">
      <c r="F868"/>
    </row>
    <row r="869" spans="6:6">
      <c r="F869"/>
    </row>
    <row r="870" spans="6:6">
      <c r="F870"/>
    </row>
    <row r="871" spans="6:6">
      <c r="F871"/>
    </row>
    <row r="872" spans="6:6">
      <c r="F872"/>
    </row>
    <row r="873" spans="6:6">
      <c r="F873"/>
    </row>
    <row r="874" spans="6:6">
      <c r="F874"/>
    </row>
    <row r="875" spans="6:6">
      <c r="F875"/>
    </row>
    <row r="876" spans="6:6">
      <c r="F876"/>
    </row>
    <row r="877" spans="6:6">
      <c r="F877"/>
    </row>
    <row r="878" spans="6:6">
      <c r="F878"/>
    </row>
    <row r="879" spans="6:6">
      <c r="F879"/>
    </row>
    <row r="880" spans="6:6">
      <c r="F880"/>
    </row>
    <row r="881" spans="6:6">
      <c r="F881"/>
    </row>
    <row r="882" spans="6:6">
      <c r="F882"/>
    </row>
    <row r="883" spans="6:6">
      <c r="F883"/>
    </row>
    <row r="884" spans="6:6">
      <c r="F884"/>
    </row>
    <row r="885" spans="6:6">
      <c r="F885"/>
    </row>
    <row r="886" spans="6:6">
      <c r="F886"/>
    </row>
    <row r="887" spans="6:6">
      <c r="F887"/>
    </row>
    <row r="888" spans="6:6">
      <c r="F888"/>
    </row>
    <row r="889" spans="6:6">
      <c r="F889"/>
    </row>
    <row r="890" spans="6:6">
      <c r="F890"/>
    </row>
    <row r="891" spans="6:6">
      <c r="F891"/>
    </row>
    <row r="892" spans="6:6">
      <c r="F892"/>
    </row>
    <row r="893" spans="6:6">
      <c r="F893"/>
    </row>
    <row r="894" spans="6:6">
      <c r="F894"/>
    </row>
    <row r="895" spans="6:6">
      <c r="F895"/>
    </row>
    <row r="896" spans="6:6">
      <c r="F896"/>
    </row>
    <row r="897" spans="6:6">
      <c r="F897"/>
    </row>
    <row r="898" spans="6:6">
      <c r="F898"/>
    </row>
    <row r="899" spans="6:6">
      <c r="F899"/>
    </row>
    <row r="900" spans="6:6">
      <c r="F900"/>
    </row>
    <row r="901" spans="6:6">
      <c r="F901"/>
    </row>
    <row r="902" spans="6:6">
      <c r="F902"/>
    </row>
    <row r="903" spans="6:6">
      <c r="F903"/>
    </row>
    <row r="904" spans="6:6">
      <c r="F904"/>
    </row>
    <row r="905" spans="6:6">
      <c r="F905"/>
    </row>
    <row r="906" spans="6:6">
      <c r="F906"/>
    </row>
    <row r="907" spans="6:6">
      <c r="F907"/>
    </row>
    <row r="908" spans="6:6">
      <c r="F908"/>
    </row>
    <row r="909" spans="6:6">
      <c r="F909"/>
    </row>
    <row r="910" spans="6:6">
      <c r="F910"/>
    </row>
    <row r="911" spans="6:6">
      <c r="F911"/>
    </row>
    <row r="912" spans="6:6">
      <c r="F912"/>
    </row>
    <row r="913" spans="6:6">
      <c r="F913"/>
    </row>
    <row r="914" spans="6:6">
      <c r="F914"/>
    </row>
    <row r="915" spans="6:6">
      <c r="F915"/>
    </row>
    <row r="916" spans="6:6">
      <c r="F916"/>
    </row>
    <row r="917" spans="6:6">
      <c r="F917"/>
    </row>
    <row r="918" spans="6:6">
      <c r="F918"/>
    </row>
    <row r="919" spans="6:6">
      <c r="F919"/>
    </row>
    <row r="920" spans="6:6">
      <c r="F920"/>
    </row>
    <row r="921" spans="6:6">
      <c r="F921"/>
    </row>
    <row r="922" spans="6:6">
      <c r="F922"/>
    </row>
    <row r="923" spans="6:6">
      <c r="F923"/>
    </row>
    <row r="924" spans="6:6">
      <c r="F924"/>
    </row>
    <row r="925" spans="6:6">
      <c r="F925"/>
    </row>
    <row r="926" spans="6:6">
      <c r="F926"/>
    </row>
    <row r="927" spans="6:6">
      <c r="F927"/>
    </row>
    <row r="928" spans="6:6">
      <c r="F928"/>
    </row>
    <row r="929" spans="6:6">
      <c r="F929"/>
    </row>
    <row r="930" spans="6:6">
      <c r="F930"/>
    </row>
    <row r="931" spans="6:6">
      <c r="F931"/>
    </row>
    <row r="932" spans="6:6">
      <c r="F932"/>
    </row>
    <row r="933" spans="6:6">
      <c r="F933"/>
    </row>
    <row r="934" spans="6:6">
      <c r="F934"/>
    </row>
    <row r="935" spans="6:6">
      <c r="F935"/>
    </row>
    <row r="936" spans="6:6">
      <c r="F936"/>
    </row>
    <row r="937" spans="6:6">
      <c r="F937"/>
    </row>
    <row r="938" spans="6:6">
      <c r="F938"/>
    </row>
    <row r="939" spans="6:6">
      <c r="F939"/>
    </row>
    <row r="940" spans="6:6">
      <c r="F940"/>
    </row>
    <row r="941" spans="6:6">
      <c r="F941"/>
    </row>
  </sheetData>
  <mergeCells count="2">
    <mergeCell ref="L3:R3"/>
    <mergeCell ref="A1:I3"/>
  </mergeCells>
  <conditionalFormatting sqref="E24">
    <cfRule type="duplicateValues" dxfId="0" priority="6"/>
  </conditionalFormatting>
  <conditionalFormatting sqref="F24">
    <cfRule type="containsText" dxfId="1" priority="9" operator="between" text="Female">
      <formula>NOT(ISERROR(SEARCH("Female",F24)))</formula>
    </cfRule>
    <cfRule type="colorScale" priority="8">
      <colorScale>
        <cfvo type="min"/>
        <cfvo type="max"/>
        <color rgb="FFFF7128"/>
        <color rgb="FFFFEF9C"/>
      </colorScale>
    </cfRule>
    <cfRule type="containsText" dxfId="1" priority="7" operator="between" text="Female">
      <formula>NOT(ISERROR(SEARCH("Female",F24)))</formula>
    </cfRule>
  </conditionalFormatting>
  <conditionalFormatting sqref="E68">
    <cfRule type="duplicateValues" dxfId="0" priority="10"/>
  </conditionalFormatting>
  <conditionalFormatting sqref="F68">
    <cfRule type="containsText" dxfId="1" priority="13" operator="between" text="Female">
      <formula>NOT(ISERROR(SEARCH("Female",F68)))</formula>
    </cfRule>
    <cfRule type="colorScale" priority="12">
      <colorScale>
        <cfvo type="min"/>
        <cfvo type="max"/>
        <color rgb="FFFF7128"/>
        <color rgb="FFFFEF9C"/>
      </colorScale>
    </cfRule>
    <cfRule type="containsText" dxfId="1" priority="11" operator="between" text="Female">
      <formula>NOT(ISERROR(SEARCH("Female",F68)))</formula>
    </cfRule>
  </conditionalFormatting>
  <conditionalFormatting sqref="E108">
    <cfRule type="containsText" dxfId="2" priority="4" operator="between" text="Topister">
      <formula>NOT(ISERROR(SEARCH("Topister",E108)))</formula>
    </cfRule>
    <cfRule type="containsText" dxfId="2" priority="3" operator="between" text="Elizabeth Wafula">
      <formula>NOT(ISERROR(SEARCH("Elizabeth Wafula",E108)))</formula>
    </cfRule>
  </conditionalFormatting>
  <conditionalFormatting sqref="E189">
    <cfRule type="containsText" dxfId="2" priority="2" operator="between" text="Topister">
      <formula>NOT(ISERROR(SEARCH("Topister",E189)))</formula>
    </cfRule>
    <cfRule type="containsText" dxfId="2" priority="1" operator="between" text="Elizabeth Wafula">
      <formula>NOT(ISERROR(SEARCH("Elizabeth Wafula",E189)))</formula>
    </cfRule>
  </conditionalFormatting>
  <conditionalFormatting sqref="E1:E107 E109:E188 E190:E207 E209:E211 E213:E1048576">
    <cfRule type="containsText" dxfId="2" priority="5" operator="between" text="Elizabeth Wafula">
      <formula>NOT(ISERROR(SEARCH("Elizabeth Wafula",E1)))</formula>
    </cfRule>
  </conditionalFormatting>
  <conditionalFormatting sqref="E69:E107 E4:E23 E25:E67 E109:E188 E190:E207 E209:E211 E213:E1048576">
    <cfRule type="duplicateValues" dxfId="0" priority="14"/>
  </conditionalFormatting>
  <conditionalFormatting sqref="F942:F1048576 F4:F23 F69:F107 F25:F67 F109:F188 F190:F199">
    <cfRule type="containsText" dxfId="1" priority="17" operator="between" text="Female">
      <formula>NOT(ISERROR(SEARCH("Female",F4)))</formula>
    </cfRule>
    <cfRule type="colorScale" priority="16">
      <colorScale>
        <cfvo type="min"/>
        <cfvo type="max"/>
        <color rgb="FFFF7128"/>
        <color rgb="FFFFEF9C"/>
      </colorScale>
    </cfRule>
    <cfRule type="containsText" dxfId="1" priority="15" operator="between" text="Female">
      <formula>NOT(ISERROR(SEARCH("Female",F4)))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ECCRAS Project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2025-10-25T13:50:00Z</dcterms:created>
  <dcterms:modified xsi:type="dcterms:W3CDTF">2025-11-16T14:29:36Z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A8A01AAADA09472880069643C585E60B_12</vt:lpwstr>
  </property>
  <property fmtid="{D5CDD505-2E9C-101B-9397-08002B2CF9AE}" pid="3" name="KSOProductBuildVer">
    <vt:lpwstr>1033-12.2.0.23155</vt:lpwstr>
  </property>
</Properties>
</file>